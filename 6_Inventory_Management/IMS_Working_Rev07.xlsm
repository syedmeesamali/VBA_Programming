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4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19" i="4" l="1"/>
  <c r="I2119" i="4"/>
  <c r="J2119" i="4"/>
  <c r="G2120" i="4"/>
  <c r="I2120" i="4"/>
  <c r="J2120" i="4"/>
  <c r="G2121" i="4"/>
  <c r="I2121" i="4"/>
  <c r="J2121" i="4"/>
  <c r="G2122" i="4"/>
  <c r="I2122" i="4"/>
  <c r="J2122" i="4"/>
  <c r="G2123" i="4"/>
  <c r="I2123" i="4"/>
  <c r="J2123" i="4"/>
  <c r="G2124" i="4"/>
  <c r="I2124" i="4"/>
  <c r="J2124" i="4"/>
  <c r="G2125" i="4"/>
  <c r="I2125" i="4"/>
  <c r="J2125" i="4"/>
  <c r="G2126" i="4"/>
  <c r="I2126" i="4"/>
  <c r="J2126" i="4"/>
  <c r="G2127" i="4"/>
  <c r="I2127" i="4"/>
  <c r="J2127" i="4"/>
  <c r="G2128" i="4"/>
  <c r="I2128" i="4"/>
  <c r="J2128" i="4"/>
  <c r="G2129" i="4"/>
  <c r="I2129" i="4"/>
  <c r="J2129" i="4"/>
  <c r="G2130" i="4"/>
  <c r="I2130" i="4"/>
  <c r="J2130" i="4"/>
  <c r="G2131" i="4"/>
  <c r="I2131" i="4"/>
  <c r="J2131" i="4"/>
  <c r="G2132" i="4"/>
  <c r="I2132" i="4"/>
  <c r="J2132" i="4"/>
  <c r="G2133" i="4"/>
  <c r="I2133" i="4"/>
  <c r="J2133" i="4"/>
  <c r="G2134" i="4"/>
  <c r="I2134" i="4"/>
  <c r="J2134" i="4"/>
  <c r="G2118" i="4" l="1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s="1"/>
  <c r="B8" i="7" l="1"/>
  <c r="B11" i="7"/>
  <c r="B14" i="7"/>
  <c r="B10" i="7"/>
  <c r="Q17" i="1" s="1"/>
  <c r="J426" i="4"/>
  <c r="B7" i="2" l="1"/>
  <c r="B7" i="5"/>
  <c r="B4" i="7" l="1"/>
  <c r="B3" i="7"/>
  <c r="B5" i="7" l="1"/>
  <c r="H17" i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12" i="7" l="1"/>
  <c r="Q19" i="1" l="1"/>
  <c r="A16" i="7" l="1"/>
  <c r="A17" i="7"/>
</calcChain>
</file>

<file path=xl/sharedStrings.xml><?xml version="1.0" encoding="utf-8"?>
<sst xmlns="http://schemas.openxmlformats.org/spreadsheetml/2006/main" count="4913" uniqueCount="4344">
  <si>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</si>
  <si>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</si>
  <si>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</si>
  <si>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</si>
  <si>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</si>
  <si>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</si>
  <si>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</si>
  <si>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</si>
  <si>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</si>
  <si>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</si>
  <si>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</si>
  <si>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</si>
  <si>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</si>
  <si>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</si>
  <si>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</si>
  <si>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</si>
  <si>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</si>
  <si>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</si>
  <si>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</si>
  <si>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</si>
  <si>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</si>
  <si>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</si>
  <si>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</si>
  <si>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</si>
  <si>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</si>
  <si>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</si>
  <si>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</si>
  <si>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</si>
  <si>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</si>
  <si>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</si>
  <si>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</si>
  <si>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</si>
  <si>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</si>
  <si>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</si>
  <si>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</si>
  <si>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</si>
  <si>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</si>
  <si>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</si>
  <si>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</si>
  <si>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</si>
  <si>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</si>
  <si>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</si>
  <si>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</si>
  <si>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</si>
  <si>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</si>
  <si>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</si>
  <si>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</si>
  <si>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</si>
  <si>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</si>
  <si>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</si>
  <si>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</si>
  <si>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</si>
  <si>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</si>
  <si>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</si>
  <si>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</si>
  <si>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</si>
  <si>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</si>
  <si>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</si>
  <si>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</si>
  <si>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</si>
  <si>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</si>
  <si>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</si>
  <si>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</si>
  <si>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</si>
  <si>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</si>
  <si>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</si>
  <si>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</si>
  <si>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</si>
  <si>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</si>
  <si>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</si>
  <si>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</si>
  <si>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</si>
  <si>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</si>
  <si>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</si>
  <si>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</si>
  <si>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</si>
  <si>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</si>
  <si>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</si>
  <si>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</si>
  <si>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</si>
  <si>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</si>
  <si>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</si>
  <si>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</si>
  <si>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</si>
  <si>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</si>
  <si>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</si>
  <si>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</si>
  <si>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</si>
  <si>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</si>
  <si>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</si>
  <si>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</si>
  <si>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</si>
  <si>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</si>
  <si>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</si>
  <si>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</si>
  <si>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</si>
  <si>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</si>
  <si>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</si>
  <si>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</si>
  <si>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</si>
  <si>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</si>
  <si>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</si>
  <si>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</si>
  <si>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</si>
  <si>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</si>
  <si>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</si>
  <si>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</si>
  <si>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</si>
  <si>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</si>
  <si>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</si>
  <si>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</si>
  <si>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</si>
  <si>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</si>
  <si>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</si>
  <si>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</si>
  <si>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</si>
  <si>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</si>
  <si>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</si>
  <si>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</si>
  <si>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</si>
  <si>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</si>
  <si>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</si>
  <si>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</si>
  <si>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</si>
  <si>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</si>
  <si>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</si>
  <si>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</si>
  <si>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</si>
  <si>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</si>
  <si>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</si>
  <si>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</si>
  <si>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</si>
  <si>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</si>
  <si>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</si>
  <si>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</si>
  <si>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</si>
  <si>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</si>
  <si>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</si>
  <si>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</si>
  <si>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</si>
  <si>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</si>
  <si>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</si>
  <si>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</si>
  <si>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</si>
  <si>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</si>
  <si>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</si>
  <si>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</si>
  <si>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</si>
  <si>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</si>
  <si>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</si>
  <si>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</si>
  <si>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</si>
  <si>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</si>
  <si>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</si>
  <si>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</si>
  <si>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</si>
  <si>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</si>
  <si>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</si>
  <si>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</si>
  <si>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</si>
  <si>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</si>
  <si>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</si>
  <si>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</si>
  <si>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</si>
  <si>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</si>
  <si>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</si>
  <si>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</si>
  <si>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</si>
  <si>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</si>
  <si>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</si>
  <si>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</si>
  <si>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</si>
  <si>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</si>
  <si>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</si>
  <si>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</si>
  <si>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</si>
  <si>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</si>
  <si>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</si>
  <si>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</si>
  <si>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</si>
  <si>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</si>
  <si>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</si>
  <si>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</si>
  <si>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</si>
  <si>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</si>
  <si>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</si>
  <si>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</si>
  <si>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</si>
  <si>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</si>
  <si>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</si>
  <si>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</si>
  <si>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</si>
  <si>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</si>
  <si>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</si>
  <si>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</si>
  <si>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</si>
  <si>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</si>
  <si>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</si>
  <si>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</si>
  <si>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</si>
  <si>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</si>
  <si>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</si>
  <si>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</si>
  <si>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</si>
  <si>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</si>
  <si>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</si>
  <si>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</si>
  <si>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</si>
  <si>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</si>
  <si>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</si>
  <si>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</si>
  <si>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</si>
  <si>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</si>
  <si>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</si>
  <si>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</si>
  <si>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</si>
  <si>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</si>
  <si>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</si>
  <si>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</si>
  <si>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</si>
  <si>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</si>
  <si>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</si>
  <si>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</si>
  <si>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</si>
  <si>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</si>
  <si>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</si>
  <si>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</si>
  <si>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</si>
  <si>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</si>
  <si>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</si>
  <si>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</si>
  <si>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</si>
  <si>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</si>
  <si>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</si>
  <si>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</si>
  <si>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</si>
  <si>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</si>
  <si>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</si>
  <si>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</si>
  <si>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</si>
  <si>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</si>
  <si>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</si>
  <si>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</si>
  <si>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</si>
  <si>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</si>
  <si>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</si>
  <si>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</si>
  <si>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</si>
  <si>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</si>
  <si>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</si>
  <si>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</si>
  <si>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</si>
  <si>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</si>
  <si>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</si>
  <si>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</si>
  <si>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</si>
  <si>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</si>
  <si>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</si>
  <si>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</si>
  <si>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</si>
  <si>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</si>
  <si>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</si>
  <si>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</si>
  <si>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</si>
  <si>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</si>
  <si>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</si>
  <si>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</si>
  <si>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</si>
  <si>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</si>
  <si>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</si>
  <si>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</si>
  <si>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</si>
  <si>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</si>
  <si>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</si>
  <si>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</si>
  <si>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</si>
  <si>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</si>
  <si>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</si>
  <si>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</si>
  <si>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</si>
  <si>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</si>
  <si>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</si>
  <si>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</si>
  <si>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</si>
  <si>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</si>
  <si>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</si>
  <si>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</si>
  <si>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</si>
  <si>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</si>
  <si>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</si>
  <si>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</si>
  <si>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</si>
  <si>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</si>
  <si>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</si>
  <si>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</si>
  <si>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</si>
  <si>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</si>
  <si>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</si>
  <si>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</si>
  <si>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</si>
  <si>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</si>
  <si>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</si>
  <si>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</si>
  <si>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</si>
  <si>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</si>
  <si>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</si>
  <si>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</si>
  <si>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</si>
  <si>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</si>
  <si>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</si>
  <si>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</si>
  <si>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</si>
  <si>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</si>
  <si>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</si>
  <si>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</si>
  <si>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</si>
  <si>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</si>
  <si>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</si>
  <si>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</si>
  <si>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</si>
  <si>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</si>
  <si>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</si>
  <si>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</si>
  <si>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</si>
  <si>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</si>
  <si>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</si>
  <si>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</si>
  <si>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</si>
  <si>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</si>
  <si>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</si>
  <si>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</si>
  <si>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</si>
  <si>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</si>
  <si>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</si>
  <si>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</si>
  <si>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</si>
  <si>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</si>
  <si>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</si>
  <si>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</si>
  <si>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</si>
  <si>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</si>
  <si>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</si>
  <si>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</si>
  <si>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</si>
  <si>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</si>
  <si>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</si>
  <si>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</si>
  <si>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</si>
  <si>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</si>
  <si>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</si>
  <si>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</si>
  <si>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</si>
  <si>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</si>
  <si>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</si>
  <si>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</si>
  <si>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</si>
  <si>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</si>
  <si>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</si>
  <si>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</si>
  <si>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</si>
  <si>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</si>
  <si>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</si>
  <si>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</si>
  <si>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</si>
  <si>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</si>
  <si>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</si>
  <si>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</si>
  <si>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</si>
  <si>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</si>
  <si>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</si>
  <si>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</si>
  <si>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</si>
  <si>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</si>
  <si>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</si>
  <si>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</si>
  <si>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</si>
  <si>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</si>
  <si>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</si>
  <si>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</si>
  <si>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</si>
  <si>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</si>
  <si>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</si>
  <si>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</si>
  <si>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</si>
  <si>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</si>
  <si>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</si>
  <si>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</si>
  <si>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</si>
  <si>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</si>
  <si>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</si>
  <si>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</si>
  <si>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</si>
  <si>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</si>
  <si>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</si>
  <si>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</si>
  <si>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</si>
  <si>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</si>
  <si>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</si>
  <si>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</si>
  <si>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</si>
  <si>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</si>
  <si>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</si>
  <si>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</si>
  <si>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</si>
  <si>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</si>
  <si>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</si>
  <si>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</si>
  <si>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</si>
  <si>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</si>
  <si>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</si>
  <si>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</si>
  <si>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</si>
  <si>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</si>
  <si>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</si>
  <si>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</si>
  <si>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</si>
  <si>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</si>
  <si>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</si>
  <si>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</si>
  <si>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</si>
  <si>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</si>
  <si>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</si>
  <si>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</si>
  <si>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</si>
  <si>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</si>
  <si>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</si>
  <si>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</si>
  <si>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</si>
  <si>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</si>
  <si>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</si>
  <si>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</si>
  <si>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</si>
  <si>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</si>
  <si>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</si>
  <si>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</si>
  <si>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</si>
  <si>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</si>
  <si>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</si>
  <si>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</si>
  <si>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</si>
  <si>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</si>
  <si>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</si>
  <si>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</si>
  <si>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</si>
  <si>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</si>
  <si>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</si>
  <si>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</si>
  <si>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</si>
  <si>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</si>
  <si>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</si>
  <si>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</si>
  <si>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</si>
  <si>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</si>
  <si>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</si>
  <si>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</si>
  <si>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</si>
  <si>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</si>
  <si>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</si>
  <si>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</si>
  <si>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</si>
  <si>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</si>
  <si>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</si>
  <si>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</si>
  <si>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</si>
  <si>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</si>
  <si>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</si>
  <si>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</si>
  <si>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</si>
  <si>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</si>
  <si>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</si>
  <si>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</si>
  <si>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</si>
  <si>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</si>
  <si>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</si>
  <si>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</si>
  <si>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</si>
  <si>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</si>
  <si>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</si>
  <si>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</si>
  <si>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</si>
  <si>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</si>
  <si>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</si>
  <si>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</si>
  <si>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</si>
  <si>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</si>
  <si>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</si>
  <si>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</si>
  <si>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</si>
  <si>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</si>
  <si>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</si>
  <si>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</si>
  <si>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</si>
  <si>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</si>
  <si>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</si>
  <si>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</si>
  <si>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</si>
  <si>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</si>
  <si>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</si>
  <si>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</si>
  <si>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</si>
  <si>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</si>
  <si>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</si>
  <si>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</si>
  <si>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</si>
  <si>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</si>
  <si>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</si>
  <si>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</si>
  <si>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</si>
  <si>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</si>
  <si>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</si>
  <si>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</si>
  <si>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</si>
  <si>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</si>
  <si>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</si>
  <si>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</si>
  <si>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</si>
  <si>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</si>
  <si>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</si>
  <si>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</si>
  <si>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</si>
  <si>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</si>
  <si>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</si>
  <si>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</si>
  <si>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</si>
  <si>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</si>
  <si>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</si>
  <si>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</si>
  <si>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</si>
  <si>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</si>
  <si>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</si>
  <si>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</si>
  <si>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</si>
  <si>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</si>
  <si>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</si>
  <si>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</si>
  <si>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</si>
  <si>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</si>
  <si>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</si>
  <si>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</si>
  <si>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</si>
  <si>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</si>
  <si>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</si>
  <si>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</si>
  <si>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</si>
  <si>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</si>
  <si>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</si>
  <si>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</si>
  <si>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</si>
  <si>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</si>
  <si>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</si>
  <si>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</si>
  <si>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</si>
  <si>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</si>
  <si>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</si>
  <si>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</si>
  <si>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</si>
  <si>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</si>
  <si>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</si>
  <si>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</si>
  <si>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</si>
  <si>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</si>
  <si>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</si>
  <si>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</si>
  <si>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</si>
  <si>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</si>
  <si>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</si>
  <si>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</si>
  <si>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</si>
  <si>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</si>
  <si>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</si>
  <si>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</si>
  <si>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</si>
  <si>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</si>
  <si>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</si>
  <si>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</si>
  <si>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</si>
  <si>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</si>
  <si>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</si>
  <si>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</si>
  <si>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</si>
  <si>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</si>
  <si>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</si>
  <si>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</si>
  <si>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</si>
  <si>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</si>
  <si>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</si>
  <si>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</si>
  <si>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</si>
  <si>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</si>
  <si>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</si>
  <si>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</si>
  <si>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</si>
  <si>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</si>
  <si>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</si>
  <si>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</si>
  <si>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</si>
  <si>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</si>
  <si>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</si>
  <si>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</si>
  <si>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</si>
  <si>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</si>
  <si>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</si>
  <si>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</si>
  <si>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</si>
  <si>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</si>
  <si>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</si>
  <si>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</si>
  <si>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</si>
  <si>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</si>
  <si>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</si>
  <si>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</si>
  <si>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</si>
  <si>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</si>
  <si>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</si>
  <si>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</si>
  <si>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</si>
  <si>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</si>
  <si>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</si>
  <si>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</si>
  <si>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</si>
  <si>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</si>
  <si>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</si>
  <si>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</si>
  <si>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</si>
  <si>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</si>
  <si>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</si>
  <si>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</si>
  <si>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</si>
  <si>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</si>
  <si>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</si>
  <si>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</si>
  <si>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</si>
  <si>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</si>
  <si>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</si>
  <si>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</si>
  <si>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</si>
  <si>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</si>
  <si>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</si>
  <si>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</si>
  <si>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</si>
  <si>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</si>
  <si>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</si>
  <si>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</si>
  <si>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</si>
  <si>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</si>
  <si>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</si>
  <si>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</si>
  <si>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</si>
  <si>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</si>
  <si>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</si>
  <si>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</si>
  <si>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</si>
  <si>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</si>
  <si>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</si>
  <si>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</si>
  <si>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</si>
  <si>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</si>
  <si>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</si>
  <si>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</si>
  <si>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</si>
  <si>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</si>
  <si>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</si>
  <si>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</si>
  <si>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</si>
  <si>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</si>
  <si>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</si>
  <si>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</si>
  <si>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</si>
  <si>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</si>
  <si>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</si>
  <si>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</si>
  <si>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</si>
  <si>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</si>
  <si>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</si>
  <si>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</si>
  <si>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</si>
  <si>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</si>
  <si>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</si>
  <si>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</si>
  <si>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</si>
  <si>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</si>
  <si>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</si>
  <si>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</si>
  <si>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</si>
  <si>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</si>
  <si>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</si>
  <si>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</si>
  <si>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</si>
  <si>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</si>
  <si>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</si>
  <si>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</si>
  <si>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</si>
  <si>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</si>
  <si>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</si>
  <si>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</si>
  <si>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</si>
  <si>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</si>
  <si>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</si>
  <si>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</si>
  <si>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</si>
  <si>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</si>
  <si>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</si>
  <si>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</si>
  <si>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</si>
  <si>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</si>
  <si>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</si>
  <si>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</si>
  <si>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</si>
  <si>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</si>
  <si>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</si>
  <si>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</si>
  <si>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</si>
  <si>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</si>
  <si>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</si>
  <si>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</si>
  <si>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</si>
  <si>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</si>
  <si>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</si>
  <si>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</si>
  <si>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</si>
  <si>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</si>
  <si>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</si>
  <si>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</si>
  <si>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</si>
  <si>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</si>
  <si>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</si>
  <si>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</si>
  <si>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</si>
  <si>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</si>
  <si>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</si>
  <si>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</si>
  <si>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</si>
  <si>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</si>
  <si>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</si>
  <si>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</si>
  <si>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</si>
  <si>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</si>
  <si>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</si>
  <si>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</si>
  <si>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</si>
  <si>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</si>
  <si>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</si>
  <si>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</si>
  <si>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</si>
  <si>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</si>
  <si>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</si>
  <si>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</si>
  <si>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</si>
  <si>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</si>
  <si>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</si>
  <si>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</si>
  <si>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</si>
  <si>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</si>
  <si>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</si>
  <si>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</si>
  <si>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</si>
  <si>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</si>
  <si>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</si>
  <si>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</si>
  <si>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</si>
  <si>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</si>
  <si>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</si>
  <si>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</si>
  <si>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</si>
  <si>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</si>
  <si>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</si>
  <si>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</si>
  <si>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</si>
  <si>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</si>
  <si>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</si>
  <si>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</si>
  <si>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</si>
  <si>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</si>
  <si>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</si>
  <si>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</si>
  <si>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</si>
  <si>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</si>
  <si>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</si>
  <si>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</si>
  <si>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</si>
  <si>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</si>
  <si>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</si>
  <si>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</si>
  <si>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</si>
  <si>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</si>
  <si>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</si>
  <si>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</si>
  <si>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</si>
  <si>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</si>
  <si>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</si>
  <si>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</si>
  <si>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</si>
  <si>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</si>
  <si>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</si>
  <si>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</si>
  <si>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</si>
  <si>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</si>
  <si>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</si>
  <si>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</si>
  <si>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</si>
  <si>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</si>
  <si>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</si>
  <si>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</si>
  <si>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</si>
  <si>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</si>
  <si>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</si>
  <si>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</si>
  <si>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</si>
  <si>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</si>
  <si>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</si>
  <si>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</si>
  <si>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</si>
  <si>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</si>
  <si>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</si>
  <si>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</si>
  <si>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</si>
  <si>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</si>
  <si>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</si>
  <si>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</si>
  <si>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</si>
  <si>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</si>
  <si>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</si>
  <si>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</si>
  <si>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</si>
  <si>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</si>
  <si>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</si>
  <si>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</si>
  <si>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</si>
  <si>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</si>
  <si>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</si>
  <si>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</si>
  <si>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</si>
  <si>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</si>
  <si>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</si>
  <si>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</si>
  <si>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</si>
  <si>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</si>
  <si>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</si>
  <si>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</si>
  <si>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</si>
  <si>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</si>
  <si>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</si>
  <si>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</si>
  <si>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</si>
  <si>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</si>
  <si>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</si>
  <si>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</si>
  <si>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</si>
  <si>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</si>
  <si>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</si>
  <si>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</si>
  <si>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</si>
  <si>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</si>
  <si>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</si>
  <si>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</si>
  <si>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</si>
  <si>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</si>
  <si>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</si>
  <si>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</si>
  <si>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</si>
  <si>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</si>
  <si>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</si>
  <si>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</si>
  <si>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</si>
  <si>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</si>
  <si>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</si>
  <si>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</si>
  <si>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</si>
  <si>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</si>
  <si>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</si>
  <si>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</si>
  <si>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</si>
  <si>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</si>
  <si>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</si>
  <si>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</si>
  <si>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</si>
  <si>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</si>
  <si>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</si>
  <si>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</si>
  <si>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</si>
  <si>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</si>
  <si>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</si>
  <si>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</si>
  <si>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</si>
  <si>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</si>
  <si>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</si>
  <si>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</si>
  <si>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</si>
  <si>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</si>
  <si>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</si>
  <si>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</si>
  <si>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</si>
  <si>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</si>
  <si>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</si>
  <si>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</si>
  <si>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</si>
  <si>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</si>
  <si>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</si>
  <si>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</si>
  <si>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</si>
  <si>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</si>
  <si>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</si>
  <si>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</si>
  <si>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</si>
  <si>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</si>
  <si>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</si>
  <si>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</si>
  <si>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</si>
  <si>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</si>
  <si>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</si>
  <si>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</si>
  <si>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</si>
  <si>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</si>
  <si>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</si>
  <si>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</si>
  <si>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</si>
  <si>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</si>
  <si>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</si>
  <si>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</si>
  <si>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</si>
  <si>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</si>
  <si>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</si>
  <si>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</si>
  <si>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</si>
  <si>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</si>
  <si>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</si>
  <si>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</si>
  <si>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</si>
  <si>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</si>
  <si>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</si>
  <si>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</si>
  <si>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</si>
  <si>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</si>
  <si>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</si>
  <si>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</si>
  <si>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</si>
  <si>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</si>
  <si>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</si>
  <si>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</si>
  <si>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</si>
  <si>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</si>
  <si>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</si>
  <si>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</si>
  <si>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</si>
  <si>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</si>
  <si>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</si>
  <si>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</si>
  <si>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</si>
  <si>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</si>
  <si>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</si>
  <si>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</si>
  <si>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</si>
  <si>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</si>
  <si>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</si>
  <si>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</si>
  <si>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</si>
  <si>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</si>
  <si>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</si>
  <si>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</si>
  <si>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</si>
  <si>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</si>
  <si>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</si>
  <si>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</si>
  <si>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</si>
  <si>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</si>
  <si>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</si>
  <si>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</si>
  <si>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</si>
  <si>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</si>
  <si>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</si>
  <si>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</si>
  <si>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</si>
  <si>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</si>
  <si>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</si>
  <si>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</si>
  <si>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</si>
  <si>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</si>
  <si>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</si>
  <si>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</si>
  <si>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</si>
  <si>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</si>
  <si>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</si>
  <si>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</si>
  <si>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</si>
  <si>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</si>
  <si>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</si>
  <si>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</si>
  <si>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</si>
  <si>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</si>
  <si>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</si>
  <si>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</si>
  <si>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</si>
  <si>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</si>
  <si>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</si>
  <si>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</si>
  <si>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</si>
  <si>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</si>
  <si>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</si>
  <si>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</si>
  <si>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</si>
  <si>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</si>
  <si>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</si>
  <si>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</si>
  <si>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</si>
  <si>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</si>
  <si>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</si>
  <si>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</si>
  <si>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</si>
  <si>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</si>
  <si>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</si>
  <si>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</si>
  <si>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</si>
  <si>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</si>
  <si>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</si>
  <si>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</si>
  <si>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</si>
  <si>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</si>
  <si>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</si>
  <si>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</si>
  <si>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</si>
  <si>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</si>
  <si>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</si>
  <si>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</si>
  <si>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</si>
  <si>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</si>
  <si>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</si>
  <si>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</si>
  <si>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</si>
  <si>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</si>
  <si>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</si>
  <si>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</si>
  <si>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</si>
  <si>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</si>
  <si>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</si>
  <si>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</si>
  <si>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</si>
  <si>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</si>
  <si>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</si>
  <si>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</si>
  <si>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</si>
  <si>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</si>
  <si>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</si>
  <si>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</si>
  <si>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</si>
  <si>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</si>
  <si>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</si>
  <si>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</si>
  <si>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</si>
  <si>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</si>
  <si>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</si>
  <si>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</si>
  <si>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</si>
  <si>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</si>
  <si>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</si>
  <si>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</si>
  <si>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</si>
  <si>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</si>
  <si>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</si>
  <si>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</si>
  <si>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</si>
  <si>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</si>
  <si>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</si>
  <si>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</si>
  <si>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</si>
  <si>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</si>
  <si>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</si>
  <si>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</si>
  <si>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</si>
  <si>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</si>
  <si>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</si>
  <si>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</si>
  <si>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</si>
  <si>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</si>
  <si>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</si>
  <si>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</si>
  <si>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</si>
  <si>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</si>
  <si>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</si>
  <si>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</si>
  <si>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</si>
  <si>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</si>
  <si>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</si>
  <si>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</si>
  <si>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</si>
  <si>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</si>
  <si>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</si>
  <si>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</si>
  <si>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</si>
  <si>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</si>
  <si>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</si>
  <si>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</si>
  <si>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</si>
  <si>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</si>
  <si>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</si>
  <si>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</si>
  <si>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</si>
  <si>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</si>
  <si>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</si>
  <si>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</si>
  <si>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</si>
  <si>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</si>
  <si>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</si>
  <si>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</si>
  <si>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</si>
  <si>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</si>
  <si>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</si>
  <si>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</si>
  <si>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</si>
  <si>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</si>
  <si>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</si>
  <si>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</si>
  <si>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</si>
  <si>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</si>
  <si>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</si>
  <si>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</si>
  <si>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</si>
  <si>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</si>
  <si>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</si>
  <si>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</si>
  <si>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</si>
  <si>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</si>
  <si>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</si>
  <si>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</si>
  <si>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</si>
  <si>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</si>
  <si>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</si>
  <si>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</si>
  <si>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</si>
  <si>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</si>
  <si>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</si>
  <si>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</si>
  <si>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</si>
  <si>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</si>
  <si>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</si>
  <si>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</si>
  <si>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</si>
  <si>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</si>
  <si>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</si>
  <si>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</si>
  <si>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</si>
  <si>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</si>
  <si>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</si>
  <si>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</si>
  <si>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</si>
  <si>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</si>
  <si>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</si>
  <si>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</si>
  <si>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</si>
  <si>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</si>
  <si>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</si>
  <si>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</si>
  <si>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</si>
  <si>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</si>
  <si>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</si>
  <si>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</si>
  <si>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</si>
  <si>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</si>
  <si>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</si>
  <si>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</si>
  <si>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</si>
  <si>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</si>
  <si>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</si>
  <si>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</si>
  <si>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</si>
  <si>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</si>
  <si>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</si>
  <si>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</si>
  <si>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</si>
  <si>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</si>
  <si>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</si>
  <si>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</si>
  <si>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</si>
  <si>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</si>
  <si>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</si>
  <si>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</si>
  <si>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</si>
  <si>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</si>
  <si>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</si>
  <si>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</si>
  <si>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</si>
  <si>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</si>
  <si>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</si>
  <si>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</si>
  <si>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</si>
  <si>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</si>
  <si>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</si>
  <si>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</si>
  <si>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</si>
  <si>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</si>
  <si>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</si>
  <si>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</si>
  <si>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</si>
  <si>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</si>
  <si>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</si>
  <si>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</si>
  <si>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</si>
  <si>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</si>
  <si>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</si>
  <si>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</si>
  <si>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</si>
  <si>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</si>
  <si>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</si>
  <si>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</si>
  <si>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</si>
  <si>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</si>
  <si>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</si>
  <si>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</si>
  <si>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</si>
  <si>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</si>
  <si>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</si>
  <si>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</si>
  <si>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</si>
  <si>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</si>
  <si>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</si>
  <si>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</si>
  <si>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</si>
  <si>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</si>
  <si>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</si>
  <si>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</si>
  <si>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</si>
  <si>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</si>
  <si>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</si>
  <si>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</si>
  <si>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</si>
  <si>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</si>
  <si>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</si>
  <si>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</si>
  <si>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</si>
  <si>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</si>
  <si>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</si>
  <si>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</si>
  <si>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</si>
  <si>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</si>
  <si>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</si>
  <si>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</si>
  <si>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</si>
  <si>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</si>
  <si>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</si>
  <si>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</si>
  <si>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</si>
  <si>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</si>
  <si>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</si>
  <si>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</si>
  <si>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</si>
  <si>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</si>
  <si>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</si>
  <si>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</si>
  <si>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</si>
  <si>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</si>
  <si>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</si>
  <si>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</si>
  <si>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</si>
  <si>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</si>
  <si>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</si>
  <si>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</si>
  <si>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</si>
  <si>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</si>
  <si>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</si>
  <si>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</si>
  <si>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</si>
  <si>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</si>
  <si>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</si>
  <si>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</si>
  <si>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</si>
  <si>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</si>
  <si>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</si>
  <si>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</si>
  <si>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</si>
  <si>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</si>
  <si>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</si>
  <si>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</si>
  <si>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</si>
  <si>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</si>
  <si>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</si>
  <si>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</si>
  <si>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</si>
  <si>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</si>
  <si>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</si>
  <si>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</si>
  <si>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</si>
  <si>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</si>
  <si>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</si>
  <si>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</si>
  <si>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</si>
  <si>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</si>
  <si>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</si>
  <si>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</si>
  <si>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</si>
  <si>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</si>
  <si>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</si>
  <si>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</si>
  <si>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</si>
  <si>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</si>
  <si>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</si>
  <si>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</si>
  <si>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</si>
  <si>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</si>
  <si>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</si>
  <si>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</si>
  <si>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</si>
  <si>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</si>
  <si>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</si>
  <si>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</si>
  <si>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</si>
  <si>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</si>
  <si>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</si>
  <si>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</si>
  <si>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</si>
  <si>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</si>
  <si>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</si>
  <si>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</si>
  <si>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</si>
  <si>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</si>
  <si>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</si>
  <si>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</si>
  <si>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</si>
  <si>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</si>
  <si>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</si>
  <si>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</si>
  <si>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</si>
  <si>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</si>
  <si>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</si>
  <si>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</si>
  <si>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</si>
  <si>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</si>
  <si>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</si>
  <si>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</si>
  <si>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</si>
  <si>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</si>
  <si>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</si>
  <si>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</si>
  <si>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</si>
  <si>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</si>
  <si>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</si>
  <si>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</si>
  <si>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</si>
  <si>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</si>
  <si>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</si>
  <si>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</si>
  <si>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</si>
  <si>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</si>
  <si>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</si>
  <si>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</si>
  <si>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</si>
  <si>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</si>
  <si>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</si>
  <si>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</si>
  <si>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</si>
  <si>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</si>
  <si>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</si>
  <si>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</si>
  <si>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</si>
  <si>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</si>
  <si>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</si>
  <si>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</si>
  <si>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</si>
  <si>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</si>
  <si>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</si>
  <si>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</si>
  <si>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</si>
  <si>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</si>
  <si>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</si>
  <si>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</si>
  <si>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</si>
  <si>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</si>
  <si>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</si>
  <si>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</si>
  <si>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</si>
  <si>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</si>
  <si>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</si>
  <si>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</si>
  <si>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</si>
  <si>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</si>
  <si>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</si>
  <si>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</si>
  <si>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</si>
  <si>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</si>
  <si>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</si>
  <si>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</si>
  <si>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</si>
  <si>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</si>
  <si>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</si>
  <si>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</si>
  <si>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</si>
  <si>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</si>
  <si>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</si>
  <si>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</si>
  <si>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</si>
  <si>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</si>
  <si>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</si>
  <si>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</si>
  <si>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</si>
  <si>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</si>
  <si>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</si>
  <si>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</si>
  <si>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</si>
  <si>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</si>
  <si>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</si>
  <si>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</si>
  <si>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</si>
  <si>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</si>
  <si>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</si>
  <si>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</si>
  <si>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</si>
  <si>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</si>
  <si>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</si>
  <si>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</si>
  <si>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</si>
  <si>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</si>
  <si>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</si>
  <si>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</si>
  <si>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</si>
  <si>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</si>
  <si>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</si>
  <si>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</si>
  <si>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</si>
  <si>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</si>
  <si>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</si>
  <si>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</si>
  <si>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</si>
  <si>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</si>
  <si>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</si>
  <si>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</si>
  <si>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</si>
  <si>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</si>
  <si>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</si>
  <si>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</si>
  <si>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</si>
  <si>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</si>
  <si>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</si>
  <si>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</si>
  <si>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</si>
  <si>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</si>
  <si>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</si>
  <si>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</si>
  <si>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</si>
  <si>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</si>
  <si>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</si>
  <si>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</si>
  <si>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</si>
  <si>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</si>
  <si>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</si>
  <si>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</si>
  <si>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</si>
  <si>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</si>
  <si>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</si>
  <si>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</si>
  <si>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</si>
  <si>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</si>
  <si>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</si>
  <si>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</si>
  <si>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</si>
  <si>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</si>
  <si>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</si>
  <si>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</si>
  <si>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</si>
  <si>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</si>
  <si>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</si>
  <si>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</si>
  <si>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</si>
  <si>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</si>
  <si>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</si>
  <si>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</si>
  <si>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</si>
  <si>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</si>
  <si>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</si>
  <si>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</si>
  <si>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</si>
  <si>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</si>
  <si>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</si>
  <si>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</si>
  <si>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</si>
  <si>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</si>
  <si>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</si>
  <si>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</si>
  <si>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</si>
  <si>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</si>
  <si>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</si>
  <si>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</si>
  <si>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</si>
  <si>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</si>
  <si>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</si>
  <si>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</si>
  <si>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</si>
  <si>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</si>
  <si>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</si>
  <si>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</si>
  <si>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</si>
  <si>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</si>
  <si>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</si>
  <si>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</si>
  <si>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</si>
  <si>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</si>
  <si>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</si>
  <si>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</si>
  <si>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</si>
  <si>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</si>
  <si>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</si>
  <si>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</si>
  <si>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</si>
  <si>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</si>
  <si>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</si>
  <si>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</si>
  <si>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</si>
  <si>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</si>
  <si>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</si>
  <si>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</si>
  <si>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</si>
  <si>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</si>
  <si>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</si>
  <si>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</si>
  <si>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</si>
  <si>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</si>
  <si>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</si>
  <si>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</si>
  <si>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</si>
  <si>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</si>
  <si>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</si>
  <si>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</si>
  <si>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</si>
  <si>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</si>
  <si>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</si>
  <si>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</si>
  <si>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</si>
  <si>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</si>
  <si>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</si>
  <si>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</si>
  <si>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</si>
  <si>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</si>
  <si>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</si>
  <si>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</si>
  <si>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</si>
  <si>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</si>
  <si>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</si>
  <si>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</si>
  <si>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</si>
  <si>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</si>
  <si>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</si>
  <si>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</si>
  <si>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</si>
  <si>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</si>
  <si>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</si>
  <si>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</si>
  <si>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</si>
  <si>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</si>
  <si>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</si>
  <si>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</si>
  <si>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</si>
  <si>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</si>
  <si>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</si>
  <si>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</si>
  <si>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</si>
  <si>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</si>
  <si>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</si>
  <si>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</si>
  <si>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</si>
  <si>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</si>
  <si>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</si>
  <si>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</si>
  <si>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</si>
  <si>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</si>
  <si>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</si>
  <si>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</si>
  <si>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</si>
  <si>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</si>
  <si>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</si>
  <si>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</si>
  <si>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</si>
  <si>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</si>
  <si>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</si>
  <si>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</si>
  <si>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</si>
  <si>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</si>
  <si>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</si>
  <si>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</si>
  <si>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</si>
  <si>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</si>
  <si>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</si>
  <si>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</si>
  <si>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</si>
  <si>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</si>
  <si>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</si>
  <si>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</si>
  <si>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</si>
  <si>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</si>
  <si>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</si>
  <si>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</si>
  <si>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</si>
  <si>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</si>
  <si>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</si>
  <si>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</si>
  <si>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</si>
  <si>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</si>
  <si>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</si>
  <si>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</si>
  <si>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</si>
  <si>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</si>
  <si>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</si>
  <si>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</si>
  <si>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</si>
  <si>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</si>
  <si>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</si>
  <si>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</si>
  <si>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</si>
  <si>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</si>
  <si>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</si>
  <si>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</si>
  <si>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</si>
  <si>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</si>
  <si>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</si>
  <si>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</si>
  <si>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</si>
  <si>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</si>
  <si>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</si>
  <si>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</si>
  <si>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</si>
  <si>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</si>
  <si>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</si>
  <si>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</si>
  <si>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</si>
  <si>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</si>
  <si>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</si>
  <si>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</si>
  <si>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</si>
  <si>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</si>
  <si>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</si>
  <si>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</si>
  <si>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</si>
  <si>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</si>
  <si>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</si>
  <si>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</si>
  <si>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</si>
  <si>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</si>
  <si>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</si>
  <si>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</si>
  <si>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</si>
  <si>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</si>
  <si>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</si>
  <si>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</si>
  <si>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</si>
  <si>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</si>
  <si>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</si>
  <si>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</si>
  <si>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</si>
  <si>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</si>
  <si>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</si>
  <si>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</si>
  <si>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</si>
  <si>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</si>
  <si>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</si>
  <si>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</si>
  <si>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</si>
  <si>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</si>
  <si>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</si>
  <si>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</si>
  <si>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</si>
  <si>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</si>
  <si>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</si>
  <si>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</si>
  <si>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</si>
  <si>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</si>
  <si>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</si>
  <si>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</si>
  <si>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</si>
  <si>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</si>
  <si>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</si>
  <si>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</si>
  <si>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</si>
  <si>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</si>
  <si>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</si>
  <si>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</si>
  <si>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</si>
  <si>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</si>
  <si>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</si>
  <si>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</si>
  <si>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</si>
  <si>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</si>
  <si>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</si>
  <si>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</si>
  <si>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</si>
  <si>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</si>
  <si>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</si>
  <si>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</si>
  <si>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</si>
  <si>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</si>
  <si>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</si>
  <si>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</si>
  <si>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</si>
  <si>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</si>
  <si>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</si>
  <si>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</si>
  <si>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</si>
  <si>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</si>
  <si>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</si>
  <si>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</si>
  <si>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</si>
  <si>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</si>
  <si>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</si>
  <si>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</si>
  <si>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</si>
  <si>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</si>
  <si>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</si>
  <si>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</si>
  <si>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</si>
  <si>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</si>
  <si>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</si>
  <si>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</si>
  <si>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</si>
  <si>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</si>
  <si>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</si>
  <si>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</si>
  <si>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</si>
  <si>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</si>
  <si>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</si>
  <si>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</si>
  <si>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</si>
  <si>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</si>
  <si>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</si>
  <si>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</si>
  <si>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</si>
  <si>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</si>
  <si>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</si>
  <si>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</si>
  <si>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</si>
  <si>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</si>
  <si>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</si>
  <si>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</si>
  <si>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</si>
  <si>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</si>
  <si>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</si>
  <si>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</si>
  <si>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</si>
  <si>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</si>
  <si>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</si>
  <si>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</si>
  <si>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</si>
  <si>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</si>
  <si>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</si>
  <si>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</si>
  <si>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</si>
  <si>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</si>
  <si>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</si>
  <si>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</si>
  <si>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</si>
  <si>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</si>
  <si>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</si>
  <si>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</si>
  <si>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</si>
  <si>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</si>
  <si>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</si>
  <si>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</si>
  <si>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</si>
  <si>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</si>
  <si>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</si>
  <si>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</si>
  <si>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</si>
  <si>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</si>
  <si>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</si>
  <si>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</si>
  <si>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</si>
  <si>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</si>
  <si>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</si>
  <si>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</si>
  <si>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</si>
  <si>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</si>
  <si>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</si>
  <si>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</si>
  <si>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</si>
  <si>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</si>
  <si>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</si>
  <si>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</si>
  <si>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</si>
  <si>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</si>
  <si>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</si>
  <si>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</si>
  <si>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</si>
  <si>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</si>
  <si>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</si>
  <si>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</si>
  <si>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</si>
  <si>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</si>
  <si>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</si>
  <si>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</si>
  <si>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</si>
  <si>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</si>
  <si>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</si>
  <si>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</si>
  <si>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</si>
  <si>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</si>
  <si>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</si>
  <si>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</si>
  <si>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</si>
  <si>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</si>
  <si>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</si>
  <si>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</si>
  <si>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</si>
  <si>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</si>
  <si>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</si>
  <si>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</si>
  <si>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</si>
  <si>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</si>
  <si>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</si>
  <si>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</si>
  <si>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</si>
  <si>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</si>
  <si>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</si>
  <si>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</si>
  <si>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</si>
  <si>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</si>
  <si>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</si>
  <si>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</si>
  <si>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</si>
  <si>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</si>
  <si>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</si>
  <si>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</si>
  <si>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</si>
  <si>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</si>
  <si>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</si>
  <si>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</si>
  <si>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</si>
  <si>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</si>
  <si>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</si>
  <si>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</si>
  <si>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</si>
  <si>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</si>
  <si>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</si>
  <si>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</si>
  <si>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</si>
  <si>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</si>
  <si>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</si>
  <si>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</si>
  <si>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</si>
  <si>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</si>
  <si>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</si>
  <si>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</si>
  <si>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</si>
  <si>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</si>
  <si>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</si>
  <si>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</si>
  <si>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</si>
  <si>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</si>
  <si>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</si>
  <si>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</si>
  <si>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</si>
  <si>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</si>
  <si>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</si>
  <si>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</si>
  <si>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</si>
  <si>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</si>
  <si>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</si>
  <si>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</si>
  <si>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</si>
  <si>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</si>
  <si>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</si>
  <si>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</si>
  <si>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</si>
  <si>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</si>
  <si>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</si>
  <si>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</si>
  <si>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</si>
  <si>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</si>
  <si>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</si>
  <si>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</si>
  <si>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</si>
  <si>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</si>
  <si>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</si>
  <si>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</si>
  <si>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</si>
  <si>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</si>
  <si>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</si>
  <si>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</si>
  <si>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</si>
  <si>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</si>
  <si>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</si>
  <si>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</si>
  <si>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</si>
  <si>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</si>
  <si>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</si>
  <si>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</si>
  <si>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</si>
  <si>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</si>
  <si>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</si>
  <si>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</si>
  <si>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</si>
  <si>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</si>
  <si>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</si>
  <si>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</si>
  <si>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</si>
  <si>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</si>
  <si>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</si>
  <si>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</si>
  <si>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</si>
  <si>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</si>
  <si>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</si>
  <si>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</si>
  <si>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</si>
  <si>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</si>
  <si>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</si>
  <si>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</si>
  <si>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</si>
  <si>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</si>
  <si>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</si>
  <si>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</si>
  <si>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</si>
  <si>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</si>
  <si>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</si>
  <si>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</si>
  <si>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</si>
  <si>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</si>
  <si>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</si>
  <si>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</si>
  <si>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</si>
  <si>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</si>
  <si>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</si>
  <si>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</si>
  <si>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</si>
  <si>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</si>
  <si>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</si>
  <si>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</si>
  <si>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</si>
  <si>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</si>
  <si>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</si>
  <si>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</si>
  <si>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</si>
  <si>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</si>
  <si>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</si>
  <si>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</si>
  <si>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</si>
  <si>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</si>
  <si>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</si>
  <si>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</si>
  <si>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</si>
  <si>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</si>
  <si>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</si>
  <si>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</si>
  <si>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</si>
  <si>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</si>
  <si>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</si>
  <si>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</si>
  <si>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</si>
  <si>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</si>
  <si>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</si>
  <si>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</si>
  <si>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</si>
  <si>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</si>
  <si>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</si>
  <si>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</si>
  <si>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</si>
  <si>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</si>
  <si>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</si>
  <si>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</si>
  <si>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</si>
  <si>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</si>
  <si>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</si>
  <si>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</si>
  <si>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</si>
  <si>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</si>
  <si>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</si>
  <si>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</si>
  <si>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</si>
  <si>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</si>
  <si>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</si>
  <si>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</si>
  <si>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</si>
  <si>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</si>
  <si>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</si>
  <si>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</si>
  <si>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</si>
  <si>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</si>
  <si>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</si>
  <si>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</si>
  <si>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</si>
  <si>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</si>
  <si>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</si>
  <si>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</si>
  <si>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</si>
  <si>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</si>
  <si>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</si>
  <si>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</si>
  <si>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</si>
  <si>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</si>
  <si>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</si>
  <si>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</si>
  <si>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</si>
  <si>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</si>
  <si>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</si>
  <si>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</si>
  <si>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</si>
  <si>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</si>
  <si>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</si>
  <si>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</si>
  <si>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</si>
  <si>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</si>
  <si>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</si>
  <si>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</si>
  <si>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</si>
  <si>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</si>
  <si>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</si>
  <si>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</si>
  <si>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</si>
  <si>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</si>
  <si>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</si>
  <si>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</si>
  <si>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</si>
  <si>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</si>
  <si>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</si>
  <si>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</si>
  <si>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</si>
  <si>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</si>
  <si>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</si>
  <si>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</si>
  <si>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</si>
  <si>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</si>
  <si>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</si>
  <si>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</si>
  <si>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</si>
  <si>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</si>
  <si>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</si>
  <si>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</si>
  <si>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</si>
  <si>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</si>
  <si>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</si>
  <si>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</si>
  <si>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</si>
  <si>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</si>
  <si>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</si>
  <si>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</si>
  <si>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</si>
  <si>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</si>
  <si>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</si>
  <si>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</si>
  <si>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</si>
  <si>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</si>
  <si>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</si>
  <si>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</si>
  <si>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</si>
  <si>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</si>
  <si>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</si>
  <si>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</si>
  <si>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</si>
  <si>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</si>
  <si>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</si>
  <si>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</si>
  <si>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</si>
  <si>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</si>
  <si>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</si>
  <si>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</si>
  <si>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</si>
  <si>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</si>
  <si>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</si>
  <si>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</si>
  <si>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</si>
  <si>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</si>
  <si>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</si>
  <si>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</si>
  <si>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</si>
  <si>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</si>
  <si>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</si>
  <si>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</si>
  <si>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</si>
  <si>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</si>
  <si>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</si>
  <si>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</si>
  <si>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</si>
  <si>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</si>
  <si>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</si>
  <si>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</si>
  <si>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</si>
  <si>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</si>
  <si>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</si>
  <si>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</si>
  <si>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</si>
  <si>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</si>
  <si>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</si>
  <si>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</si>
  <si>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</si>
  <si>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</si>
  <si>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</si>
  <si>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</si>
  <si>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</si>
  <si>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</si>
  <si>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</si>
  <si>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</si>
  <si>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</si>
  <si>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</si>
  <si>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</si>
  <si>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</si>
  <si>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</si>
  <si>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</si>
  <si>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</si>
  <si>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</si>
  <si>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</si>
  <si>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</si>
  <si>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</si>
  <si>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</si>
  <si>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</si>
  <si>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</si>
  <si>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</si>
  <si>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</si>
  <si>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</si>
  <si>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</si>
  <si>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</si>
  <si>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</si>
  <si>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</si>
  <si>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</si>
  <si>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</si>
  <si>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</si>
  <si>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</si>
  <si>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</si>
  <si>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</si>
  <si>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</si>
  <si>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</si>
  <si>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</si>
  <si>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</si>
  <si>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</si>
  <si>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</si>
  <si>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</si>
  <si>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</si>
  <si>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</si>
  <si>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</si>
  <si>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</si>
  <si>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</si>
  <si>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</si>
  <si>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</si>
  <si>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</si>
  <si>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</si>
  <si>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</si>
  <si>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</si>
  <si>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</si>
  <si>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</si>
  <si>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</si>
  <si>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</si>
  <si>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</si>
  <si>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</si>
  <si>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</si>
  <si>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</si>
  <si>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</si>
  <si>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</si>
  <si>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</si>
  <si>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</si>
  <si>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</si>
  <si>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</si>
  <si>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</si>
  <si>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</si>
  <si>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</si>
  <si>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</si>
  <si>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</si>
  <si>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</si>
  <si>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</si>
  <si>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</si>
  <si>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</si>
  <si>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</si>
  <si>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</si>
  <si>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</si>
  <si>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</si>
  <si>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</si>
  <si>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</si>
  <si>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</si>
  <si>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</si>
  <si>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</si>
  <si>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</si>
  <si>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</si>
  <si>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</si>
  <si>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</si>
  <si>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</si>
  <si>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</si>
  <si>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</si>
  <si>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</si>
  <si>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</si>
  <si>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</si>
  <si>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</si>
  <si>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</si>
  <si>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</si>
  <si>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</si>
  <si>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</si>
  <si>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</si>
  <si>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</si>
  <si>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</si>
  <si>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</si>
  <si>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</si>
  <si>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</si>
  <si>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</si>
  <si>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</si>
  <si>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</si>
  <si>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</si>
  <si>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</si>
  <si>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</si>
  <si>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</si>
  <si>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</si>
  <si>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</si>
  <si>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</si>
  <si>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</si>
  <si>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</si>
  <si>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</si>
  <si>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</si>
  <si>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</si>
  <si>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</si>
  <si>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</si>
  <si>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</si>
  <si>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</si>
  <si>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</si>
  <si>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</si>
  <si>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</si>
  <si>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</si>
  <si>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</si>
  <si>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</si>
  <si>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</si>
  <si>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</si>
  <si>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</si>
  <si>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</si>
  <si>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</si>
  <si>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</si>
  <si>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</si>
  <si>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</si>
  <si>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</si>
  <si>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</si>
  <si>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</si>
  <si>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</si>
  <si>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</si>
  <si>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</si>
  <si>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</si>
  <si>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</si>
  <si>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</si>
  <si>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</si>
  <si>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</si>
  <si>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</si>
  <si>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</si>
  <si>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</si>
  <si>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</si>
  <si>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</si>
  <si>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</si>
  <si>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</si>
  <si>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</si>
  <si>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</si>
  <si>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</si>
  <si>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</si>
  <si>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</si>
  <si>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</si>
  <si>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</si>
  <si>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</si>
  <si>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</si>
  <si>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</si>
  <si>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</si>
  <si>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</si>
  <si>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</si>
  <si>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</si>
  <si>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</si>
  <si>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</si>
  <si>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</si>
  <si>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</si>
  <si>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</si>
  <si>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</si>
  <si>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</si>
  <si>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</si>
  <si>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</si>
  <si>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</si>
  <si>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</si>
  <si>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</si>
  <si>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</si>
  <si>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</si>
  <si>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</si>
  <si>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</si>
  <si>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</si>
  <si>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</si>
  <si>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</si>
  <si>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</si>
  <si>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</si>
  <si>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</si>
  <si>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</si>
  <si>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</si>
  <si>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</si>
  <si>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</si>
  <si>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</si>
  <si>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</si>
  <si>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</si>
  <si>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</si>
  <si>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</si>
  <si>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</si>
  <si>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</si>
  <si>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</si>
  <si>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</si>
  <si>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</si>
  <si>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</si>
  <si>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</si>
  <si>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</si>
  <si>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</si>
  <si>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</si>
  <si>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</si>
  <si>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</si>
  <si>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</si>
  <si>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</si>
  <si>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</si>
  <si>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</si>
  <si>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</si>
  <si>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</si>
  <si>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</si>
  <si>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</si>
  <si>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</si>
  <si>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</si>
  <si>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</si>
  <si>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</si>
  <si>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</si>
  <si>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</si>
  <si>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</si>
  <si>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</si>
  <si>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</si>
  <si>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</si>
  <si>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</si>
  <si>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</si>
  <si>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</si>
  <si>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</si>
  <si>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</si>
  <si>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</si>
  <si>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</si>
  <si>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</si>
  <si>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</si>
  <si>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</si>
  <si>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</si>
  <si>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</si>
  <si>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</si>
  <si>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</si>
  <si>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</si>
  <si>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</si>
  <si>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</si>
  <si>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</si>
  <si>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</si>
  <si>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</si>
  <si>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</si>
  <si>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</si>
  <si>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</si>
  <si>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</si>
  <si>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</si>
  <si>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</si>
  <si>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</si>
  <si>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</si>
  <si>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</si>
  <si>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</si>
  <si>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</si>
  <si>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</si>
  <si>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</si>
  <si>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</si>
  <si>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</si>
  <si>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</si>
  <si>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</si>
  <si>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</si>
  <si>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</si>
  <si>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</si>
  <si>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</si>
  <si>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</si>
  <si>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</si>
  <si>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</si>
  <si>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</si>
  <si>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</si>
  <si>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</si>
  <si>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</si>
  <si>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</si>
  <si>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</si>
  <si>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</si>
  <si>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</si>
  <si>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</si>
  <si>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</si>
  <si>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</si>
  <si>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</si>
  <si>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</si>
  <si>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</si>
  <si>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</si>
  <si>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</si>
  <si>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</si>
  <si>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</si>
  <si>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</si>
  <si>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</si>
  <si>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</si>
  <si>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</si>
  <si>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</si>
  <si>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</si>
  <si>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</si>
  <si>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</si>
  <si>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</si>
  <si>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</si>
  <si>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</si>
  <si>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</si>
  <si>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</si>
  <si>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</si>
  <si>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</si>
  <si>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</si>
  <si>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</si>
  <si>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</si>
  <si>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</si>
  <si>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</si>
  <si>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</si>
  <si>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</si>
  <si>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</si>
  <si>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</si>
  <si>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</si>
  <si>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</si>
  <si>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</si>
  <si>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</si>
  <si>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</si>
  <si>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</si>
  <si>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</si>
  <si>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</si>
  <si>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</si>
  <si>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</si>
  <si>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</si>
  <si>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</si>
  <si>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</si>
  <si>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</si>
  <si>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</si>
  <si>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</si>
  <si>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</si>
  <si>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</si>
  <si>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</si>
  <si>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</si>
  <si>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</si>
  <si>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</si>
  <si>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</si>
  <si>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</si>
  <si>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</si>
  <si>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</si>
  <si>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</si>
  <si>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</si>
  <si>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</si>
  <si>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</si>
  <si>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</si>
  <si>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</si>
  <si>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</si>
  <si>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</si>
  <si>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</si>
  <si>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</si>
  <si>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</si>
  <si>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</si>
  <si>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</si>
  <si>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</si>
  <si>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</si>
  <si>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</si>
  <si>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</si>
  <si>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</si>
  <si>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</si>
  <si>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</si>
  <si>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</si>
  <si>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</si>
  <si>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</si>
  <si>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</si>
  <si>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</si>
  <si>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</si>
  <si>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</si>
  <si>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</si>
  <si>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</si>
  <si>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</si>
  <si>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</si>
  <si>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</si>
  <si>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</si>
  <si>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</si>
  <si>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</si>
  <si>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</si>
  <si>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</si>
  <si>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</si>
  <si>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</si>
  <si>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</si>
  <si>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</si>
  <si>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</si>
  <si>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</si>
  <si>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</si>
  <si>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</si>
  <si>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</si>
  <si>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</si>
  <si>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</si>
  <si>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</si>
  <si>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</si>
  <si>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</si>
  <si>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</si>
  <si>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</si>
  <si>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</si>
  <si>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</si>
  <si>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</si>
  <si>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</si>
  <si>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</si>
  <si>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</si>
  <si>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</si>
  <si>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</si>
  <si>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</si>
  <si>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</si>
  <si>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</si>
  <si>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</si>
  <si>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</si>
  <si>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</si>
  <si>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</si>
  <si>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</si>
  <si>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</si>
  <si>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</si>
  <si>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</si>
  <si>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</si>
  <si>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</si>
  <si>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</si>
  <si>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</si>
  <si>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</si>
  <si>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</si>
  <si>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</si>
  <si>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</si>
  <si>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</si>
  <si>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</si>
  <si>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</si>
  <si>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</si>
  <si>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</si>
  <si>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</si>
  <si>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</si>
  <si>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</si>
  <si>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</si>
  <si>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</si>
  <si>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</si>
  <si>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</si>
  <si>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</si>
  <si>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</si>
  <si>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</si>
  <si>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</si>
  <si>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</si>
  <si>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</si>
  <si>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</si>
  <si>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</si>
  <si>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</si>
  <si>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</si>
  <si>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</si>
  <si>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</si>
  <si>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</si>
  <si>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</si>
  <si>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</si>
  <si>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</si>
  <si>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</si>
  <si>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</si>
  <si>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</si>
  <si>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</si>
  <si>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</si>
  <si>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</si>
  <si>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</si>
  <si>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</si>
  <si>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</si>
  <si>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</si>
  <si>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</si>
  <si>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</si>
  <si>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</si>
  <si>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</si>
  <si>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</si>
  <si>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</si>
  <si>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</si>
  <si>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</si>
  <si>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</si>
  <si>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</si>
  <si>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</si>
  <si>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</si>
  <si>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</si>
  <si>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</si>
  <si>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</si>
  <si>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</si>
  <si>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</si>
  <si>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</si>
  <si>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</si>
  <si>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</si>
  <si>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</si>
  <si>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</si>
  <si>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</si>
  <si>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</si>
  <si>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</si>
  <si>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</si>
  <si>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</si>
  <si>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</si>
  <si>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</si>
  <si>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</si>
  <si>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</si>
  <si>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</si>
  <si>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</si>
  <si>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</si>
  <si>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</si>
  <si>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</si>
  <si>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</si>
  <si>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</si>
  <si>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</si>
  <si>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</si>
  <si>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</si>
  <si>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</si>
  <si>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</si>
  <si>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</si>
  <si>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</si>
  <si>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</si>
  <si>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</si>
  <si>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</si>
  <si>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</si>
  <si>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</si>
  <si>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</si>
  <si>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</si>
  <si>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</si>
  <si>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</si>
  <si>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</si>
  <si>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</si>
  <si>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</si>
  <si>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</si>
  <si>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</si>
  <si>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</si>
  <si>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</si>
  <si>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</si>
  <si>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</si>
  <si>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</si>
  <si>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</si>
  <si>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</si>
  <si>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</si>
  <si>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</si>
  <si>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</si>
  <si>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</si>
  <si>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</si>
  <si>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</si>
  <si>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</si>
  <si>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</si>
  <si>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</si>
  <si>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</si>
  <si>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</si>
  <si>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</si>
  <si>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</si>
  <si>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</si>
  <si>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</si>
  <si>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</si>
  <si>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</si>
  <si>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</si>
  <si>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</si>
  <si>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</si>
  <si>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</si>
  <si>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</si>
  <si>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</si>
  <si>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</si>
  <si>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</si>
  <si>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</si>
  <si>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</si>
  <si>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</si>
  <si>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</si>
  <si>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</si>
  <si>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</si>
  <si>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</si>
  <si>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</si>
  <si>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</si>
  <si>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</si>
  <si>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</si>
  <si>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</si>
  <si>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</si>
  <si>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</si>
  <si>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</si>
  <si>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</si>
  <si>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</si>
  <si>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</si>
  <si>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</si>
  <si>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</si>
  <si>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</si>
  <si>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</si>
  <si>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</si>
  <si>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</si>
  <si>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</si>
  <si>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</si>
  <si>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</si>
  <si>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</si>
  <si>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</si>
  <si>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</si>
  <si>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</si>
  <si>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</si>
  <si>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</si>
  <si>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</si>
  <si>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</si>
  <si>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</si>
  <si>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</si>
  <si>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</si>
  <si>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</si>
  <si>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</si>
  <si>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</si>
  <si>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</si>
  <si>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</si>
  <si>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</si>
  <si>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</si>
  <si>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</si>
  <si>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</si>
  <si>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</si>
  <si>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</si>
  <si>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</si>
  <si>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</si>
  <si>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</si>
  <si>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</si>
  <si>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</si>
  <si>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</si>
  <si>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</si>
  <si>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</si>
  <si>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</si>
  <si>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</si>
  <si>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</si>
  <si>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</si>
  <si>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</si>
  <si>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</si>
  <si>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</si>
  <si>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</si>
  <si>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</si>
  <si>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</si>
  <si>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</si>
  <si>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</si>
  <si>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</si>
  <si>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</si>
  <si>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</si>
  <si>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</si>
  <si>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</si>
  <si>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</si>
  <si>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</si>
  <si>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</si>
  <si>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</si>
  <si>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</si>
  <si>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</si>
  <si>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</si>
  <si>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</si>
  <si>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</si>
  <si>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</si>
  <si>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</si>
  <si>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</si>
  <si>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</si>
  <si>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</si>
  <si>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</si>
  <si>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</si>
  <si>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</si>
  <si>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</si>
  <si>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</si>
  <si>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</si>
  <si>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</si>
  <si>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</si>
  <si>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</si>
  <si>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</si>
  <si>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</si>
  <si>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</si>
  <si>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</si>
  <si>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</si>
  <si>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</si>
  <si>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</si>
  <si>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</si>
  <si>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</si>
  <si>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</si>
  <si>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</si>
  <si>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</si>
  <si>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</si>
  <si>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</si>
  <si>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</si>
  <si>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</si>
  <si>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</si>
  <si>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</si>
  <si>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</si>
  <si>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</si>
  <si>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</si>
  <si>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</si>
  <si>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</si>
  <si>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</si>
  <si>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</si>
  <si>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</si>
  <si>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</si>
  <si>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</si>
  <si>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</si>
  <si>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</si>
  <si>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</si>
  <si>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</si>
  <si>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</si>
  <si>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</si>
  <si>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</si>
  <si>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</si>
  <si>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</si>
  <si>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</si>
  <si>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</si>
  <si>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</si>
  <si>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</si>
  <si>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</si>
  <si>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</si>
  <si>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</si>
  <si>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</si>
  <si>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</si>
  <si>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</si>
  <si>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</si>
  <si>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</si>
  <si>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</si>
  <si>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</si>
  <si>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</si>
  <si>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</si>
  <si>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</si>
  <si>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</si>
  <si>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</si>
  <si>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</si>
  <si>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</si>
  <si>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</si>
  <si>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</si>
  <si>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</si>
  <si>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</si>
  <si>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</si>
  <si>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</si>
  <si>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</si>
  <si>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</si>
  <si>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</si>
  <si>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</si>
  <si>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</si>
  <si>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</si>
  <si>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</si>
  <si>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</si>
  <si>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</si>
  <si>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</si>
  <si>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</si>
  <si>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</si>
  <si>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</si>
  <si>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</si>
  <si>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</si>
  <si>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</si>
  <si>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</si>
  <si>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</si>
  <si>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</si>
  <si>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</si>
  <si>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</si>
  <si>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</si>
  <si>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</si>
  <si>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</si>
  <si>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</si>
  <si>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</si>
  <si>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</si>
  <si>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</si>
  <si>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</si>
  <si>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</si>
  <si>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</si>
  <si>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</si>
  <si>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</si>
  <si>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</si>
  <si>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</si>
  <si>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</si>
  <si>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</si>
  <si>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</si>
  <si>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</si>
  <si>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</si>
  <si>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</si>
  <si>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</si>
  <si>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</si>
  <si>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</si>
  <si>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</si>
  <si>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</si>
  <si>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</si>
  <si>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</si>
  <si>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</si>
  <si>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</si>
  <si>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</si>
  <si>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</si>
  <si>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</si>
  <si>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</si>
  <si>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</si>
  <si>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</si>
  <si>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</si>
  <si>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</si>
  <si>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</si>
  <si>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</si>
  <si>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</si>
  <si>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</si>
  <si>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</si>
  <si>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</si>
  <si>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</si>
  <si>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</si>
  <si>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</si>
  <si>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</si>
  <si>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</si>
  <si>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</si>
  <si>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</si>
  <si>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</si>
  <si>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</si>
  <si>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</si>
  <si>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</si>
  <si>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</si>
  <si>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</si>
  <si>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</si>
  <si>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</si>
  <si>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</si>
  <si>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</si>
  <si>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</si>
  <si>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</si>
  <si>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</si>
  <si>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</si>
  <si>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</si>
  <si>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</si>
  <si>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</si>
  <si>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</si>
  <si>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</si>
  <si>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</si>
  <si>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</si>
  <si>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</si>
  <si>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</si>
  <si>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</si>
  <si>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</si>
  <si>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</si>
  <si>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</si>
  <si>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</si>
  <si>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</si>
  <si>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</si>
  <si>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</si>
  <si>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</si>
  <si>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</si>
  <si>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</si>
  <si>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</si>
  <si>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</si>
  <si>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</si>
  <si>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</si>
  <si>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</si>
  <si>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</si>
  <si>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</si>
  <si>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</si>
  <si>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</si>
  <si>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</si>
  <si>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</si>
  <si>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</si>
  <si>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</si>
  <si>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</si>
  <si>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</si>
  <si>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</si>
  <si>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</si>
  <si>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</si>
  <si>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</si>
  <si>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</si>
  <si>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</si>
  <si>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</si>
  <si>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</si>
  <si>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</si>
  <si>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</si>
  <si>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</si>
  <si>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</si>
  <si>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</si>
  <si>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</si>
  <si>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</si>
  <si>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</si>
  <si>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</si>
  <si>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</si>
  <si>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</si>
  <si>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</si>
  <si>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</si>
  <si>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</si>
  <si>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</si>
  <si>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</si>
  <si>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</si>
  <si>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</si>
  <si>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</si>
  <si>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</si>
  <si>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</si>
  <si>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</si>
  <si>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</si>
  <si>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</si>
  <si>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</si>
  <si>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</si>
  <si>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</si>
  <si>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</si>
  <si>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</si>
  <si>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</si>
  <si>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</si>
  <si>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</si>
  <si>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</si>
  <si>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</si>
  <si>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</si>
  <si>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</si>
  <si>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</si>
  <si>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</si>
  <si>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</si>
  <si>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</si>
  <si>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</si>
  <si>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</si>
  <si>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</si>
  <si>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</si>
  <si>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</si>
  <si>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</si>
  <si>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</si>
  <si>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</si>
  <si>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</si>
  <si>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</si>
  <si>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</si>
  <si>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</si>
  <si>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</si>
  <si>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</si>
  <si>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</si>
  <si>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</si>
  <si>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</si>
  <si>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</si>
  <si>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</si>
  <si>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</si>
  <si>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</si>
  <si>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</si>
  <si>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</si>
  <si>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</si>
  <si>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</si>
  <si>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</si>
  <si>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</si>
  <si>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</si>
  <si>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</si>
  <si>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</si>
  <si>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</si>
  <si>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</si>
  <si>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</si>
  <si>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</si>
  <si>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</si>
  <si>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</si>
  <si>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</si>
  <si>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</si>
  <si>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</si>
  <si>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</si>
  <si>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</si>
  <si>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</si>
  <si>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</si>
  <si>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</si>
  <si>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</si>
  <si>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</si>
  <si>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</si>
  <si>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</si>
  <si>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</si>
  <si>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</si>
  <si>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</si>
  <si>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</si>
  <si>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</si>
  <si>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</si>
  <si>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</si>
  <si>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</si>
  <si>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</si>
  <si>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</si>
  <si>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</si>
  <si>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</si>
  <si>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</si>
  <si>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</si>
  <si>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</si>
  <si>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</si>
  <si>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</si>
  <si>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</si>
  <si>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</si>
  <si>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</si>
  <si>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</si>
  <si>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</si>
  <si>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</si>
  <si>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</si>
  <si>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</si>
  <si>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</si>
  <si>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</si>
  <si>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</si>
  <si>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</si>
  <si>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</si>
  <si>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</si>
  <si>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</si>
  <si>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</si>
  <si>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</si>
  <si>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</si>
  <si>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</si>
  <si>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</si>
  <si>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</si>
  <si>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</si>
  <si>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</si>
  <si>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</si>
  <si>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</si>
  <si>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</si>
  <si>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</si>
  <si>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</si>
  <si>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</si>
  <si>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</si>
  <si>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</si>
  <si>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</si>
  <si>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</si>
  <si>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</si>
  <si>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</si>
  <si>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</si>
  <si>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</si>
  <si>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</si>
  <si>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</si>
  <si>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</si>
  <si>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</si>
  <si>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</si>
  <si>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</si>
  <si>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</si>
  <si>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</si>
  <si>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</si>
  <si>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</si>
  <si>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</si>
  <si>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</si>
  <si>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</si>
  <si>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</si>
  <si>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</si>
  <si>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</si>
  <si>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</si>
  <si>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</si>
  <si>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</si>
  <si>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</si>
  <si>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</si>
  <si>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</si>
  <si>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</si>
  <si>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</si>
  <si>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</si>
  <si>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</si>
  <si>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</si>
  <si>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</si>
  <si>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</si>
  <si>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</si>
  <si>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</si>
  <si>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</si>
  <si>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</si>
  <si>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</si>
  <si>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</si>
  <si>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</si>
  <si>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</si>
  <si>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</si>
  <si>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</si>
  <si>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</si>
  <si>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</si>
  <si>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</si>
  <si>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</si>
  <si>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</si>
  <si>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</si>
  <si>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</si>
  <si>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</si>
  <si>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</si>
  <si>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</si>
  <si>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</si>
  <si>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</si>
  <si>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</si>
  <si>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</si>
  <si>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</si>
  <si>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</si>
  <si>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</si>
  <si>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</si>
  <si>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</si>
  <si>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</si>
  <si>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</si>
  <si>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</si>
  <si>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</si>
  <si>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</si>
  <si>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</si>
  <si>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</si>
  <si>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</si>
  <si>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</si>
  <si>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</si>
  <si>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</si>
  <si>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</si>
  <si>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</si>
  <si>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</si>
  <si>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</si>
  <si>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</si>
  <si>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</si>
  <si>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</si>
  <si>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</si>
  <si>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</si>
  <si>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</si>
  <si>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</si>
  <si>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</si>
  <si>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</si>
  <si>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</si>
  <si>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</si>
  <si>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</si>
  <si>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</si>
  <si>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</si>
  <si>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</si>
  <si>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</si>
  <si>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</si>
  <si>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</si>
  <si>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</si>
  <si>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</si>
  <si>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</si>
  <si>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</si>
  <si>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</si>
  <si>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</si>
  <si>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</si>
  <si>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</si>
  <si>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</si>
  <si>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</si>
  <si>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</si>
  <si>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</si>
  <si>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</si>
  <si>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</si>
  <si>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</si>
  <si>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</si>
  <si>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</si>
  <si>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</si>
  <si>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</si>
  <si>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</si>
  <si>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</si>
  <si>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</si>
  <si>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</si>
  <si>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</si>
  <si>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</si>
  <si>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</si>
  <si>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</si>
  <si>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</si>
  <si>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</si>
  <si>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</si>
  <si>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</si>
  <si>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</si>
  <si>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</si>
  <si>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</si>
  <si>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</si>
  <si>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</si>
  <si>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</si>
  <si>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</si>
  <si>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</si>
  <si>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</si>
  <si>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</si>
  <si>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</si>
  <si>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</si>
  <si>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</si>
  <si>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</si>
  <si>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</si>
  <si>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</si>
  <si>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</si>
  <si>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</si>
  <si>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</si>
  <si>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</si>
  <si>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</si>
  <si>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</si>
  <si>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</si>
  <si>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</si>
  <si>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</si>
  <si>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</si>
  <si>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</si>
  <si>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</si>
  <si>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</si>
  <si>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</si>
  <si>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</si>
  <si>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</si>
  <si>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</si>
  <si>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</si>
  <si>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</si>
  <si>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</si>
  <si>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</si>
  <si>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</si>
  <si>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</si>
  <si>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</si>
  <si>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</si>
  <si>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</si>
  <si>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</si>
  <si>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</si>
  <si>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</si>
  <si>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</si>
  <si>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</si>
  <si>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</si>
  <si>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</si>
  <si>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</si>
  <si>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</si>
  <si>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</si>
  <si>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</si>
  <si>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</si>
  <si>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</si>
  <si>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</si>
  <si>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</si>
  <si>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</si>
  <si>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</si>
  <si>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</si>
  <si>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</si>
  <si>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</si>
  <si>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</si>
  <si>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</si>
  <si>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</si>
  <si>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</si>
  <si>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</si>
  <si>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</si>
  <si>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</si>
  <si>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</si>
  <si>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</si>
  <si>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</si>
  <si>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</si>
  <si>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</si>
  <si>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</si>
  <si>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</si>
  <si>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</si>
  <si>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</si>
  <si>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</si>
  <si>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</si>
  <si>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</si>
  <si>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</si>
  <si>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</si>
  <si>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</si>
  <si>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</si>
  <si>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</si>
  <si>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</si>
  <si>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</si>
  <si>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</si>
  <si>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</si>
  <si>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</si>
  <si>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</si>
  <si>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</si>
  <si>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</si>
  <si>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</si>
  <si>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</si>
  <si>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</si>
  <si>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</si>
  <si>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</si>
  <si>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</si>
  <si>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</si>
  <si>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</si>
  <si>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</si>
  <si>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</si>
  <si>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</si>
  <si>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</si>
  <si>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</si>
  <si>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</si>
  <si>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</si>
  <si>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</si>
  <si>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</si>
  <si>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</si>
  <si>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</si>
  <si>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</si>
  <si>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</si>
  <si>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</si>
  <si>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</si>
  <si>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</si>
  <si>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</si>
  <si>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</si>
  <si>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</si>
  <si>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</si>
  <si>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</si>
  <si>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</si>
  <si>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</si>
  <si>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</si>
  <si>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</si>
  <si>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</si>
  <si>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</si>
  <si>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</si>
  <si>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</si>
  <si>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</si>
  <si>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</si>
  <si>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</si>
  <si>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</si>
  <si>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</si>
  <si>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</si>
  <si>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</si>
  <si>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</si>
  <si>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</si>
  <si>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</si>
  <si>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</si>
  <si>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</si>
  <si>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</si>
  <si>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</si>
  <si>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</si>
  <si>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</si>
  <si>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</si>
  <si>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</si>
  <si>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</si>
  <si>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</si>
  <si>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</si>
  <si>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</si>
  <si>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</si>
  <si>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</si>
  <si>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</si>
  <si>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</si>
  <si>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</si>
  <si>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</si>
  <si>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</si>
  <si>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</si>
  <si>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</si>
  <si>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</si>
  <si>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</si>
  <si>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</si>
  <si>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</si>
  <si>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</si>
  <si>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</si>
  <si>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</si>
  <si>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</si>
  <si>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</si>
  <si>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</si>
  <si>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</si>
  <si>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</si>
  <si>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</si>
  <si>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</si>
  <si>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</si>
  <si>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</si>
  <si>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</si>
  <si>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</si>
  <si>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</si>
  <si>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</si>
  <si>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</si>
  <si>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</si>
  <si>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</si>
  <si>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</si>
  <si>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</si>
  <si>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</si>
  <si>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</si>
  <si>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</si>
  <si>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</si>
  <si>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</si>
  <si>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</si>
  <si>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</si>
  <si>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</si>
  <si>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</si>
  <si>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</si>
  <si>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</si>
  <si>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</si>
  <si>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</si>
  <si>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</si>
  <si>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</si>
  <si>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</si>
  <si>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</si>
  <si>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</si>
  <si>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</si>
  <si>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</si>
  <si>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</si>
  <si>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</si>
  <si>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</si>
  <si>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</si>
  <si>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</si>
  <si>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</si>
  <si>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</si>
  <si>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</si>
  <si>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</si>
  <si>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</si>
  <si>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</si>
  <si>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</si>
  <si>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</si>
  <si>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</si>
  <si>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</si>
  <si>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</si>
  <si>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</si>
  <si>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</si>
  <si>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</si>
  <si>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</si>
  <si>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</si>
  <si>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</si>
  <si>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</si>
  <si>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</si>
  <si>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</si>
  <si>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</si>
  <si>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</si>
  <si>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</si>
  <si>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</si>
  <si>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</si>
  <si>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</si>
  <si>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</si>
  <si>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</si>
  <si>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</si>
  <si>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</si>
  <si>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</si>
  <si>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</si>
  <si>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</si>
  <si>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</si>
  <si>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</si>
  <si>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</si>
  <si>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</si>
  <si>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</si>
  <si>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</si>
  <si>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</si>
  <si>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</si>
  <si>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</si>
  <si>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</si>
  <si>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</si>
  <si>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</si>
  <si>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</si>
  <si>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</si>
  <si>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</si>
  <si>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</si>
  <si>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</si>
  <si>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</si>
  <si>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</si>
  <si>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</si>
  <si>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</si>
  <si>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</si>
  <si>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</si>
  <si>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</si>
  <si>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</si>
  <si>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</si>
  <si>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</si>
  <si>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</si>
  <si>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</si>
  <si>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</si>
  <si>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</si>
  <si>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</si>
  <si>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</si>
  <si>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</si>
  <si>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</si>
  <si>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</si>
  <si>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</si>
  <si>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</si>
  <si>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</si>
  <si>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</si>
  <si>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</si>
  <si>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</si>
  <si>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</si>
  <si>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</si>
  <si>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</si>
  <si>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</si>
  <si>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</si>
  <si>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</si>
  <si>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</si>
  <si>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</si>
  <si>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</si>
  <si>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</si>
  <si>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</si>
  <si>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</si>
  <si>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</si>
  <si>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</si>
  <si>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</si>
  <si>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</si>
  <si>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</si>
  <si>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</si>
  <si>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</si>
  <si>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</si>
  <si>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</si>
  <si>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</si>
  <si>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</si>
  <si>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</si>
  <si>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</si>
  <si>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</si>
  <si>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</si>
  <si>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</si>
  <si>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</si>
  <si>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</si>
  <si>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</si>
  <si>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</si>
  <si>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</si>
  <si>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</si>
  <si>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</si>
  <si>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</si>
  <si>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</si>
  <si>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</si>
  <si>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</si>
  <si>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</si>
  <si>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</si>
  <si>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</si>
  <si>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</si>
  <si>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</si>
  <si>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</si>
  <si>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</si>
  <si>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</si>
  <si>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</si>
  <si>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</si>
  <si>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</si>
  <si>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</si>
  <si>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</si>
  <si>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</si>
  <si>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</si>
  <si>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</si>
  <si>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</si>
  <si>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</si>
  <si>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</si>
  <si>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</si>
  <si>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</si>
  <si>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</si>
  <si>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</si>
  <si>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</si>
  <si>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</si>
  <si>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</si>
  <si>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</si>
  <si>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</si>
  <si>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</si>
  <si>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</si>
  <si>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</si>
  <si>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</si>
  <si>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</si>
  <si>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</si>
  <si>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</si>
  <si>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</si>
  <si>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</si>
  <si>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</si>
  <si>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</si>
  <si>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</si>
  <si>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</si>
  <si>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</si>
  <si>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</si>
  <si>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</si>
  <si>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</si>
  <si>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</si>
  <si>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</si>
  <si>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</si>
  <si>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</si>
  <si>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</si>
  <si>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</si>
  <si>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</si>
  <si>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</si>
  <si>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</si>
  <si>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</si>
  <si>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</si>
  <si>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</si>
  <si>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</si>
  <si>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</si>
  <si>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</si>
  <si>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</si>
  <si>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</si>
  <si>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</si>
  <si>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</si>
  <si>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</si>
  <si>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</si>
  <si>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</si>
  <si>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</si>
  <si>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</si>
  <si>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</si>
  <si>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</si>
  <si>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</si>
  <si>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</si>
  <si>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</si>
  <si>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</si>
  <si>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</si>
  <si>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</si>
  <si>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</si>
  <si>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</si>
  <si>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</si>
  <si>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</si>
  <si>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</si>
  <si>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</si>
  <si>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</si>
  <si>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</si>
  <si>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</si>
  <si>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</si>
  <si>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</si>
  <si>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</si>
  <si>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</si>
  <si>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</si>
  <si>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</si>
  <si>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</si>
  <si>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</si>
  <si>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</si>
  <si>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</si>
  <si>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</si>
  <si>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</si>
  <si>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</si>
  <si>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</si>
  <si>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</si>
  <si>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</si>
  <si>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</si>
  <si>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</si>
  <si>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</si>
  <si>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</si>
  <si>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</si>
  <si>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</si>
  <si>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</si>
  <si>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</si>
  <si>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</si>
  <si>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</si>
  <si>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</si>
  <si>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</si>
  <si>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</si>
  <si>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</si>
  <si>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</si>
  <si>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</si>
  <si>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</si>
  <si>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</si>
  <si>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</si>
  <si>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</si>
  <si>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</si>
  <si>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</si>
  <si>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</si>
  <si>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</si>
  <si>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</si>
  <si>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</si>
  <si>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</si>
  <si>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</si>
  <si>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</si>
  <si>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</si>
  <si>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</si>
  <si>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</si>
  <si>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</si>
  <si>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</si>
  <si>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</si>
  <si>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</si>
  <si>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</si>
  <si>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</si>
  <si>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</si>
  <si>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</si>
  <si>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</si>
  <si>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</si>
  <si>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</si>
  <si>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</si>
  <si>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</si>
  <si>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</si>
  <si>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</si>
  <si>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</si>
  <si>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</si>
  <si>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</si>
  <si>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</si>
  <si>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</si>
  <si>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</si>
  <si>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</si>
  <si>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</si>
  <si>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</si>
  <si>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</si>
  <si>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</si>
  <si>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</si>
  <si>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</si>
  <si>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</si>
  <si>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</si>
  <si>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</si>
  <si>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</si>
  <si>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</si>
  <si>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</si>
  <si>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</si>
  <si>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</si>
  <si>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</si>
  <si>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</si>
  <si>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</si>
  <si>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</si>
  <si>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</si>
  <si>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</si>
  <si>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</si>
  <si>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</si>
  <si>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</si>
  <si>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</si>
  <si>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</si>
  <si>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</si>
  <si>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</si>
  <si>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</si>
  <si>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</si>
  <si>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</si>
  <si>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</si>
  <si>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</si>
  <si>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</si>
  <si>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</si>
  <si>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</si>
  <si>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</si>
  <si>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</si>
  <si>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</si>
  <si>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</si>
  <si>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</si>
  <si>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</si>
  <si>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</si>
  <si>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</si>
  <si>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</si>
  <si>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</si>
  <si>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</si>
  <si>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</si>
  <si>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</si>
  <si>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</si>
  <si>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</si>
  <si>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</si>
  <si>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</si>
  <si>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</si>
  <si>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</si>
  <si>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</si>
  <si>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</si>
  <si>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</si>
  <si>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</si>
  <si>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</si>
  <si>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</si>
  <si>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</si>
  <si>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</si>
  <si>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</si>
  <si>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</si>
  <si>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</si>
  <si>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</si>
  <si>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</si>
  <si>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</si>
  <si>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</si>
  <si>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</si>
  <si>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</si>
  <si>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</si>
  <si>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</si>
  <si>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</si>
  <si>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</si>
  <si>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</si>
  <si>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</si>
  <si>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</si>
  <si>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</si>
  <si>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</si>
  <si>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</si>
  <si>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</si>
  <si>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</si>
  <si>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</si>
  <si>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</si>
  <si>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</si>
  <si>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</si>
  <si>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</si>
  <si>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</si>
  <si>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</si>
  <si>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</si>
  <si>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</si>
  <si>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</si>
  <si>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</si>
  <si>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</si>
  <si>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</si>
  <si>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</si>
  <si>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</si>
  <si>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</si>
  <si>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</si>
  <si>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</si>
  <si>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</si>
  <si>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</si>
  <si>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</si>
  <si>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</si>
  <si>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</si>
  <si>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</si>
  <si>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</si>
  <si>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</si>
  <si>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</si>
  <si>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</si>
  <si>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</si>
  <si>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</si>
  <si>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</si>
  <si>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</si>
  <si>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</si>
  <si>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</si>
  <si>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</si>
  <si>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</si>
  <si>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</si>
  <si>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</si>
  <si>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</si>
  <si>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</si>
  <si>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</si>
  <si>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</si>
  <si>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</si>
  <si>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</si>
  <si>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</si>
  <si>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</si>
  <si>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</si>
  <si>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</si>
  <si>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</si>
  <si>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</si>
  <si>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</si>
  <si>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</si>
  <si>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</si>
  <si>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</si>
  <si>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</si>
  <si>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</si>
  <si>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</si>
  <si>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</si>
  <si>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</si>
  <si>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</si>
  <si>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</si>
  <si>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</si>
  <si>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</si>
  <si>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</si>
  <si>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</si>
  <si>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</si>
  <si>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</si>
  <si>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</si>
  <si>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</si>
  <si>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</si>
  <si>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</si>
  <si>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</si>
  <si>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</si>
  <si>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</si>
  <si>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</si>
  <si>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</si>
  <si>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</si>
  <si>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</si>
  <si>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</si>
  <si>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</si>
  <si>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</si>
  <si>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</si>
  <si>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</si>
  <si>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</si>
  <si>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</si>
  <si>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</si>
  <si>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</si>
  <si>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</si>
  <si>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</si>
  <si>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</si>
  <si>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</si>
  <si>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</si>
  <si>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</si>
  <si>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</si>
  <si>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</si>
  <si>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</si>
  <si>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</si>
  <si>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</si>
  <si>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</si>
  <si>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</si>
  <si>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</si>
  <si>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</si>
  <si>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</si>
  <si>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</si>
  <si>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</si>
  <si>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</si>
  <si>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</si>
  <si>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</si>
  <si>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</si>
  <si>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</si>
  <si>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</si>
  <si>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</si>
  <si>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</si>
  <si>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</si>
  <si>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</si>
  <si>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</si>
  <si>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</si>
  <si>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</si>
  <si>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</si>
  <si>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</si>
  <si>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</si>
  <si>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</si>
  <si>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</si>
  <si>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</si>
  <si>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</si>
  <si>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</si>
  <si>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</si>
  <si>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</si>
  <si>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</si>
  <si>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</si>
  <si>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</si>
  <si>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</si>
  <si>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</si>
  <si>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</si>
  <si>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</si>
  <si>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</si>
  <si>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</si>
  <si>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</si>
  <si>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</si>
  <si>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</si>
  <si>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</si>
  <si>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</si>
  <si>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</si>
  <si>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</si>
  <si>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</si>
  <si>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</si>
  <si>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</si>
  <si>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</si>
  <si>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</si>
  <si>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</si>
  <si>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</si>
  <si>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</si>
  <si>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</si>
  <si>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</si>
  <si>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</si>
  <si>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</si>
  <si>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</si>
  <si>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</si>
  <si>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</si>
  <si>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</si>
  <si>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</si>
  <si>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</si>
  <si>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</si>
  <si>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</si>
  <si>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</si>
  <si>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</si>
  <si>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</si>
  <si>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</si>
  <si>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</si>
  <si>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</si>
  <si>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</si>
  <si>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</si>
  <si>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</si>
  <si>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</si>
  <si>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</si>
  <si>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</si>
  <si>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</si>
  <si>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</si>
  <si>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</si>
  <si>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</si>
  <si>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</si>
  <si>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</si>
  <si>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</si>
  <si>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</si>
  <si>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</si>
  <si>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</si>
  <si>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</si>
  <si>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</si>
  <si>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</si>
  <si>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</si>
  <si>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</si>
  <si>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</si>
  <si>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</si>
  <si>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</si>
  <si>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</si>
  <si>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</si>
  <si>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</si>
  <si>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</si>
  <si>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</si>
  <si>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</si>
  <si>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</si>
  <si>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</si>
  <si>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</si>
  <si>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</si>
  <si>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</si>
  <si>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</si>
  <si>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</si>
  <si>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</si>
  <si>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</si>
  <si>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</si>
  <si>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</si>
  <si>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</si>
  <si>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</si>
  <si>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</si>
  <si>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</si>
  <si>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</si>
  <si>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</si>
  <si>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</si>
  <si>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</si>
  <si>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</si>
  <si>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</si>
  <si>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</si>
  <si>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</si>
  <si>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</si>
  <si>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</si>
  <si>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</si>
  <si>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</si>
  <si>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</si>
  <si>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</si>
  <si>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</si>
  <si>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</si>
  <si>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</si>
  <si>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</si>
  <si>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</si>
  <si>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</si>
  <si>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</si>
  <si>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</si>
  <si>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</si>
  <si>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</si>
  <si>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</si>
  <si>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</si>
  <si>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</si>
  <si>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</si>
  <si>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</si>
  <si>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</si>
  <si>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</si>
  <si>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</si>
  <si>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</si>
  <si>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</si>
  <si>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</si>
  <si>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</si>
  <si>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</si>
  <si>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</si>
  <si>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</si>
  <si>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</si>
  <si>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</si>
  <si>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</si>
  <si>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</si>
  <si>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</si>
  <si>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</si>
  <si>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</si>
  <si>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</si>
  <si>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</si>
  <si>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</si>
  <si>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</si>
  <si>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</si>
  <si>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</si>
  <si>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</si>
  <si>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</si>
  <si>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</si>
  <si>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</si>
  <si>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</si>
  <si>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</si>
  <si>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</si>
  <si>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</si>
  <si>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</si>
  <si>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</si>
  <si>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</si>
  <si>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</si>
  <si>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</si>
  <si>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</si>
  <si>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</si>
  <si>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</si>
  <si>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</si>
  <si>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</si>
  <si>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</si>
  <si>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</si>
  <si>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</si>
  <si>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</si>
  <si>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</si>
  <si>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</si>
  <si>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</si>
  <si>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</si>
  <si>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</si>
  <si>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</si>
  <si>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</si>
  <si>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</si>
  <si>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</si>
  <si>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</si>
  <si>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</si>
  <si>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</si>
  <si>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</si>
  <si>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</si>
  <si>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</si>
  <si>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</si>
  <si>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</si>
  <si>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</si>
  <si>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</si>
  <si>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</si>
  <si>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</si>
  <si>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</si>
  <si>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</si>
  <si>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</si>
  <si>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</si>
  <si>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</si>
  <si>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</si>
  <si>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</si>
  <si>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</si>
  <si>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</si>
  <si>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</si>
  <si>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</si>
  <si>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</si>
  <si>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</si>
  <si>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</si>
  <si>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</si>
  <si>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</si>
  <si>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</si>
  <si>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</si>
  <si>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</si>
  <si>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</si>
  <si>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</si>
  <si>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</si>
  <si>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</si>
  <si>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</si>
  <si>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</si>
  <si>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</si>
  <si>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</si>
  <si>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</si>
  <si>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</si>
  <si>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</si>
  <si>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</si>
  <si>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</si>
  <si>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</si>
  <si>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</si>
  <si>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</si>
  <si>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</si>
  <si>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</si>
  <si>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</si>
  <si>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</si>
  <si>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</si>
  <si>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</si>
  <si>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</si>
  <si>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</si>
  <si>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</si>
  <si>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</si>
  <si>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</si>
  <si>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</si>
  <si>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</si>
  <si>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</si>
  <si>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</si>
  <si>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</si>
  <si>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</si>
  <si>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</si>
  <si>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</si>
  <si>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</si>
  <si>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</si>
  <si>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</si>
  <si>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</si>
  <si>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</si>
  <si>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</si>
  <si>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</si>
  <si>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</si>
  <si>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</si>
  <si>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</si>
  <si>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</si>
  <si>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</si>
  <si>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</si>
  <si>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</si>
  <si>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</si>
  <si>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</si>
  <si>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</si>
  <si>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</si>
  <si>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</si>
  <si>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</si>
  <si>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</si>
  <si>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</si>
  <si>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</si>
  <si>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</si>
  <si>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</si>
  <si>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</si>
  <si>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</si>
  <si>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</si>
  <si>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</si>
  <si>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</si>
  <si>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</si>
  <si>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</si>
  <si>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</si>
  <si>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</si>
  <si>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</si>
  <si>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</si>
  <si>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</si>
  <si>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</si>
  <si>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</si>
  <si>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</si>
  <si>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</si>
  <si>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</si>
  <si>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</si>
  <si>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</si>
  <si>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</si>
  <si>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</si>
  <si>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</si>
  <si>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</si>
  <si>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</si>
  <si>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</si>
  <si>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</si>
  <si>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</si>
  <si>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</si>
  <si>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</si>
  <si>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</si>
  <si>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</si>
  <si>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</si>
  <si>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</si>
  <si>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</si>
  <si>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</si>
  <si>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</si>
  <si>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</si>
  <si>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</si>
  <si>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</si>
  <si>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</si>
  <si>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</si>
  <si>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</si>
  <si>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</si>
  <si>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</si>
  <si>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</si>
  <si>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</si>
  <si>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</si>
  <si>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</si>
  <si>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</si>
  <si>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</si>
  <si>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</si>
  <si>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</si>
  <si>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</si>
  <si>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</si>
  <si>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</si>
  <si>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</si>
  <si>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</si>
  <si>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</si>
  <si>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</si>
  <si>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</si>
  <si>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</si>
  <si>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</si>
  <si>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</si>
  <si>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</si>
  <si>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</si>
  <si>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</si>
  <si>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</si>
  <si>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</si>
  <si>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</si>
  <si>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</si>
  <si>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</si>
  <si>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</si>
  <si>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</si>
  <si>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</si>
  <si>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</si>
  <si>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</si>
  <si>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</si>
  <si>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</si>
  <si>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</si>
  <si>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</si>
  <si>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</si>
  <si>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</si>
  <si>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</si>
  <si>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</si>
  <si>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</si>
  <si>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</si>
  <si>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</si>
  <si>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</si>
  <si>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</si>
  <si>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</si>
  <si>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</si>
  <si>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</si>
  <si>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</si>
  <si>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</si>
  <si>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</si>
  <si>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</si>
  <si>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</si>
  <si>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</si>
  <si>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</si>
  <si>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</si>
  <si>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</si>
  <si>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</si>
  <si>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</si>
  <si>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</si>
  <si>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</si>
  <si>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</si>
  <si>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</si>
  <si>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</si>
  <si>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</si>
  <si>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</si>
  <si>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</si>
  <si>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</si>
  <si>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</si>
  <si>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</si>
  <si>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</si>
  <si>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</si>
  <si>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</si>
  <si>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</si>
  <si>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</si>
  <si>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</si>
  <si>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</si>
  <si>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</si>
  <si>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</si>
  <si>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</si>
  <si>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</si>
  <si>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</si>
  <si>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</si>
  <si>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</si>
  <si>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</si>
  <si>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</si>
  <si>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</si>
  <si>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</si>
  <si>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</si>
  <si>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</si>
  <si>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</si>
  <si>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</si>
  <si>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</si>
  <si>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</si>
  <si>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</si>
  <si>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</si>
  <si>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</si>
  <si>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</si>
  <si>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</si>
  <si>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</si>
  <si>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</si>
  <si>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</si>
  <si>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</si>
  <si>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</si>
  <si>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</si>
  <si>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</si>
  <si>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</si>
  <si>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</si>
  <si>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</si>
  <si>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</si>
  <si>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</si>
  <si>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</si>
  <si>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</si>
  <si>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</si>
  <si>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</si>
  <si>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</si>
  <si>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</si>
  <si>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</si>
  <si>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</si>
  <si>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</si>
  <si>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</si>
  <si>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</si>
  <si>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</si>
  <si>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</si>
  <si>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</si>
  <si>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</si>
  <si>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</si>
  <si>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</si>
  <si>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</si>
  <si>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</si>
  <si>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</si>
  <si>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</si>
  <si>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</si>
  <si>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C:\Users\SYED\Desktop\Sheets\2019-11-16_113458_1968.xls</t>
  </si>
  <si>
    <t>ABC123</t>
  </si>
  <si>
    <t>KAUR GURPREET</t>
  </si>
  <si>
    <t>0,33</t>
  </si>
  <si>
    <t>0,3</t>
  </si>
  <si>
    <t>LAZ CHICKEN MASALA X 6    *OFFERTA*</t>
  </si>
  <si>
    <t>TATA TEA 1 KG X 12  Offerta</t>
  </si>
  <si>
    <t>C:\Users\SYED\Desktop\Sheets\2019-11-16_113458_1969.xls</t>
  </si>
  <si>
    <t>SINGH GRUKARAN</t>
  </si>
  <si>
    <t>0,5</t>
  </si>
  <si>
    <t>1,67</t>
  </si>
  <si>
    <t>0,83</t>
  </si>
  <si>
    <t>C:\Users\SYED\Desktop\Sheets\2019-11-16_113458_1970.xls</t>
  </si>
  <si>
    <t>DHALIWALL JASWINDER SINGH</t>
  </si>
  <si>
    <t xml:space="preserve">WSA MOTH 1KGX16  </t>
  </si>
  <si>
    <t>C:\Users\SYED\Desktop\Sheets\2019-11-16_113458_1971.xls</t>
  </si>
  <si>
    <t>KIANI HAFEEZA</t>
  </si>
  <si>
    <t>C:\Users\SYED\Desktop\Sheets\2019-11-16_113458_1972.xls</t>
  </si>
  <si>
    <t>JASHAN DI SINGH NISSAN</t>
  </si>
  <si>
    <t>C:\Users\SYED\Desktop\Sheets\2019-11-16_113458_1973.xls</t>
  </si>
  <si>
    <t>NIRWAL INTERNATIONAL SHOP DI KAUR BALWINDER</t>
  </si>
  <si>
    <t xml:space="preserve">CIPOLE FRESCO 5KG </t>
  </si>
  <si>
    <t>C:\Users\SYED\Desktop\Sheets\2019-11-16_113458_1975.xls</t>
  </si>
  <si>
    <t>PUNJABI STORE DI SINGH ROOP S.A.S.</t>
  </si>
  <si>
    <t>HASSAN ALIMENTARI DI AHMED FIAZ</t>
  </si>
  <si>
    <t>C:\Users\SYED\Desktop\purchase\Purchase temp.xlsx</t>
  </si>
  <si>
    <t>123</t>
  </si>
  <si>
    <t>WSA ABC</t>
  </si>
  <si>
    <t>WSA FAN CELING  X1</t>
  </si>
  <si>
    <t>WSA CASHEW KERNELS 100 G X20   </t>
  </si>
  <si>
    <t>TRS GINGER PWD 400GX10  *offerta*</t>
  </si>
  <si>
    <t>(within last 30 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</si>
</sst>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0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24" fillId="0" borderId="13" xfId="0" applyFont="1" applyBorder="1" applyAlignment="1">
      <alignment horizontal="center"/>
    </xf>
    <xf numFmtId="15" fontId="24" fillId="0" borderId="13" xfId="0" applyNumberFormat="1" applyFont="1" applyBorder="1" applyAlignment="1">
      <alignment horizontal="center"/>
    </xf>
    <xf numFmtId="49" fontId="24" fillId="0" borderId="13" xfId="0" applyNumberFormat="1" applyFont="1" applyBorder="1" applyAlignment="1">
      <alignment horizontal="center"/>
    </xf>
    <xf numFmtId="0" fontId="24" fillId="0" borderId="13" xfId="0" applyFont="1" applyFill="1" applyBorder="1" applyAlignment="1">
      <alignment horizontal="center" vertical="center"/>
    </xf>
    <xf numFmtId="0" fontId="24" fillId="0" borderId="13" xfId="0" applyFont="1" applyFill="1" applyBorder="1" applyAlignment="1">
      <alignment horizontal="left" vertic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  <xf numFmtId="15" fontId="24" fillId="0" borderId="13" xfId="0" applyNumberFormat="1" applyFont="1" applyBorder="1" applyAlignment="1">
      <alignment horizontal="left"/>
    </xf>
    <xf numFmtId="167" fontId="24" fillId="0" borderId="13" xfId="0" applyNumberFormat="1" applyFont="1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SFI GINGER FRESH 10KG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537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389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$(1,635)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$(1,635)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2.063623842594" createdVersion="6" refreshedVersion="6" minRefreshableVersion="3" recordCount="2133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03-30T00:00:00" maxDate="2020-01-3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15" maxValue="170"/>
    </cacheField>
    <cacheField name="Value" numFmtId="42">
      <sharedItems containsSemiMixedTypes="0" containsString="0" containsNumber="1" minValue="-203.44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3">
  <r>
    <n v="1"/>
    <s v=" A16"/>
    <s v="CIPOLE FRESCO 5 kg"/>
    <m/>
    <x v="0"/>
    <m/>
    <d v="2019-03-30T00:00:00"/>
    <m/>
    <n v="0"/>
    <n v="0"/>
  </r>
  <r>
    <n v="2"/>
    <n v="106"/>
    <s v="MARVEL TEA RED PREMIUM 1KGX14"/>
    <m/>
    <x v="0"/>
    <m/>
    <d v="2019-12-28T00:00:00"/>
    <m/>
    <n v="0"/>
    <n v="0"/>
  </r>
  <r>
    <n v="3"/>
    <n v="222"/>
    <s v="SHAAN MUSTARD OIL 1LT"/>
    <m/>
    <x v="0"/>
    <m/>
    <d v="2019-12-28T00:00:00"/>
    <m/>
    <n v="0"/>
    <n v="0"/>
  </r>
  <r>
    <n v="4"/>
    <n v="581"/>
    <s v="TRS MADRAS PAPADS PLAIN 200GX60"/>
    <m/>
    <x v="0"/>
    <m/>
    <d v="2019-12-28T00:00:00"/>
    <m/>
    <n v="0"/>
    <n v="0"/>
  </r>
  <r>
    <n v="5"/>
    <s v="A1"/>
    <s v="A1 ALUBUKHARA 200GX20PCS"/>
    <m/>
    <x v="0"/>
    <m/>
    <d v="2019-12-28T00:00:00"/>
    <m/>
    <n v="0"/>
    <n v="0"/>
  </r>
  <r>
    <n v="6"/>
    <s v="A10"/>
    <s v="ALPAVIT MILK PWD 25KG X1"/>
    <m/>
    <x v="0"/>
    <m/>
    <d v="2019-12-28T00:00:00"/>
    <m/>
    <n v="0"/>
    <n v="0"/>
  </r>
  <r>
    <n v="7"/>
    <s v="A100"/>
    <s v="SHOPPERS BIG "/>
    <m/>
    <x v="0"/>
    <m/>
    <d v="2019-12-28T00:00:00"/>
    <m/>
    <n v="0"/>
    <n v="0"/>
  </r>
  <r>
    <n v="8"/>
    <s v="A101"/>
    <s v="SHOPPERS MED "/>
    <m/>
    <x v="0"/>
    <m/>
    <d v="2019-12-28T00:00:00"/>
    <m/>
    <n v="0"/>
    <n v="0"/>
  </r>
  <r>
    <n v="9"/>
    <s v="A102"/>
    <s v="SOCKSX1"/>
    <m/>
    <x v="0"/>
    <m/>
    <d v="2019-12-28T00:00:00"/>
    <m/>
    <n v="0"/>
    <n v="0"/>
  </r>
  <r>
    <n v="10"/>
    <s v="A103"/>
    <s v="SOY SAUCE DARK 150 ML X 12"/>
    <m/>
    <x v="0"/>
    <m/>
    <d v="2019-12-28T00:00:00"/>
    <m/>
    <n v="0"/>
    <n v="0"/>
  </r>
  <r>
    <n v="11"/>
    <s v="A104"/>
    <s v="SOY SAUCE LIGHT 150 ML X 12"/>
    <m/>
    <x v="0"/>
    <m/>
    <d v="2019-12-28T00:00:00"/>
    <m/>
    <n v="0"/>
    <n v="0"/>
  </r>
  <r>
    <n v="12"/>
    <s v="A105"/>
    <s v="SOYA  SAUCE 200 ML X 6"/>
    <m/>
    <x v="0"/>
    <m/>
    <d v="2019-12-28T00:00:00"/>
    <m/>
    <n v="0"/>
    <n v="0"/>
  </r>
  <r>
    <n v="13"/>
    <s v="A106"/>
    <s v="SWEET CHICKEN CHILLI SAUCE 800 X 12"/>
    <m/>
    <x v="0"/>
    <m/>
    <d v="2019-12-28T00:00:00"/>
    <m/>
    <n v="0"/>
    <n v="0"/>
  </r>
  <r>
    <n v="14"/>
    <s v="A107"/>
    <s v="SEWING MACHINE WOODEN X 1"/>
    <m/>
    <x v="0"/>
    <m/>
    <d v="2019-12-28T00:00:00"/>
    <m/>
    <n v="0"/>
    <n v="0"/>
  </r>
  <r>
    <n v="15"/>
    <s v="A108"/>
    <s v="SWSEWING MACHINE PLASTIC  X 1"/>
    <m/>
    <x v="0"/>
    <m/>
    <d v="2019-12-28T00:00:00"/>
    <m/>
    <n v="0"/>
    <n v="0"/>
  </r>
  <r>
    <n v="16"/>
    <s v="A109"/>
    <s v="KHANUM VEGETABLE GHEE 12.5 KG X 1"/>
    <m/>
    <x v="0"/>
    <m/>
    <d v="2019-12-28T00:00:00"/>
    <m/>
    <n v="0"/>
    <n v="0"/>
  </r>
  <r>
    <n v="17"/>
    <s v="A11"/>
    <s v="BIGEN  N59-6GX6"/>
    <m/>
    <x v="0"/>
    <m/>
    <d v="2019-12-29T00:00:00"/>
    <m/>
    <n v="0"/>
    <n v="0"/>
  </r>
  <r>
    <n v="18"/>
    <s v="A110"/>
    <s v="TATA TEA 1 KG X 12"/>
    <m/>
    <x v="0"/>
    <m/>
    <d v="2019-12-29T00:00:00"/>
    <m/>
    <n v="-1"/>
    <n v="-65.400000000000006"/>
  </r>
  <r>
    <n v="19"/>
    <s v="A111"/>
    <s v="TATA TEA 250 G X 48"/>
    <m/>
    <x v="0"/>
    <m/>
    <d v="2019-12-29T00:00:00"/>
    <m/>
    <n v="0"/>
    <n v="0"/>
  </r>
  <r>
    <n v="20"/>
    <s v="A112"/>
    <s v="TATA TEA 500 G X 24"/>
    <m/>
    <x v="0"/>
    <m/>
    <d v="2019-12-29T00:00:00"/>
    <m/>
    <n v="0"/>
    <n v="0"/>
  </r>
  <r>
    <n v="21"/>
    <s v="A113"/>
    <s v="THAI CHILLI SAUCE 435 G X 12"/>
    <m/>
    <x v="0"/>
    <m/>
    <d v="2019-12-29T00:00:00"/>
    <m/>
    <n v="0"/>
    <n v="0"/>
  </r>
  <r>
    <n v="22"/>
    <s v="A114"/>
    <s v="TIBET PWD BIG X 6"/>
    <m/>
    <x v="0"/>
    <m/>
    <d v="2019-12-29T00:00:00"/>
    <m/>
    <n v="0"/>
    <n v="0"/>
  </r>
  <r>
    <n v="23"/>
    <s v="A115"/>
    <s v="TIBET SNOW S/4 5CC X 12"/>
    <m/>
    <x v="0"/>
    <m/>
    <d v="2019-12-29T00:00:00"/>
    <m/>
    <n v="0"/>
    <n v="0"/>
  </r>
  <r>
    <n v="24"/>
    <s v="A116"/>
    <s v="TIBET TALCUM PWD 85 G X 6"/>
    <m/>
    <x v="0"/>
    <m/>
    <d v="2019-12-29T00:00:00"/>
    <m/>
    <n v="0"/>
    <n v="0"/>
  </r>
  <r>
    <n v="25"/>
    <s v="A117"/>
    <s v="TULSI PAN MASALA X 12"/>
    <m/>
    <x v="0"/>
    <m/>
    <d v="2019-12-29T00:00:00"/>
    <m/>
    <n v="0"/>
    <n v="0"/>
  </r>
  <r>
    <n v="26"/>
    <s v="A118"/>
    <s v="TWIST GUAVA JUICE 1LTX12"/>
    <m/>
    <x v="0"/>
    <m/>
    <d v="2019-12-29T00:00:00"/>
    <m/>
    <n v="0"/>
    <n v="0"/>
  </r>
  <r>
    <n v="27"/>
    <s v="A119"/>
    <s v="TWIST MIX JUICE 1 LT X 12"/>
    <m/>
    <x v="0"/>
    <m/>
    <d v="2019-12-31T00:00:00"/>
    <m/>
    <n v="0"/>
    <n v="0"/>
  </r>
  <r>
    <n v="28"/>
    <s v="A12"/>
    <s v="BLANKET BIG SIZEX1"/>
    <m/>
    <x v="0"/>
    <m/>
    <d v="2020-01-30T00:00:00"/>
    <m/>
    <n v="8"/>
    <n v="10"/>
  </r>
  <r>
    <n v="29"/>
    <s v="A120"/>
    <s v="VASELINE 100 X 12"/>
    <m/>
    <x v="0"/>
    <m/>
    <d v="2020-01-30T00:00:00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46"/>
    <s v="A138"/>
    <s v="CREAM FAIZA LARGE X 12"/>
    <m/>
    <x v="0"/>
    <m/>
    <s v=""/>
    <m/>
    <n v="10"/>
    <n v="10"/>
  </r>
  <r>
    <n v="47"/>
    <s v="A139"/>
    <s v="CREAM FAIZA SMALLX12"/>
    <m/>
    <x v="0"/>
    <m/>
    <s v=""/>
    <m/>
    <n v="0"/>
    <n v="0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-15"/>
    <n v="-30"/>
  </r>
  <r>
    <n v="51"/>
    <s v="A159"/>
    <s v="A1 MANACA 200G X10"/>
    <m/>
    <x v="0"/>
    <m/>
    <s v=""/>
    <m/>
    <n v="0"/>
    <n v="0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0"/>
    <n v="0"/>
  </r>
  <r>
    <n v="69"/>
    <s v="A31"/>
    <s v="FABBRICS X 46 MTR"/>
    <m/>
    <x v="0"/>
    <m/>
    <s v=""/>
    <m/>
    <n v="0"/>
    <n v="0"/>
  </r>
  <r>
    <n v="70"/>
    <s v="A32"/>
    <s v="FAIR &amp; LOVELY  X12"/>
    <m/>
    <x v="0"/>
    <m/>
    <s v=""/>
    <m/>
    <n v="0"/>
    <n v="0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74"/>
    <s v="A36"/>
    <s v="GREEN TEA RED- 250 G X 48"/>
    <m/>
    <x v="0"/>
    <m/>
    <s v=""/>
    <m/>
    <n v="0"/>
    <n v="0"/>
  </r>
  <r>
    <n v="75"/>
    <s v="A37"/>
    <s v="GREEN TEA CAMEL 4011 200 G X 48"/>
    <m/>
    <x v="0"/>
    <m/>
    <s v=""/>
    <m/>
    <n v="0"/>
    <n v="0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79"/>
    <s v="A40"/>
    <s v="HARISSA 135 G X 30"/>
    <m/>
    <x v="0"/>
    <m/>
    <s v=""/>
    <m/>
    <n v="0"/>
    <n v="0"/>
  </r>
  <r>
    <n v="80"/>
    <s v="A41"/>
    <s v="HARISSA 380 G X 24"/>
    <m/>
    <x v="0"/>
    <m/>
    <s v=""/>
    <m/>
    <n v="0"/>
    <n v="0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84"/>
    <s v="A45"/>
    <s v="HEAD&amp;SHOULDERS400MLX6"/>
    <m/>
    <x v="0"/>
    <m/>
    <s v=""/>
    <m/>
    <n v="2.6666666666666701"/>
    <n v="10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93"/>
    <s v="A53"/>
    <s v="ISABGUL BHUSI 200 G X 5"/>
    <m/>
    <x v="0"/>
    <m/>
    <s v=""/>
    <m/>
    <n v="0"/>
    <n v="0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98"/>
    <s v="A6"/>
    <s v="A1 MALTHI X12"/>
    <m/>
    <x v="0"/>
    <m/>
    <s v=""/>
    <m/>
    <n v="0"/>
    <n v="0"/>
  </r>
  <r>
    <n v="99"/>
    <s v="A60"/>
    <s v="LS BAKING PWD 100 G X 6"/>
    <m/>
    <x v="0"/>
    <m/>
    <s v=""/>
    <m/>
    <n v="0"/>
    <n v="0"/>
  </r>
  <r>
    <n v="100"/>
    <s v="A61"/>
    <s v="LS BICARBONATE SODA 100 G X 6"/>
    <m/>
    <x v="0"/>
    <m/>
    <s v=""/>
    <m/>
    <n v="0"/>
    <n v="0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04"/>
    <s v="A65"/>
    <s v="MAGGI MASALA FLAVOUR X 96"/>
    <m/>
    <x v="0"/>
    <m/>
    <s v=""/>
    <m/>
    <n v="-1"/>
    <n v="-23.04"/>
  </r>
  <r>
    <n v="105"/>
    <s v="A66"/>
    <s v="MANGO JUICE 1 LT X 12"/>
    <m/>
    <x v="0"/>
    <m/>
    <s v=""/>
    <m/>
    <n v="0"/>
    <n v="0"/>
  </r>
  <r>
    <n v="106"/>
    <s v="A67"/>
    <s v="MANGO PULP 850 G X 6"/>
    <m/>
    <x v="0"/>
    <m/>
    <s v=""/>
    <m/>
    <n v="0"/>
    <n v="0"/>
  </r>
  <r>
    <n v="107"/>
    <s v="A68"/>
    <s v="NAZ PAN MASALA X12"/>
    <m/>
    <x v="0"/>
    <m/>
    <s v=""/>
    <m/>
    <n v="0"/>
    <n v="0"/>
  </r>
  <r>
    <n v="108"/>
    <s v="A69"/>
    <s v="NIDO 1800 X 6"/>
    <m/>
    <x v="0"/>
    <m/>
    <s v=""/>
    <m/>
    <n v="0"/>
    <n v="0"/>
  </r>
  <r>
    <n v="109"/>
    <s v="A7"/>
    <s v="A1 PHENNI 200GX24"/>
    <m/>
    <x v="0"/>
    <m/>
    <s v=""/>
    <m/>
    <n v="0"/>
    <n v="0"/>
  </r>
  <r>
    <n v="110"/>
    <s v="A70"/>
    <s v="NIDO 400 G X 24"/>
    <m/>
    <x v="0"/>
    <m/>
    <s v=""/>
    <m/>
    <n v="0"/>
    <n v="0"/>
  </r>
  <r>
    <n v="111"/>
    <s v="A71"/>
    <s v="NIDO 900 G X 12"/>
    <m/>
    <x v="0"/>
    <m/>
    <s v=""/>
    <m/>
    <n v="0"/>
    <n v="0"/>
  </r>
  <r>
    <n v="112"/>
    <s v="A72"/>
    <s v="NIDO 2500 X 6"/>
    <m/>
    <x v="0"/>
    <m/>
    <s v=""/>
    <m/>
    <n v="0"/>
    <n v="0"/>
  </r>
  <r>
    <n v="113"/>
    <s v="A73"/>
    <s v="PAN PARAG 100 G X 10"/>
    <m/>
    <x v="0"/>
    <m/>
    <s v=""/>
    <m/>
    <n v="0"/>
    <n v="0"/>
  </r>
  <r>
    <n v="114"/>
    <s v="A74"/>
    <s v="PATATE BIANCO 3 KG"/>
    <m/>
    <x v="0"/>
    <m/>
    <s v=""/>
    <m/>
    <n v="0"/>
    <n v="0"/>
  </r>
  <r>
    <n v="115"/>
    <s v="A75"/>
    <s v="PHATKARY X 12"/>
    <m/>
    <x v="0"/>
    <m/>
    <s v=""/>
    <m/>
    <n v="0"/>
    <n v="0"/>
  </r>
  <r>
    <n v="116"/>
    <s v="A76"/>
    <s v="PHENNY X 24"/>
    <m/>
    <x v="0"/>
    <m/>
    <s v=""/>
    <m/>
    <n v="0"/>
    <n v="0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27"/>
    <s v="A86"/>
    <s v="PRESSURE COOKER 9LBX1"/>
    <m/>
    <x v="0"/>
    <m/>
    <s v=""/>
    <m/>
    <n v="29"/>
    <n v="20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131"/>
    <s v="A9"/>
    <s v="GARLIC FRESH 10KG"/>
    <m/>
    <x v="0"/>
    <m/>
    <s v=""/>
    <m/>
    <n v="16"/>
    <n v="20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134"/>
    <s v="A92"/>
    <s v="BOMBAY SUPARI 48 PACKETS"/>
    <m/>
    <x v="0"/>
    <m/>
    <s v=""/>
    <m/>
    <n v="1"/>
    <n v="10"/>
  </r>
  <r>
    <n v="135"/>
    <s v="A93"/>
    <s v="RED BULL ENERGY DRINK X24"/>
    <m/>
    <x v="0"/>
    <m/>
    <s v=""/>
    <m/>
    <n v="0"/>
    <n v="0"/>
  </r>
  <r>
    <n v="136"/>
    <s v="A94"/>
    <s v="WSA REWDI 300 G X 15"/>
    <m/>
    <x v="0"/>
    <m/>
    <s v=""/>
    <m/>
    <n v="0"/>
    <n v="0"/>
  </r>
  <r>
    <n v="137"/>
    <s v="A95"/>
    <s v="ROOH AFZA 800MLX12 *Offerta*"/>
    <m/>
    <x v="0"/>
    <m/>
    <s v=""/>
    <m/>
    <n v="-1"/>
    <n v="-19.080000000000002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140"/>
    <s v="A98"/>
    <s v="SHAKTI BHOG ATTA 10 KG X 2 offerta "/>
    <m/>
    <x v="0"/>
    <m/>
    <s v=""/>
    <m/>
    <n v="0"/>
    <n v="0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0"/>
    <n v="0"/>
  </r>
  <r>
    <n v="144"/>
    <s v="AAA22"/>
    <s v=" Z PESCE SGOMBRI 400/600 BLUE 20 KG"/>
    <m/>
    <x v="0"/>
    <m/>
    <s v=""/>
    <m/>
    <n v="0"/>
    <n v="0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47"/>
    <s v="AG10"/>
    <s v="AG METRO MILAN 25GX12"/>
    <m/>
    <x v="0"/>
    <m/>
    <s v=""/>
    <m/>
    <n v="8"/>
    <n v="10"/>
  </r>
  <r>
    <n v="148"/>
    <s v="AG11"/>
    <s v="AG MIX 1x6"/>
    <m/>
    <x v="0"/>
    <m/>
    <s v=""/>
    <m/>
    <n v="67"/>
    <n v="8.6199999999999992"/>
  </r>
  <r>
    <n v="149"/>
    <s v="AG12"/>
    <s v="AG MIX1x12"/>
    <m/>
    <x v="0"/>
    <m/>
    <s v=""/>
    <m/>
    <n v="-1"/>
    <n v="-2.88"/>
  </r>
  <r>
    <n v="150"/>
    <s v="AG13"/>
    <s v="AG NIGHT QUEEN 25GX12"/>
    <m/>
    <x v="0"/>
    <m/>
    <s v=""/>
    <m/>
    <n v="0"/>
    <n v="0"/>
  </r>
  <r>
    <n v="151"/>
    <s v="AG14"/>
    <s v="AG ROSE X6"/>
    <m/>
    <x v="0"/>
    <m/>
    <s v=""/>
    <m/>
    <n v="0"/>
    <n v="0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161"/>
    <s v="AG23"/>
    <s v="AG THREE IN ONE 25GX12"/>
    <m/>
    <x v="0"/>
    <m/>
    <s v=""/>
    <m/>
    <n v="25"/>
    <n v="10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-1"/>
    <n v="-3.84"/>
  </r>
  <r>
    <n v="164"/>
    <s v="AG26"/>
    <s v="AG ARBATI INDIA 1 X12PCS"/>
    <m/>
    <x v="0"/>
    <m/>
    <s v=""/>
    <m/>
    <n v="0"/>
    <n v="0"/>
  </r>
  <r>
    <n v="165"/>
    <s v="AG27"/>
    <s v="AG SANDAL 1X6"/>
    <m/>
    <x v="0"/>
    <m/>
    <s v=""/>
    <m/>
    <n v="0"/>
    <n v="0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176"/>
    <s v="AH0001"/>
    <s v="PRAN JUICE GUAVA 1LTX12"/>
    <m/>
    <x v="0"/>
    <m/>
    <s v=""/>
    <m/>
    <n v="-1"/>
    <n v="-10.199999999999999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89"/>
    <s v="AH20"/>
    <s v="AHM MANGO PICKLE 1 KG X 6"/>
    <m/>
    <x v="0"/>
    <m/>
    <s v=""/>
    <m/>
    <n v="-2"/>
    <n v="-29.28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92"/>
    <s v="AH23"/>
    <s v="AHM MIX PICKLE 1 KG x 6"/>
    <m/>
    <x v="0"/>
    <m/>
    <s v=""/>
    <m/>
    <n v="-1"/>
    <n v="-14.64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95"/>
    <s v="AH26"/>
    <s v="AHM TOMATO KETCHUP 300GX12"/>
    <m/>
    <x v="0"/>
    <m/>
    <s v=""/>
    <m/>
    <n v="3"/>
    <n v="30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200"/>
    <s v="AH6"/>
    <s v="PRAN JUICE MIX 1LTX12"/>
    <m/>
    <x v="0"/>
    <m/>
    <s v=""/>
    <m/>
    <n v="-1"/>
    <n v="-10.199999999999999"/>
  </r>
  <r>
    <n v="201"/>
    <s v="AH7"/>
    <s v="PRAN JUICE ANAR 1LTX12"/>
    <m/>
    <x v="0"/>
    <m/>
    <s v=""/>
    <m/>
    <n v="-1"/>
    <n v="-10.199999999999999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208"/>
    <s v="ARS-15"/>
    <s v="ARS BAKAR KHANI 300X10"/>
    <m/>
    <x v="0"/>
    <m/>
    <s v=""/>
    <m/>
    <n v="0"/>
    <n v="0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211"/>
    <s v="ARS-2"/>
    <s v="ARS COOKIESZEERA SALTED  400GX12"/>
    <m/>
    <x v="0"/>
    <m/>
    <s v=""/>
    <m/>
    <n v="0"/>
    <n v="0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217"/>
    <s v="ARS-7"/>
    <s v="ARS COOKIES KALWANJI SALTED 400GX12"/>
    <m/>
    <x v="0"/>
    <m/>
    <s v=""/>
    <m/>
    <n v="0"/>
    <n v="0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0"/>
    <n v="0"/>
  </r>
  <r>
    <n v="221"/>
    <s v="AS0002"/>
    <s v="ASHOKA PALAK PANEER 280GX10"/>
    <m/>
    <x v="0"/>
    <m/>
    <s v=""/>
    <m/>
    <n v="0"/>
    <n v="0"/>
  </r>
  <r>
    <n v="222"/>
    <s v="ASI0001"/>
    <s v="ALISHAN SUPERBA INDIAN RICE "/>
    <m/>
    <x v="0"/>
    <m/>
    <s v=""/>
    <m/>
    <n v="0"/>
    <n v="0"/>
  </r>
  <r>
    <n v="223"/>
    <s v="B1"/>
    <s v="BDM SARSON KA SAAG TIN 800GX12"/>
    <m/>
    <x v="0"/>
    <m/>
    <s v=""/>
    <m/>
    <n v="1"/>
    <n v="10"/>
  </r>
  <r>
    <n v="224"/>
    <s v="B10"/>
    <s v="BEST MANGO LATINA 250MLX30"/>
    <m/>
    <x v="0"/>
    <m/>
    <s v=""/>
    <m/>
    <n v="0"/>
    <n v="0"/>
  </r>
  <r>
    <n v="225"/>
    <s v="B10004"/>
    <s v="BIKANO  GAJACK AGRA  400GX24"/>
    <m/>
    <x v="0"/>
    <m/>
    <s v=""/>
    <m/>
    <n v="0"/>
    <n v="0"/>
  </r>
  <r>
    <n v="226"/>
    <s v="B11"/>
    <s v="BEST MIX BOT 1LTX6"/>
    <m/>
    <x v="0"/>
    <m/>
    <s v=""/>
    <m/>
    <n v="0"/>
    <n v="0"/>
  </r>
  <r>
    <n v="227"/>
    <s v="B12"/>
    <s v="BEST MIX BOTTLE 250MLX24"/>
    <m/>
    <x v="0"/>
    <m/>
    <s v=""/>
    <m/>
    <n v="0"/>
    <n v="0"/>
  </r>
  <r>
    <n v="228"/>
    <s v="B13"/>
    <s v="BEST MIX CARTA 1LTX6"/>
    <m/>
    <x v="0"/>
    <m/>
    <s v=""/>
    <m/>
    <n v="0"/>
    <n v="0"/>
  </r>
  <r>
    <n v="229"/>
    <s v="B14"/>
    <s v="BEST MIX LATINA 250MLX30"/>
    <m/>
    <x v="0"/>
    <m/>
    <s v=""/>
    <m/>
    <n v="0"/>
    <n v="0"/>
  </r>
  <r>
    <n v="230"/>
    <s v="B2"/>
    <s v="BEST GUAVA BOTTLE 1LTX6"/>
    <m/>
    <x v="0"/>
    <m/>
    <s v=""/>
    <m/>
    <n v="0"/>
    <n v="0"/>
  </r>
  <r>
    <n v="231"/>
    <s v="B3"/>
    <s v="BEST GUAVA BOTTLE 250MLX24"/>
    <m/>
    <x v="0"/>
    <m/>
    <s v=""/>
    <m/>
    <n v="0"/>
    <n v="0"/>
  </r>
  <r>
    <n v="232"/>
    <s v="B4"/>
    <s v="BEST GUAVA CARTA 1LTX6"/>
    <m/>
    <x v="0"/>
    <m/>
    <s v=""/>
    <m/>
    <n v="0"/>
    <n v="0"/>
  </r>
  <r>
    <n v="233"/>
    <s v="B5"/>
    <s v="BEST GUAVA LATINA 250MLX30"/>
    <m/>
    <x v="0"/>
    <m/>
    <s v=""/>
    <m/>
    <n v="0"/>
    <n v="0"/>
  </r>
  <r>
    <n v="234"/>
    <s v="B53"/>
    <s v="BGD SUNFLOWER OIL 5 L X 3"/>
    <m/>
    <x v="0"/>
    <m/>
    <s v=""/>
    <m/>
    <n v="0"/>
    <n v="-23"/>
  </r>
  <r>
    <n v="235"/>
    <s v="B6"/>
    <s v="BEST MANGO BOTTLE 1LTX6"/>
    <m/>
    <x v="0"/>
    <m/>
    <s v=""/>
    <m/>
    <n v="0"/>
    <n v="0"/>
  </r>
  <r>
    <n v="236"/>
    <s v="B7"/>
    <s v="BEST MANGO BOTTLE 250MLX24"/>
    <m/>
    <x v="0"/>
    <m/>
    <s v=""/>
    <m/>
    <n v="0"/>
    <n v="0"/>
  </r>
  <r>
    <n v="237"/>
    <s v="B8"/>
    <s v="BEST MANGO CARTA 1LTX6"/>
    <m/>
    <x v="0"/>
    <m/>
    <s v=""/>
    <m/>
    <n v="0"/>
    <n v="0"/>
  </r>
  <r>
    <n v="238"/>
    <s v="B9"/>
    <s v="BEST MANGO CARTA 200MLX27"/>
    <m/>
    <x v="0"/>
    <m/>
    <s v=""/>
    <m/>
    <n v="0"/>
    <n v="0"/>
  </r>
  <r>
    <n v="239"/>
    <s v="BD2"/>
    <s v="BDM SARSON KA SAAG TIN 450GX24"/>
    <m/>
    <x v="0"/>
    <m/>
    <s v=""/>
    <m/>
    <n v="0"/>
    <n v="0"/>
  </r>
  <r>
    <n v="240"/>
    <s v="BG0001"/>
    <s v="BGD BIS SUJI 300G X20"/>
    <m/>
    <x v="0"/>
    <m/>
    <s v=""/>
    <m/>
    <n v="0"/>
    <n v="0"/>
  </r>
  <r>
    <n v="241"/>
    <s v="BG0002"/>
    <s v="BG TOASTED CORN 400GX12"/>
    <m/>
    <x v="0"/>
    <m/>
    <s v=""/>
    <m/>
    <n v="0"/>
    <n v="0"/>
  </r>
  <r>
    <n v="242"/>
    <s v="BG1"/>
    <s v="BG BOMBAY MIX 400G X 12"/>
    <m/>
    <x v="0"/>
    <m/>
    <s v=""/>
    <m/>
    <n v="0"/>
    <n v="0"/>
  </r>
  <r>
    <n v="243"/>
    <s v="BG10"/>
    <s v="BG SPICY CHICK PEAS 400G X12"/>
    <m/>
    <x v="0"/>
    <m/>
    <s v=""/>
    <m/>
    <n v="0"/>
    <n v="0"/>
  </r>
  <r>
    <n v="244"/>
    <s v="BG11"/>
    <s v="BG TRADITIONAL MIX 400GX12"/>
    <m/>
    <x v="0"/>
    <m/>
    <s v=""/>
    <m/>
    <n v="0"/>
    <n v="0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248"/>
    <s v="BG15"/>
    <s v="BGD CORN FLOUR 300GX6"/>
    <m/>
    <x v="0"/>
    <m/>
    <s v=""/>
    <m/>
    <n v="0"/>
    <n v="0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253"/>
    <s v="BG2"/>
    <s v="BG CHANA DAL 400G X12"/>
    <m/>
    <x v="0"/>
    <m/>
    <s v=""/>
    <m/>
    <n v="0"/>
    <n v="0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0"/>
    <n v="0"/>
  </r>
  <r>
    <n v="256"/>
    <s v="BG22"/>
    <s v="BGD GOOR JAR PACK1KGX12"/>
    <m/>
    <x v="0"/>
    <m/>
    <s v=""/>
    <m/>
    <n v="0"/>
    <n v="0"/>
  </r>
  <r>
    <n v="257"/>
    <s v="BG23"/>
    <s v="BGD KASOORI MEETHI 100GX6"/>
    <m/>
    <x v="0"/>
    <m/>
    <s v=""/>
    <m/>
    <n v="0"/>
    <n v="0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0"/>
    <n v="0"/>
  </r>
  <r>
    <n v="263"/>
    <s v="BG29"/>
    <s v="BGD TEA JAR PACK 500GX20"/>
    <m/>
    <x v="0"/>
    <m/>
    <s v=""/>
    <m/>
    <n v="0"/>
    <n v="0"/>
  </r>
  <r>
    <n v="264"/>
    <s v="BG3"/>
    <s v="BG CHIN CHIN 400G X12"/>
    <m/>
    <x v="0"/>
    <m/>
    <s v=""/>
    <m/>
    <n v="0"/>
    <n v="0"/>
  </r>
  <r>
    <n v="265"/>
    <s v="BG30"/>
    <s v="BGD TEA JAR PACK 1KGX12"/>
    <m/>
    <x v="0"/>
    <m/>
    <s v=""/>
    <m/>
    <n v="0"/>
    <n v="0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0"/>
  </r>
  <r>
    <n v="271"/>
    <s v="BG36"/>
    <s v="BGD MUMRA LADOO200GX6"/>
    <m/>
    <x v="0"/>
    <m/>
    <s v=""/>
    <m/>
    <n v="0"/>
    <n v="0"/>
  </r>
  <r>
    <n v="272"/>
    <s v="BG37"/>
    <s v="BGD TAMRINDO 400GX50"/>
    <m/>
    <x v="0"/>
    <m/>
    <s v=""/>
    <m/>
    <n v="-1"/>
    <n v="-44.85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275"/>
    <s v="BG4"/>
    <s v="BG GHATHIA MIX 400G X12"/>
    <m/>
    <x v="0"/>
    <m/>
    <s v=""/>
    <m/>
    <n v="0"/>
    <n v="0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83"/>
    <s v="BG47"/>
    <s v="BGD MURABBA APPLE 1 KG X 12"/>
    <m/>
    <x v="0"/>
    <m/>
    <s v=""/>
    <m/>
    <n v="0"/>
    <n v="0"/>
  </r>
  <r>
    <n v="284"/>
    <s v="BG48"/>
    <s v="BGD MURABBA AMLA 1 KG X 12"/>
    <m/>
    <x v="0"/>
    <m/>
    <s v=""/>
    <m/>
    <n v="-1"/>
    <n v="-3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90"/>
    <s v="BG53"/>
    <s v="BGD BIS AJWAIN 300G X20"/>
    <m/>
    <x v="0"/>
    <m/>
    <s v=""/>
    <m/>
    <n v="0"/>
    <n v="0"/>
  </r>
  <r>
    <n v="291"/>
    <s v="BG54"/>
    <s v="BGD BIS JEERA 300G X20"/>
    <m/>
    <x v="0"/>
    <m/>
    <s v=""/>
    <m/>
    <n v="0"/>
    <n v="0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294"/>
    <s v="BG57"/>
    <s v="BGD BIS DRY FRUIT 300G X20"/>
    <m/>
    <x v="0"/>
    <m/>
    <s v=""/>
    <m/>
    <n v="0"/>
    <n v="0"/>
  </r>
  <r>
    <n v="295"/>
    <s v="BG58"/>
    <s v="BGD BIS ALMOND 300G X20"/>
    <m/>
    <x v="0"/>
    <m/>
    <s v=""/>
    <m/>
    <n v="0"/>
    <n v="0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298"/>
    <s v="BG60"/>
    <s v="BGD GOOR BHILLI 500GX24"/>
    <m/>
    <x v="0"/>
    <m/>
    <s v=""/>
    <m/>
    <n v="0"/>
    <n v="0"/>
  </r>
  <r>
    <n v="299"/>
    <s v="BG61"/>
    <s v="BGD GOOR 2KGX6 OFFERTA"/>
    <m/>
    <x v="0"/>
    <m/>
    <s v=""/>
    <m/>
    <n v="0"/>
    <n v="0"/>
  </r>
  <r>
    <n v="300"/>
    <s v="BG62"/>
    <s v="BGD LIME PICKLE 1KGX12"/>
    <m/>
    <x v="0"/>
    <m/>
    <s v=""/>
    <m/>
    <n v="0"/>
    <n v="0"/>
  </r>
  <r>
    <n v="301"/>
    <s v="BG7"/>
    <s v="BG KASHMIRI MIX 400G X12"/>
    <m/>
    <x v="0"/>
    <m/>
    <s v=""/>
    <m/>
    <n v="0"/>
    <n v="0"/>
  </r>
  <r>
    <n v="302"/>
    <s v="BG8"/>
    <s v="BG LAHORI MIX 400G X 12"/>
    <m/>
    <x v="0"/>
    <m/>
    <s v=""/>
    <m/>
    <n v="0"/>
    <n v="0"/>
  </r>
  <r>
    <n v="303"/>
    <s v="BG9"/>
    <s v="BG PUNJABI MIX 400G X 12"/>
    <m/>
    <x v="0"/>
    <m/>
    <s v=""/>
    <m/>
    <n v="0.91666666666666596"/>
    <n v="10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319"/>
    <s v="BGD51"/>
    <s v="BGD CHANA+MAKHANA 400GX12"/>
    <m/>
    <x v="0"/>
    <m/>
    <s v=""/>
    <m/>
    <n v="0"/>
    <n v="-14.899999999999999"/>
  </r>
  <r>
    <n v="320"/>
    <s v="BGD52"/>
    <s v="BGD SUNFLOWER OIL 1L x 15  *Offerta*"/>
    <m/>
    <x v="0"/>
    <m/>
    <s v=""/>
    <m/>
    <n v="0"/>
    <n v="0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328"/>
    <s v="BI0003"/>
    <s v="BIKANO GAJJAK PEANUT 400GX28"/>
    <m/>
    <x v="0"/>
    <m/>
    <s v=""/>
    <m/>
    <n v="0"/>
    <n v="0"/>
  </r>
  <r>
    <n v="329"/>
    <s v="BI0004"/>
    <s v="BIKANO REWDI GUR 400GX24"/>
    <m/>
    <x v="0"/>
    <m/>
    <s v=""/>
    <m/>
    <n v="0"/>
    <n v="0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335"/>
    <s v="BT2"/>
    <s v="REJECTION RICE 20KG X1"/>
    <m/>
    <x v="0"/>
    <m/>
    <s v=""/>
    <m/>
    <n v="170"/>
    <n v="30"/>
  </r>
  <r>
    <n v="336"/>
    <s v="BT3"/>
    <s v="PRAN NOODLE CURRY 70G X60"/>
    <m/>
    <x v="0"/>
    <m/>
    <s v=""/>
    <m/>
    <n v="0"/>
    <n v="0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339"/>
    <s v="BT6"/>
    <s v="PRAN NOODLES BEEF 70G X60"/>
    <m/>
    <x v="0"/>
    <m/>
    <s v=""/>
    <m/>
    <n v="0"/>
    <n v="0"/>
  </r>
  <r>
    <n v="340"/>
    <s v="BT7"/>
    <s v="PRAN NOODLES CUP VEG 60G X48"/>
    <m/>
    <x v="0"/>
    <m/>
    <s v=""/>
    <m/>
    <n v="0"/>
    <n v="0"/>
  </r>
  <r>
    <n v="341"/>
    <s v="BT8"/>
    <s v="PRAN NOODLES CUP CURRY 60GX 48"/>
    <m/>
    <x v="0"/>
    <m/>
    <s v=""/>
    <m/>
    <n v="0"/>
    <n v="0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352"/>
    <s v="D18"/>
    <s v="DABUR HAJMOLA STD 130GX12"/>
    <m/>
    <x v="0"/>
    <m/>
    <s v=""/>
    <m/>
    <n v="0"/>
    <n v="0"/>
  </r>
  <r>
    <n v="353"/>
    <s v="D19"/>
    <s v="DABUR HAJMOLA PODINA 130GX12"/>
    <m/>
    <x v="0"/>
    <m/>
    <s v=""/>
    <m/>
    <n v="0"/>
    <n v="0"/>
  </r>
  <r>
    <n v="354"/>
    <s v="D2"/>
    <s v="DABUR AMLA GOLD 200MLX6"/>
    <m/>
    <x v="0"/>
    <m/>
    <s v=""/>
    <m/>
    <n v="0"/>
    <n v="0"/>
  </r>
  <r>
    <n v="355"/>
    <s v="D20"/>
    <s v="DABUR HAJMULA IMLY 130GX12"/>
    <m/>
    <x v="0"/>
    <m/>
    <s v=""/>
    <m/>
    <n v="0"/>
    <n v="0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398"/>
    <s v="D6"/>
    <s v="DABUR AMLA OIL 200MLX6"/>
    <m/>
    <x v="0"/>
    <m/>
    <s v=""/>
    <m/>
    <n v="-1"/>
    <n v="-13.14"/>
  </r>
  <r>
    <n v="399"/>
    <s v="D60"/>
    <s v="DABUR TOOTHPASTE BASIL100GX6"/>
    <m/>
    <x v="0"/>
    <m/>
    <s v=""/>
    <m/>
    <n v="0"/>
    <n v="0"/>
  </r>
  <r>
    <n v="400"/>
    <s v="D61"/>
    <s v="DABUR TOOTHPASTE CLOVE 100GX6"/>
    <m/>
    <x v="0"/>
    <m/>
    <s v=""/>
    <m/>
    <n v="0"/>
    <n v="0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409"/>
    <s v="D7"/>
    <s v="DABUR AMLA OIL 300MLX6"/>
    <m/>
    <x v="0"/>
    <m/>
    <s v=""/>
    <m/>
    <n v="0"/>
    <n v="0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435"/>
    <s v="F1"/>
    <s v="FARINA BARAGA CHAPATI 10 KG X 1 "/>
    <m/>
    <x v="0"/>
    <m/>
    <s v=""/>
    <m/>
    <n v="0"/>
    <n v="0"/>
  </r>
  <r>
    <n v="436"/>
    <s v="F2"/>
    <s v="FARINA BARAGA CHAPATI 25 KG X 1"/>
    <m/>
    <x v="0"/>
    <m/>
    <s v=""/>
    <m/>
    <n v="-3"/>
    <n v="-31.47"/>
  </r>
  <r>
    <n v="437"/>
    <s v="F3"/>
    <s v="FARINA LAILA BROWN 10 KG X 1"/>
    <m/>
    <x v="0"/>
    <m/>
    <s v=""/>
    <m/>
    <n v="0"/>
    <n v="0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-6"/>
    <n v="-35.94"/>
  </r>
  <r>
    <n v="440"/>
    <s v="F6"/>
    <s v="FARINA LAILA LIGHT MED 20 KG X 1"/>
    <m/>
    <x v="0"/>
    <m/>
    <s v=""/>
    <m/>
    <n v="-7"/>
    <n v="-75.460000000000008"/>
  </r>
  <r>
    <n v="441"/>
    <s v="F7"/>
    <s v="FARINA LAILA WHITE 20 KG X 1"/>
    <m/>
    <x v="0"/>
    <m/>
    <s v=""/>
    <m/>
    <n v="0"/>
    <n v="0"/>
  </r>
  <r>
    <n v="442"/>
    <s v="F8"/>
    <s v="FARINA LAILA WHITE 10 KG X 1"/>
    <m/>
    <x v="0"/>
    <m/>
    <s v=""/>
    <m/>
    <n v="0"/>
    <n v="0"/>
  </r>
  <r>
    <n v="443"/>
    <s v="F9"/>
    <s v="FARINA AASHIRVAAD MULTIGRAINS 5KG X 4"/>
    <m/>
    <x v="0"/>
    <m/>
    <s v=""/>
    <m/>
    <n v="0"/>
    <n v="0"/>
  </r>
  <r>
    <n v="444"/>
    <s v="FAR001"/>
    <s v="FARINA BARAGA CHAPATI 5 KG X 1 "/>
    <m/>
    <x v="0"/>
    <m/>
    <s v=""/>
    <m/>
    <n v="0"/>
    <n v="0"/>
  </r>
  <r>
    <n v="445"/>
    <s v="FC1"/>
    <s v="FOOD COLOUR GREEN SMALLX 12"/>
    <m/>
    <x v="0"/>
    <m/>
    <s v=""/>
    <m/>
    <n v="0"/>
    <n v="0"/>
  </r>
  <r>
    <n v="446"/>
    <s v="FC2"/>
    <s v="FOOD COLOUR ORANGE SMALL X 12"/>
    <m/>
    <x v="0"/>
    <m/>
    <s v=""/>
    <m/>
    <n v="0"/>
    <n v="0"/>
  </r>
  <r>
    <n v="447"/>
    <s v="FC4"/>
    <s v="FOOD COLOUR ORANGE BIG(5)X 20"/>
    <m/>
    <x v="0"/>
    <m/>
    <s v=""/>
    <m/>
    <n v="0"/>
    <n v="0"/>
  </r>
  <r>
    <n v="448"/>
    <s v="FC5"/>
    <s v="FOOD COLOUR RED SMALL X 12"/>
    <m/>
    <x v="0"/>
    <m/>
    <s v=""/>
    <m/>
    <n v="0"/>
    <n v="0"/>
  </r>
  <r>
    <n v="449"/>
    <s v="FC6"/>
    <s v="FOOD COLOUR RED BIG X 20"/>
    <m/>
    <x v="0"/>
    <m/>
    <s v=""/>
    <m/>
    <n v="0"/>
    <n v="0"/>
  </r>
  <r>
    <n v="450"/>
    <s v="FC7"/>
    <s v="FOOD COLOUR YELLOW SMALL X 12"/>
    <m/>
    <x v="0"/>
    <m/>
    <s v=""/>
    <m/>
    <n v="0"/>
    <n v="0"/>
  </r>
  <r>
    <n v="451"/>
    <s v="FC8"/>
    <s v="FOOD COLOUR YELLOW BIG X 20"/>
    <m/>
    <x v="0"/>
    <m/>
    <s v=""/>
    <m/>
    <n v="0"/>
    <n v="0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458"/>
    <s v="FK5"/>
    <s v="FALAK BASMATI RICE 5 KG X 4"/>
    <m/>
    <x v="0"/>
    <m/>
    <s v=""/>
    <m/>
    <n v="0"/>
    <n v="0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0"/>
    <n v="0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0"/>
  </r>
  <r>
    <n v="477"/>
    <s v="FL0015"/>
    <s v="F SQ SPECIAL PANCIT CANTON 227G x 30"/>
    <m/>
    <x v="0"/>
    <m/>
    <s v=""/>
    <m/>
    <n v="0"/>
    <n v="0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497"/>
    <s v="HD1"/>
    <s v="HR ALL IN ONE 200 G X 10"/>
    <m/>
    <x v="0"/>
    <m/>
    <s v=""/>
    <m/>
    <n v="0"/>
    <n v="0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503"/>
    <s v="HD104"/>
    <s v="HR BHUJIA MAS 40GX12"/>
    <m/>
    <x v="0"/>
    <m/>
    <s v=""/>
    <m/>
    <n v="0"/>
    <n v="0"/>
  </r>
  <r>
    <n v="504"/>
    <s v="HD105"/>
    <s v="HR NAVRATAN 40GX12"/>
    <m/>
    <x v="0"/>
    <m/>
    <s v=""/>
    <m/>
    <n v="0"/>
    <n v="0"/>
  </r>
  <r>
    <n v="505"/>
    <s v="HD106"/>
    <s v="BRIT COOKIES CASHEW COOKIES X96PCS"/>
    <m/>
    <x v="0"/>
    <m/>
    <s v=""/>
    <m/>
    <n v="0"/>
    <n v="0"/>
  </r>
  <r>
    <n v="506"/>
    <s v="HD107"/>
    <s v="HRR DAL PALAK 300GX40"/>
    <m/>
    <x v="0"/>
    <m/>
    <s v=""/>
    <m/>
    <n v="0"/>
    <n v="0"/>
  </r>
  <r>
    <n v="507"/>
    <s v="HD108"/>
    <s v="HR MURUKKU 200GX10"/>
    <m/>
    <x v="0"/>
    <m/>
    <s v=""/>
    <m/>
    <n v="0"/>
    <n v="0"/>
  </r>
  <r>
    <n v="508"/>
    <s v="HD109"/>
    <s v="HR DIET MURMURA 180GX10"/>
    <m/>
    <x v="0"/>
    <m/>
    <s v=""/>
    <m/>
    <n v="0"/>
    <n v="0"/>
  </r>
  <r>
    <n v="509"/>
    <s v="HD11"/>
    <s v="HR BOONDI 200 G X 10"/>
    <m/>
    <x v="0"/>
    <m/>
    <s v=""/>
    <m/>
    <n v="0"/>
    <n v="0"/>
  </r>
  <r>
    <n v="510"/>
    <s v="HD110"/>
    <s v="HR GATHIYA MIX 200G X5"/>
    <m/>
    <x v="0"/>
    <m/>
    <s v=""/>
    <m/>
    <n v="0"/>
    <n v="0"/>
  </r>
  <r>
    <n v="511"/>
    <s v="HD111"/>
    <s v="HR LONG SEV 200GX10"/>
    <m/>
    <x v="0"/>
    <m/>
    <s v=""/>
    <m/>
    <n v="0"/>
    <n v="0"/>
  </r>
  <r>
    <n v="512"/>
    <s v="HD12"/>
    <s v="HR BOONDI 400 G X 5"/>
    <m/>
    <x v="0"/>
    <m/>
    <s v=""/>
    <m/>
    <n v="0"/>
    <n v="0"/>
  </r>
  <r>
    <n v="513"/>
    <s v="HD13"/>
    <s v="HR BOONDI MAS 200 G X 10"/>
    <m/>
    <x v="0"/>
    <m/>
    <s v=""/>
    <m/>
    <n v="0"/>
    <n v="0"/>
  </r>
  <r>
    <n v="514"/>
    <s v="HD14"/>
    <s v="HR CHANA CRACKER 200 G X 10"/>
    <m/>
    <x v="0"/>
    <m/>
    <s v=""/>
    <m/>
    <n v="0"/>
    <n v="0"/>
  </r>
  <r>
    <n v="515"/>
    <s v="HD15"/>
    <s v="HR CHANA DAL 200 G X 10"/>
    <m/>
    <x v="0"/>
    <m/>
    <s v=""/>
    <m/>
    <n v="-3"/>
    <n v="-23.700000000000003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-3"/>
    <n v="-23.700000000000003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28"/>
    <s v="HD27"/>
    <s v="HR GULAB JAMUN 1 KG X 12"/>
    <m/>
    <x v="0"/>
    <m/>
    <s v=""/>
    <m/>
    <n v="0"/>
    <n v="0"/>
  </r>
  <r>
    <n v="529"/>
    <s v="HD28"/>
    <s v="HR KABALI CHANA 200 G X 10"/>
    <m/>
    <x v="0"/>
    <m/>
    <s v=""/>
    <m/>
    <n v="0"/>
    <n v="0"/>
  </r>
  <r>
    <n v="530"/>
    <s v="HD29"/>
    <s v="HR KAJU MIX 200 G X 15"/>
    <m/>
    <x v="0"/>
    <m/>
    <s v=""/>
    <m/>
    <n v="0"/>
    <n v="0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538"/>
    <s v="HD36"/>
    <s v="HR KHATTA MEETHA 200 G X 10"/>
    <m/>
    <x v="0"/>
    <m/>
    <s v=""/>
    <m/>
    <n v="-3"/>
    <n v="-23.3"/>
  </r>
  <r>
    <n v="539"/>
    <s v="HD37"/>
    <s v="HR KHATTA METHA 400 G X 5"/>
    <m/>
    <x v="0"/>
    <m/>
    <s v=""/>
    <m/>
    <n v="0"/>
    <n v="0"/>
  </r>
  <r>
    <n v="540"/>
    <s v="HD38"/>
    <s v="HR MATHRI 200 G X 10"/>
    <m/>
    <x v="0"/>
    <m/>
    <s v=""/>
    <m/>
    <n v="0"/>
    <n v="0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543"/>
    <s v="HD40"/>
    <s v="HR MOONG DAL MAS 200 G X 10"/>
    <m/>
    <x v="0"/>
    <m/>
    <s v=""/>
    <m/>
    <n v="0"/>
    <n v="0"/>
  </r>
  <r>
    <n v="544"/>
    <s v="HD41"/>
    <s v="HR MOONG DAL 200 G X 10"/>
    <m/>
    <x v="0"/>
    <m/>
    <s v=""/>
    <m/>
    <n v="-2"/>
    <n v="-15"/>
  </r>
  <r>
    <n v="545"/>
    <s v="HD42"/>
    <s v="HR NAVRATAN 200 G X 10"/>
    <m/>
    <x v="0"/>
    <m/>
    <s v=""/>
    <m/>
    <n v="-1"/>
    <n v="-7.9"/>
  </r>
  <r>
    <n v="546"/>
    <s v="HD43"/>
    <s v="HR NIMBU MAS 200 G X 10"/>
    <m/>
    <x v="0"/>
    <m/>
    <s v=""/>
    <m/>
    <n v="0"/>
    <n v="0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-3"/>
    <n v="-38.25"/>
  </r>
  <r>
    <n v="549"/>
    <s v="HD46"/>
    <s v="HR PANCH RATAN 200 G X 10"/>
    <m/>
    <x v="0"/>
    <m/>
    <s v=""/>
    <m/>
    <n v="0"/>
    <n v="0"/>
  </r>
  <r>
    <n v="550"/>
    <s v="HD47"/>
    <s v="HR PANI PURI 360 G X 12"/>
    <m/>
    <x v="0"/>
    <m/>
    <s v=""/>
    <m/>
    <n v="0"/>
    <n v="0"/>
  </r>
  <r>
    <n v="551"/>
    <s v="HD48"/>
    <s v="HR PATISHA 500 G X 20"/>
    <m/>
    <x v="0"/>
    <m/>
    <s v=""/>
    <m/>
    <n v="0"/>
    <n v="0"/>
  </r>
  <r>
    <n v="552"/>
    <s v="HD49"/>
    <s v="HR PUNJABI TAKDA 200 G X 10"/>
    <m/>
    <x v="0"/>
    <m/>
    <s v=""/>
    <m/>
    <n v="0"/>
    <n v="0"/>
  </r>
  <r>
    <n v="553"/>
    <s v="HD5"/>
    <s v="HR BHELPURI 200 G X 10 offerata"/>
    <m/>
    <x v="0"/>
    <m/>
    <s v=""/>
    <m/>
    <n v="0"/>
    <n v="0"/>
  </r>
  <r>
    <n v="554"/>
    <s v="HD50"/>
    <s v="HR RASGULLA 1 KG X 12 offerta "/>
    <m/>
    <x v="0"/>
    <m/>
    <s v=""/>
    <m/>
    <n v="0"/>
    <n v="0"/>
  </r>
  <r>
    <n v="555"/>
    <s v="HD51"/>
    <s v="HR RASMALAI 1 KG X 12 offerta "/>
    <m/>
    <x v="0"/>
    <m/>
    <s v=""/>
    <m/>
    <n v="-1"/>
    <n v="-29.880000000000003"/>
  </r>
  <r>
    <n v="556"/>
    <s v="HD52"/>
    <s v="HR SAMOSA 200 G X 10"/>
    <m/>
    <x v="0"/>
    <m/>
    <s v=""/>
    <m/>
    <n v="0"/>
    <n v="0"/>
  </r>
  <r>
    <n v="557"/>
    <s v="HD53"/>
    <s v="HR SOAN CAKE DESI GHEE500 G X 20 "/>
    <m/>
    <x v="0"/>
    <m/>
    <s v=""/>
    <m/>
    <n v="0"/>
    <n v="0"/>
  </r>
  <r>
    <n v="558"/>
    <s v="HD54"/>
    <s v="HR SOAN PAPADI 250 G X 40"/>
    <m/>
    <x v="0"/>
    <m/>
    <s v=""/>
    <m/>
    <n v="0"/>
    <n v="0"/>
  </r>
  <r>
    <n v="559"/>
    <s v="HD55"/>
    <s v="HR SOAN PAPDI 500 G X 20"/>
    <m/>
    <x v="0"/>
    <m/>
    <s v=""/>
    <m/>
    <n v="0"/>
    <n v="0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-2"/>
    <n v="-2.4000000000000004"/>
  </r>
  <r>
    <n v="562"/>
    <s v="HD58"/>
    <s v="HRR CHOLEY MASALA300 G X 40"/>
    <m/>
    <x v="0"/>
    <m/>
    <s v=""/>
    <m/>
    <n v="0"/>
    <n v="0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-1"/>
    <n v="-7.5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71"/>
    <s v="HD66"/>
    <s v="HRR RAJMA RASEELA 300 G X 40"/>
    <m/>
    <x v="0"/>
    <m/>
    <s v=""/>
    <m/>
    <n v="0"/>
    <n v="0"/>
  </r>
  <r>
    <n v="572"/>
    <s v="HD67"/>
    <s v="HRR SARSOON KA SAAG X 40"/>
    <m/>
    <x v="0"/>
    <m/>
    <s v=""/>
    <m/>
    <n v="-0.5"/>
    <n v="-10.399999999999999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75"/>
    <s v="HD7"/>
    <s v="HR BHUJJIA PLAIN 200 G X 10 "/>
    <m/>
    <x v="0"/>
    <m/>
    <s v=""/>
    <m/>
    <n v="0"/>
    <n v="0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0"/>
    <n v="0"/>
  </r>
  <r>
    <n v="582"/>
    <s v="HD76"/>
    <s v="HR KARANCHI MIX 200 G X 10"/>
    <m/>
    <x v="0"/>
    <m/>
    <s v=""/>
    <m/>
    <n v="-1"/>
    <n v="-7.9"/>
  </r>
  <r>
    <n v="583"/>
    <s v="HD77"/>
    <s v="HR CHANA DAL NIBULA 200 G X 10"/>
    <m/>
    <x v="0"/>
    <m/>
    <s v=""/>
    <m/>
    <n v="0"/>
    <n v="0"/>
  </r>
  <r>
    <n v="584"/>
    <s v="HD78"/>
    <s v="HR RATLAMI 200 G X 10"/>
    <m/>
    <x v="0"/>
    <m/>
    <s v=""/>
    <m/>
    <n v="0"/>
    <n v="0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593"/>
    <s v="HD86"/>
    <s v="HR ALOO BHUJJIA COCTAIL 200GX10"/>
    <m/>
    <x v="0"/>
    <m/>
    <s v=""/>
    <m/>
    <n v="0"/>
    <n v="0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-2"/>
    <n v="-15.8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601"/>
    <s v="HD93"/>
    <s v="HR CHILLI CHATAK LACHHA 200GX5"/>
    <m/>
    <x v="0"/>
    <m/>
    <s v=""/>
    <m/>
    <n v="0"/>
    <n v="0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617"/>
    <s v="HE19"/>
    <s v="HEERA TIN DAL MAKHANI 450 G X 12"/>
    <m/>
    <x v="0"/>
    <m/>
    <s v=""/>
    <m/>
    <n v="0"/>
    <n v="0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626"/>
    <s v="HE27"/>
    <s v="HEERA GHEE 1 KG X 12"/>
    <m/>
    <x v="0"/>
    <m/>
    <s v=""/>
    <m/>
    <n v="0"/>
    <n v="0"/>
  </r>
  <r>
    <n v="627"/>
    <s v="HE28"/>
    <s v="HEERA GHEE 2 KG X 6  "/>
    <m/>
    <x v="0"/>
    <m/>
    <s v=""/>
    <m/>
    <n v="0"/>
    <n v="0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637"/>
    <s v="HE37"/>
    <s v="HEERA TIN KARRI PAKORA 450 G X 12"/>
    <m/>
    <x v="0"/>
    <m/>
    <s v=""/>
    <m/>
    <n v="0"/>
    <n v="0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646"/>
    <s v="HE45"/>
    <s v="HEERA SARSON KA SAAG 450 G X 12"/>
    <m/>
    <x v="0"/>
    <m/>
    <s v=""/>
    <m/>
    <n v="0"/>
    <n v="0"/>
  </r>
  <r>
    <n v="647"/>
    <s v="HE46"/>
    <s v="HEERA SARSON KA SAAG 800 G X 12"/>
    <m/>
    <x v="0"/>
    <m/>
    <s v=""/>
    <m/>
    <n v="0"/>
    <n v="0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659"/>
    <s v="HE57"/>
    <s v="HEERA TIN NAVRATAN KORMA450GX12"/>
    <m/>
    <x v="0"/>
    <m/>
    <s v=""/>
    <m/>
    <n v="0"/>
    <n v="0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676"/>
    <s v="HR001"/>
    <s v="HRR DAL TADKA 300G X 40"/>
    <m/>
    <x v="0"/>
    <m/>
    <s v=""/>
    <m/>
    <n v="0"/>
    <n v="0"/>
  </r>
  <r>
    <n v="677"/>
    <s v="HR002"/>
    <s v="HR LIGHT MURMURA 180GX6"/>
    <m/>
    <x v="0"/>
    <m/>
    <s v=""/>
    <m/>
    <n v="0"/>
    <n v="0"/>
  </r>
  <r>
    <n v="678"/>
    <s v="HR003"/>
    <s v="HR SWEET GULAB JAMUN 1KGX12   *offerta*"/>
    <m/>
    <x v="0"/>
    <m/>
    <s v=""/>
    <m/>
    <n v="0"/>
    <n v="0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0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704"/>
    <s v="ID001"/>
    <s v="BRAGA CORNMEAL FLOUR 1KG X 10"/>
    <m/>
    <x v="0"/>
    <m/>
    <s v=""/>
    <m/>
    <n v="0"/>
    <n v="0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0"/>
    <n v="0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0"/>
    <n v="0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771"/>
    <s v="ID159"/>
    <s v="Z NESTLE CONDENSED MILK SWEET 397 X 48"/>
    <m/>
    <x v="0"/>
    <m/>
    <s v=""/>
    <m/>
    <n v="0"/>
    <n v="0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0"/>
    <n v="0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816"/>
    <s v="ID2"/>
    <s v="Z AMERICAN EASY COOK RICE 10KGX2"/>
    <m/>
    <x v="0"/>
    <m/>
    <s v=""/>
    <m/>
    <n v="0"/>
    <n v="0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842"/>
    <s v="ID222"/>
    <s v="Z GINO POMODORO 850G X 12*"/>
    <m/>
    <x v="0"/>
    <m/>
    <s v=""/>
    <m/>
    <n v="0"/>
    <n v="0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901"/>
    <s v="ID35"/>
    <s v="Z EDOS X1"/>
    <m/>
    <x v="0"/>
    <m/>
    <s v=""/>
    <m/>
    <n v="41"/>
    <n v="10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0"/>
    <n v="0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987"/>
    <s v="JU001"/>
    <s v="JUHAYNA JUICE MANGO 1LTX12"/>
    <m/>
    <x v="0"/>
    <m/>
    <s v=""/>
    <m/>
    <n v="-1"/>
    <n v="-8.2799999999999994"/>
  </r>
  <r>
    <n v="988"/>
    <s v="KD1"/>
    <s v="KHADI PURE ROSE WATER210MLX50"/>
    <m/>
    <x v="0"/>
    <m/>
    <s v=""/>
    <m/>
    <n v="0"/>
    <n v="0"/>
  </r>
  <r>
    <n v="989"/>
    <s v="KH1"/>
    <s v="KHANUM GHEE 1 KG X 12"/>
    <m/>
    <x v="0"/>
    <m/>
    <s v=""/>
    <m/>
    <n v="0"/>
    <n v="0"/>
  </r>
  <r>
    <n v="990"/>
    <s v="KH2"/>
    <s v="KHANUM GHEE 2 KG X 6"/>
    <m/>
    <x v="0"/>
    <m/>
    <s v=""/>
    <m/>
    <n v="0"/>
    <n v="0"/>
  </r>
  <r>
    <n v="991"/>
    <s v="KH3"/>
    <s v="KHANUM GHEE 500 G X 12"/>
    <m/>
    <x v="0"/>
    <m/>
    <s v=""/>
    <m/>
    <n v="0"/>
    <n v="0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043"/>
    <s v="KT1"/>
    <s v="KTC ALMOND OIL 200 ML X 12"/>
    <m/>
    <x v="0"/>
    <m/>
    <s v=""/>
    <m/>
    <n v="0"/>
    <n v="0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046"/>
    <s v="KT12"/>
    <s v="KTC COCONUT OIL 250 ML X 12"/>
    <m/>
    <x v="0"/>
    <m/>
    <s v=""/>
    <m/>
    <n v="0"/>
    <n v="0"/>
  </r>
  <r>
    <n v="1047"/>
    <s v="KT13"/>
    <s v="KTC COCONUT OIL 500 ML X 12"/>
    <m/>
    <x v="0"/>
    <m/>
    <s v=""/>
    <m/>
    <n v="0"/>
    <n v="0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1052"/>
    <s v="KT18"/>
    <s v="KTC JASMIN OIL 250 ML X 12"/>
    <m/>
    <x v="0"/>
    <m/>
    <s v=""/>
    <m/>
    <n v="0"/>
    <n v="0"/>
  </r>
  <r>
    <n v="1053"/>
    <s v="KT19"/>
    <s v="KTC JASMINE OIL 500 ML X 12"/>
    <m/>
    <x v="0"/>
    <m/>
    <s v=""/>
    <m/>
    <n v="0"/>
    <n v="0"/>
  </r>
  <r>
    <n v="1054"/>
    <s v="KT2"/>
    <s v="KTC ALMOND OIL 300 ML X 12"/>
    <m/>
    <x v="0"/>
    <m/>
    <s v=""/>
    <m/>
    <n v="0"/>
    <n v="0"/>
  </r>
  <r>
    <n v="1055"/>
    <s v="KT20"/>
    <s v="KTC MUSTARD OIL 250 ML X 12"/>
    <m/>
    <x v="0"/>
    <m/>
    <s v=""/>
    <m/>
    <n v="-1"/>
    <n v="-10.68"/>
  </r>
  <r>
    <n v="1056"/>
    <s v="KT21"/>
    <s v="KTC MUSTARD OIL 4LT X 4"/>
    <m/>
    <x v="0"/>
    <m/>
    <s v=""/>
    <m/>
    <n v="0"/>
    <n v="0"/>
  </r>
  <r>
    <n v="1057"/>
    <s v="KT22"/>
    <s v="KTC MUSTARD OIL 500 ML X 12"/>
    <m/>
    <x v="0"/>
    <m/>
    <s v=""/>
    <m/>
    <n v="-1"/>
    <n v="-17.399999999999999"/>
  </r>
  <r>
    <n v="1058"/>
    <s v="KT23"/>
    <s v="KTC MUSTARD OIL 750 ML X 12"/>
    <m/>
    <x v="0"/>
    <m/>
    <s v=""/>
    <m/>
    <n v="0"/>
    <n v="0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1062"/>
    <s v="KT27"/>
    <s v="KTC SESAME OIL 250 ML X 12"/>
    <m/>
    <x v="0"/>
    <m/>
    <s v=""/>
    <m/>
    <n v="0"/>
    <n v="0"/>
  </r>
  <r>
    <n v="1063"/>
    <s v="KT28"/>
    <s v="KTC SUNFLOWER OIL 1 LT X 15"/>
    <m/>
    <x v="0"/>
    <m/>
    <s v=""/>
    <m/>
    <n v="0"/>
    <n v="0"/>
  </r>
  <r>
    <n v="1064"/>
    <s v="KT29"/>
    <s v="KTC POPPY SEED OIL 250MLX12"/>
    <m/>
    <x v="0"/>
    <m/>
    <s v=""/>
    <m/>
    <n v="0"/>
    <n v="0"/>
  </r>
  <r>
    <n v="1065"/>
    <s v="KT3"/>
    <s v="KTC ALMOND OIL 500 ML X 12"/>
    <m/>
    <x v="0"/>
    <m/>
    <s v=""/>
    <m/>
    <n v="0"/>
    <n v="0"/>
  </r>
  <r>
    <n v="1066"/>
    <s v="KT4"/>
    <s v="KTC ALMOND OIL 750 ML X 6"/>
    <m/>
    <x v="0"/>
    <m/>
    <s v=""/>
    <m/>
    <n v="0"/>
    <n v="0"/>
  </r>
  <r>
    <n v="1067"/>
    <s v="KT5"/>
    <s v="KTC ALSI OIL 250 ML X 12"/>
    <m/>
    <x v="0"/>
    <m/>
    <s v=""/>
    <m/>
    <n v="0"/>
    <n v="0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1070"/>
    <s v="KT8"/>
    <s v="KTC CASTOR OIL 250 ML X 12"/>
    <m/>
    <x v="0"/>
    <m/>
    <s v=""/>
    <m/>
    <n v="0"/>
    <n v="0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1073"/>
    <s v="LA2"/>
    <s v="LAILA BROKEN 5 KG"/>
    <m/>
    <x v="0"/>
    <m/>
    <s v=""/>
    <m/>
    <n v="0"/>
    <n v="0"/>
  </r>
  <r>
    <n v="1074"/>
    <s v="LA3"/>
    <s v="LAILA BROKEN RICE 20 KG"/>
    <m/>
    <x v="0"/>
    <m/>
    <s v=""/>
    <m/>
    <n v="0"/>
    <n v="0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1088"/>
    <s v="LZ10"/>
    <s v="LAZ CHICKEN TIKKA 100 G X 6"/>
    <m/>
    <x v="0"/>
    <m/>
    <s v=""/>
    <m/>
    <n v="-1"/>
    <n v="-3"/>
  </r>
  <r>
    <n v="1089"/>
    <s v="LZ11"/>
    <s v="LAZ CHUTNEY RAITA  X 6"/>
    <m/>
    <x v="0"/>
    <m/>
    <s v=""/>
    <m/>
    <n v="0"/>
    <n v="0"/>
  </r>
  <r>
    <n v="1090"/>
    <s v="LZ12"/>
    <s v="LAZ DELHI PULAO BIR 100 GX 6"/>
    <m/>
    <x v="0"/>
    <m/>
    <s v=""/>
    <m/>
    <n v="0"/>
    <n v="0"/>
  </r>
  <r>
    <n v="1091"/>
    <s v="LZ13"/>
    <s v="LAZ FISH MASALA 100 G X 6"/>
    <m/>
    <x v="0"/>
    <m/>
    <s v=""/>
    <m/>
    <n v="0"/>
    <n v="0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1094"/>
    <s v="LZ16"/>
    <s v="LAZ HALEEM MASALA 100 G X 6"/>
    <m/>
    <x v="0"/>
    <m/>
    <s v=""/>
    <m/>
    <n v="0"/>
    <n v="0"/>
  </r>
  <r>
    <n v="1095"/>
    <s v="LZ17"/>
    <s v="LAZ HALEEM MIX MASALA 375 G X 6"/>
    <m/>
    <x v="0"/>
    <m/>
    <s v=""/>
    <m/>
    <n v="0"/>
    <n v="0"/>
  </r>
  <r>
    <n v="1096"/>
    <s v="LZ18"/>
    <s v="LAZ FALOODA JELLY 235 G X 6"/>
    <m/>
    <x v="0"/>
    <m/>
    <s v=""/>
    <m/>
    <n v="0"/>
    <n v="0"/>
  </r>
  <r>
    <n v="1097"/>
    <s v="LZ19"/>
    <s v="LAZ KARAHI/FRY GHOST MAS 90 G X 6 "/>
    <m/>
    <x v="0"/>
    <m/>
    <s v=""/>
    <m/>
    <n v="0"/>
    <n v="0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100"/>
    <s v="LZ21"/>
    <s v="LAZ KHEER A+S 155 G X 6"/>
    <m/>
    <x v="0"/>
    <m/>
    <s v=""/>
    <m/>
    <n v="-2"/>
    <n v="-11.879999999999999"/>
  </r>
  <r>
    <n v="1101"/>
    <s v="LZ22"/>
    <s v="LAZ KHEER MIX P+C 155 G X 6"/>
    <m/>
    <x v="0"/>
    <m/>
    <s v=""/>
    <m/>
    <n v="0"/>
    <n v="0"/>
  </r>
  <r>
    <n v="1102"/>
    <s v="LZ23"/>
    <s v="LAZ KHEER MIX STD 155 G X 6"/>
    <m/>
    <x v="0"/>
    <m/>
    <s v=""/>
    <m/>
    <n v="0"/>
    <n v="0"/>
  </r>
  <r>
    <n v="1103"/>
    <s v="LZ24"/>
    <s v="LAZ KOFTA MASALA 130 G X 6"/>
    <m/>
    <x v="0"/>
    <m/>
    <s v=""/>
    <m/>
    <n v="0"/>
    <n v="0"/>
  </r>
  <r>
    <n v="1104"/>
    <s v="LZ25"/>
    <s v="LAZ KULFA KHOYA STD X 6"/>
    <m/>
    <x v="0"/>
    <m/>
    <s v=""/>
    <m/>
    <n v="0"/>
    <n v="0"/>
  </r>
  <r>
    <n v="1105"/>
    <s v="LZ26"/>
    <s v="LAZ KULFI MALAI MIX X 6"/>
    <m/>
    <x v="0"/>
    <m/>
    <s v=""/>
    <m/>
    <n v="0"/>
    <n v="0"/>
  </r>
  <r>
    <n v="1106"/>
    <s v="LZ27"/>
    <s v="LAZ LAHORI CHARGA X 6"/>
    <m/>
    <x v="0"/>
    <m/>
    <s v=""/>
    <m/>
    <n v="0"/>
    <n v="0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09"/>
    <s v="LZ3"/>
    <s v="LAZ BARYANI MASALA 100GX6"/>
    <m/>
    <x v="0"/>
    <m/>
    <s v=""/>
    <m/>
    <n v="0"/>
    <n v="0"/>
  </r>
  <r>
    <n v="1110"/>
    <s v="LZ30"/>
    <s v="LAZ NEHARI MASALA 100 G X 6"/>
    <m/>
    <x v="0"/>
    <m/>
    <s v=""/>
    <m/>
    <n v="0"/>
    <n v="0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1113"/>
    <s v="LZ33"/>
    <s v="LAZ PAYA MASALA 130 G X 6"/>
    <m/>
    <x v="0"/>
    <m/>
    <s v=""/>
    <m/>
    <n v="0"/>
    <n v="0"/>
  </r>
  <r>
    <n v="1114"/>
    <s v="LZ34"/>
    <s v="LAZ FALOODA PISTA X 6"/>
    <m/>
    <x v="0"/>
    <m/>
    <s v=""/>
    <m/>
    <n v="0"/>
    <n v="0"/>
  </r>
  <r>
    <n v="1115"/>
    <s v="LZ35"/>
    <s v="LAZ PLUM CHUTNEY 275 G X 6"/>
    <m/>
    <x v="0"/>
    <m/>
    <s v=""/>
    <m/>
    <n v="0"/>
    <n v="0"/>
  </r>
  <r>
    <n v="1116"/>
    <s v="LZ36"/>
    <s v="LAZ QEEMA MAS 100 G X 6"/>
    <m/>
    <x v="0"/>
    <m/>
    <s v=""/>
    <m/>
    <n v="0"/>
    <n v="0"/>
  </r>
  <r>
    <n v="1117"/>
    <s v="LZ37"/>
    <s v="LAZ QORMA MASALA 130 G X 6"/>
    <m/>
    <x v="0"/>
    <m/>
    <s v=""/>
    <m/>
    <n v="0"/>
    <n v="0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120"/>
    <s v="LZ4"/>
    <s v="LAZ CHANA MASALA 100GX6"/>
    <m/>
    <x v="0"/>
    <m/>
    <s v=""/>
    <m/>
    <n v="0"/>
    <n v="0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24"/>
    <s v="LZ43"/>
    <s v="LAZ SABAZI MASALA 100 G X 6"/>
    <m/>
    <x v="0"/>
    <m/>
    <s v=""/>
    <m/>
    <n v="0"/>
    <n v="0"/>
  </r>
  <r>
    <n v="1125"/>
    <s v="LZ44"/>
    <s v="LAZ SEEKH MAS 100 G X 6"/>
    <m/>
    <x v="0"/>
    <m/>
    <s v=""/>
    <m/>
    <n v="0"/>
    <n v="0"/>
  </r>
  <r>
    <n v="1126"/>
    <s v="LZ45"/>
    <s v="LAZ SHAMI KEBAB MASALA 130 G X 6"/>
    <m/>
    <x v="0"/>
    <m/>
    <s v=""/>
    <m/>
    <n v="0"/>
    <n v="0"/>
  </r>
  <r>
    <n v="1127"/>
    <s v="LZ46"/>
    <s v="LAZ SHEER KHURMA 160 G X 6"/>
    <m/>
    <x v="0"/>
    <m/>
    <s v=""/>
    <m/>
    <n v="0"/>
    <n v="0"/>
  </r>
  <r>
    <n v="1128"/>
    <s v="LZ47"/>
    <s v="LAZ SINDHI BIRYANI MASALA 130 G X 6"/>
    <m/>
    <x v="0"/>
    <m/>
    <s v=""/>
    <m/>
    <n v="0"/>
    <n v="0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131"/>
    <s v="LZ5"/>
    <s v="LAZ CHAPLI KEBAB 100GX6"/>
    <m/>
    <x v="0"/>
    <m/>
    <s v=""/>
    <m/>
    <n v="0"/>
    <n v="0"/>
  </r>
  <r>
    <n v="1132"/>
    <s v="LZ50"/>
    <s v="LAZ TANDOORI/B.B.Q 100 G X 6"/>
    <m/>
    <x v="0"/>
    <m/>
    <s v=""/>
    <m/>
    <n v="0"/>
    <n v="0"/>
  </r>
  <r>
    <n v="1133"/>
    <s v="LZ51"/>
    <s v="LAZ TIKKA BOTTI MASALA 100 G X 6"/>
    <m/>
    <x v="0"/>
    <m/>
    <s v=""/>
    <m/>
    <n v="0"/>
    <n v="0"/>
  </r>
  <r>
    <n v="1134"/>
    <s v="LZ52"/>
    <s v="LAZ YAKHANI PULAO MASALA X 6"/>
    <m/>
    <x v="0"/>
    <m/>
    <s v=""/>
    <m/>
    <n v="0"/>
    <n v="0"/>
  </r>
  <r>
    <n v="1135"/>
    <s v="LZ53"/>
    <s v="LAZ ZAFRANI BOMBAY BIRY 130 G X 6"/>
    <m/>
    <x v="0"/>
    <m/>
    <s v=""/>
    <m/>
    <n v="0"/>
    <n v="0"/>
  </r>
  <r>
    <n v="1136"/>
    <s v="LZ54"/>
    <s v="LAZ KATKAT MASALA100GX6"/>
    <m/>
    <x v="0"/>
    <m/>
    <s v=""/>
    <m/>
    <n v="0"/>
    <n v="0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1141"/>
    <s v="LZ6"/>
    <s v="LAZ CHAT MASALA 100GX6"/>
    <m/>
    <x v="0"/>
    <m/>
    <s v=""/>
    <m/>
    <n v="0"/>
    <n v="0"/>
  </r>
  <r>
    <n v="1142"/>
    <s v="LZ7"/>
    <s v="LAZ CHICKEN BROAST X 6"/>
    <m/>
    <x v="0"/>
    <m/>
    <s v=""/>
    <m/>
    <n v="0"/>
    <n v="0"/>
  </r>
  <r>
    <n v="1143"/>
    <s v="LZ8"/>
    <s v="LAZ CHICKEN GINGER X 6"/>
    <m/>
    <x v="0"/>
    <m/>
    <s v=""/>
    <m/>
    <n v="0"/>
    <n v="0"/>
  </r>
  <r>
    <n v="1144"/>
    <s v="LZ9"/>
    <s v="LAZ CHICKEN MASALA X 6"/>
    <m/>
    <x v="0"/>
    <m/>
    <s v=""/>
    <m/>
    <n v="-1"/>
    <n v="-3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165"/>
    <s v="MH11"/>
    <s v="MDH JAL JEERA 100 G X 10"/>
    <m/>
    <x v="0"/>
    <m/>
    <s v=""/>
    <m/>
    <n v="0"/>
    <n v="0"/>
  </r>
  <r>
    <n v="1166"/>
    <s v="MH12"/>
    <s v="MDH KARAHI GOSHT 100 G X 10"/>
    <m/>
    <x v="0"/>
    <m/>
    <s v=""/>
    <m/>
    <n v="0"/>
    <n v="0"/>
  </r>
  <r>
    <n v="1167"/>
    <s v="MH13"/>
    <s v="MDH KITCHENKING 100GX10"/>
    <m/>
    <x v="0"/>
    <m/>
    <s v=""/>
    <m/>
    <n v="0"/>
    <n v="0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180"/>
    <s v="MH25"/>
    <s v="MDH TANDOORI B.B.Q 100GX10"/>
    <m/>
    <x v="0"/>
    <m/>
    <s v=""/>
    <m/>
    <n v="0"/>
    <n v="0"/>
  </r>
  <r>
    <n v="1181"/>
    <s v="MH26"/>
    <s v="MDH TAWA FRY MASALA 100GX10"/>
    <m/>
    <x v="0"/>
    <m/>
    <s v=""/>
    <m/>
    <n v="0"/>
    <n v="0"/>
  </r>
  <r>
    <n v="1182"/>
    <s v="MH27"/>
    <s v="MDH TEA MASALA 35GX10"/>
    <m/>
    <x v="0"/>
    <m/>
    <s v=""/>
    <m/>
    <n v="0"/>
    <n v="0"/>
  </r>
  <r>
    <n v="1183"/>
    <s v="MH28"/>
    <s v="MDH BUTTER CHICKEN MASALA 100GX10"/>
    <m/>
    <x v="0"/>
    <m/>
    <s v=""/>
    <m/>
    <n v="-1"/>
    <n v="-9.9"/>
  </r>
  <r>
    <n v="1184"/>
    <s v="MH3"/>
    <s v="MDH CHANA DAL MASALA 100GX10"/>
    <m/>
    <x v="0"/>
    <m/>
    <s v=""/>
    <m/>
    <n v="0"/>
    <n v="0"/>
  </r>
  <r>
    <n v="1185"/>
    <s v="MH4"/>
    <s v="MDH CHANNA MASALA 100 G X 10"/>
    <m/>
    <x v="0"/>
    <m/>
    <s v=""/>
    <m/>
    <n v="-1"/>
    <n v="-8.5"/>
  </r>
  <r>
    <n v="1186"/>
    <s v="MH5"/>
    <s v="MDH CHICKEN MASALA 100GX10"/>
    <m/>
    <x v="0"/>
    <m/>
    <s v=""/>
    <m/>
    <n v="0"/>
    <n v="0"/>
  </r>
  <r>
    <n v="1187"/>
    <s v="MH6"/>
    <s v="MDH CHUNKY CHAT MAS 100 G X 10"/>
    <m/>
    <x v="0"/>
    <m/>
    <s v=""/>
    <m/>
    <n v="-3"/>
    <n v="-25.5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1190"/>
    <s v="MH9"/>
    <s v="MDH DEGGI MIRCH 100GX10"/>
    <m/>
    <x v="0"/>
    <m/>
    <s v=""/>
    <m/>
    <n v="0"/>
    <n v="0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1194"/>
    <s v="NT11"/>
    <s v="NAT CHICKEN TANDOORI 100 G X 12"/>
    <m/>
    <x v="0"/>
    <m/>
    <s v=""/>
    <m/>
    <n v="0"/>
    <n v="0"/>
  </r>
  <r>
    <n v="1195"/>
    <s v="NT12"/>
    <s v="NAT CHICKEN TIKKA 100 G X 12"/>
    <m/>
    <x v="0"/>
    <m/>
    <s v=""/>
    <m/>
    <n v="0"/>
    <n v="0"/>
  </r>
  <r>
    <n v="1196"/>
    <s v="NT13"/>
    <s v="NAT CHILL&amp;GARLIC SAUCE 300 G X 12"/>
    <m/>
    <x v="0"/>
    <m/>
    <s v=""/>
    <m/>
    <n v="0"/>
    <n v="0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-2"/>
    <n v="-14.16"/>
  </r>
  <r>
    <n v="1203"/>
    <s v="NT2"/>
    <s v="NAT BIRYANI MAS 90 G X 6"/>
    <m/>
    <x v="0"/>
    <m/>
    <s v=""/>
    <m/>
    <n v="-2"/>
    <n v="-8.2799999999999994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08"/>
    <s v="NT24"/>
    <s v="NAT GARLIC PICKLE 1 KG X 6"/>
    <m/>
    <x v="0"/>
    <m/>
    <s v=""/>
    <m/>
    <n v="0"/>
    <n v="0"/>
  </r>
  <r>
    <n v="1209"/>
    <s v="NT25"/>
    <s v="NAT GARLIC PASTE BIG X 12  *OFFERTA*"/>
    <m/>
    <x v="0"/>
    <m/>
    <s v=""/>
    <m/>
    <n v="0"/>
    <n v="0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12"/>
    <s v="NT28"/>
    <s v="NAT GINGER PASTE BIG X 12   *OFFERTA*"/>
    <m/>
    <x v="0"/>
    <m/>
    <s v=""/>
    <m/>
    <n v="0"/>
    <n v="0"/>
  </r>
  <r>
    <n v="1213"/>
    <s v="NT29"/>
    <s v="NAT GINGER PASTE SMALL X 12"/>
    <m/>
    <x v="0"/>
    <m/>
    <s v=""/>
    <m/>
    <n v="0"/>
    <n v="0"/>
  </r>
  <r>
    <n v="1214"/>
    <s v="NT3"/>
    <s v="NAT BOMBAY BIRYANI 140 G X 6"/>
    <m/>
    <x v="0"/>
    <m/>
    <s v=""/>
    <m/>
    <n v="0"/>
    <n v="0"/>
  </r>
  <r>
    <n v="1215"/>
    <s v="NT30"/>
    <s v="NAT GINGER &amp; GARLIC PASTE BIG X 12"/>
    <m/>
    <x v="0"/>
    <m/>
    <s v=""/>
    <m/>
    <n v="0"/>
    <n v="0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-1"/>
    <n v="-7.08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227"/>
    <s v="NT41"/>
    <s v="NAT KARAHI GHOST 100 G X 6"/>
    <m/>
    <x v="0"/>
    <m/>
    <s v=""/>
    <m/>
    <n v="0"/>
    <n v="0"/>
  </r>
  <r>
    <n v="1228"/>
    <s v="NT42"/>
    <s v="NAT KARELA PICKLE 1 KG X 6"/>
    <m/>
    <x v="0"/>
    <m/>
    <s v=""/>
    <m/>
    <n v="0"/>
    <n v="0"/>
  </r>
  <r>
    <n v="1229"/>
    <s v="NT43"/>
    <s v="NAT KHEER MIX 155 G X 12"/>
    <m/>
    <x v="0"/>
    <m/>
    <s v=""/>
    <m/>
    <n v="0"/>
    <n v="0"/>
  </r>
  <r>
    <n v="1230"/>
    <s v="NT44"/>
    <s v="NAT KHEER PISTA 155 G X 12"/>
    <m/>
    <x v="0"/>
    <m/>
    <s v=""/>
    <m/>
    <n v="0"/>
    <n v="0"/>
  </r>
  <r>
    <n v="1231"/>
    <s v="NT45"/>
    <s v="NAT KOFTA MASALA100 G X 12"/>
    <m/>
    <x v="0"/>
    <m/>
    <s v=""/>
    <m/>
    <n v="0"/>
    <n v="0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234"/>
    <s v="NT48"/>
    <s v="NAT LIME PICKLE 1 KG X 6"/>
    <m/>
    <x v="0"/>
    <m/>
    <s v=""/>
    <m/>
    <n v="0"/>
    <n v="0"/>
  </r>
  <r>
    <n v="1235"/>
    <s v="NT49"/>
    <s v="NAT MANGO &amp; CHILLI SAUCE 300 G X 12"/>
    <m/>
    <x v="0"/>
    <m/>
    <s v=""/>
    <m/>
    <n v="0"/>
    <n v="0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0"/>
    <n v="0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2"/>
    <s v="NT55"/>
    <s v="NAT MURGHA MAS 100 G X 6"/>
    <m/>
    <x v="0"/>
    <m/>
    <s v=""/>
    <m/>
    <n v="0"/>
    <n v="0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46"/>
    <s v="NT59"/>
    <s v="NAT PALAK GHOST MASALA 100 G X 12"/>
    <m/>
    <x v="0"/>
    <m/>
    <s v=""/>
    <m/>
    <n v="0"/>
    <n v="0"/>
  </r>
  <r>
    <n v="1247"/>
    <s v="NT6"/>
    <s v="NAT CHAPLI KABAB 100 G X 12"/>
    <m/>
    <x v="0"/>
    <m/>
    <s v=""/>
    <m/>
    <n v="0"/>
    <n v="0"/>
  </r>
  <r>
    <n v="1248"/>
    <s v="NT60"/>
    <s v="NAT PLUM CHUTNEY 390 G X 12"/>
    <m/>
    <x v="0"/>
    <m/>
    <s v=""/>
    <m/>
    <n v="0"/>
    <n v="0"/>
  </r>
  <r>
    <n v="1249"/>
    <s v="NT61"/>
    <s v="NAT PUNJABI CHANA MAS 200 G X 12"/>
    <m/>
    <x v="0"/>
    <m/>
    <s v=""/>
    <m/>
    <n v="0"/>
    <n v="0"/>
  </r>
  <r>
    <n v="1250"/>
    <s v="NT62"/>
    <s v="NAT QASURI METHI 100 G X 6"/>
    <m/>
    <x v="0"/>
    <m/>
    <s v=""/>
    <m/>
    <n v="0"/>
    <n v="0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53"/>
    <s v="NT65"/>
    <s v="NAT QORMA MASALA 100 G X 6"/>
    <m/>
    <x v="0"/>
    <m/>
    <s v=""/>
    <m/>
    <n v="0"/>
    <n v="0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257"/>
    <s v="NT69"/>
    <s v="NAT SEEKH KEBAB MASALA 100 G X 12"/>
    <m/>
    <x v="0"/>
    <m/>
    <s v=""/>
    <m/>
    <n v="0"/>
    <n v="0"/>
  </r>
  <r>
    <n v="1258"/>
    <s v="NT7"/>
    <s v="NAT CHAT MASALA 110 G X 12"/>
    <m/>
    <x v="0"/>
    <m/>
    <s v=""/>
    <m/>
    <n v="0"/>
    <n v="0"/>
  </r>
  <r>
    <n v="1259"/>
    <s v="NT70"/>
    <s v="NAT SHAMI KEBAB MASALA 100 G X 12"/>
    <m/>
    <x v="0"/>
    <m/>
    <s v=""/>
    <m/>
    <n v="0"/>
    <n v="0"/>
  </r>
  <r>
    <n v="1260"/>
    <s v="NT71"/>
    <s v="NAT SHEER KHURMA 160 G X 12"/>
    <m/>
    <x v="0"/>
    <m/>
    <s v=""/>
    <m/>
    <n v="0"/>
    <n v="0"/>
  </r>
  <r>
    <n v="1261"/>
    <s v="NT72"/>
    <s v="NAT SINDHI BIRYANI 100 G X 6"/>
    <m/>
    <x v="0"/>
    <m/>
    <s v=""/>
    <m/>
    <n v="0"/>
    <n v="0"/>
  </r>
  <r>
    <n v="1262"/>
    <s v="NT73"/>
    <s v="NAT TAMRIND CHUTNEY 325 G X 12"/>
    <m/>
    <x v="0"/>
    <m/>
    <s v=""/>
    <m/>
    <n v="0"/>
    <n v="0"/>
  </r>
  <r>
    <n v="1263"/>
    <s v="NT74"/>
    <s v="NAT TIKKA BOTTI MASALA X 12"/>
    <m/>
    <x v="0"/>
    <m/>
    <s v=""/>
    <m/>
    <n v="0"/>
    <n v="0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266"/>
    <s v="NT77"/>
    <s v="NAT VERMICELLI X 48"/>
    <m/>
    <x v="0"/>
    <m/>
    <s v=""/>
    <m/>
    <n v="-1"/>
    <n v="-16.32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269"/>
    <s v="NT8"/>
    <s v="NAT CHICKEN BIRYANI 90 G X 12"/>
    <m/>
    <x v="0"/>
    <m/>
    <s v=""/>
    <m/>
    <n v="0"/>
    <n v="0"/>
  </r>
  <r>
    <n v="1270"/>
    <s v="NT80"/>
    <s v="NAT FIRNI MIX 155 GX12"/>
    <m/>
    <x v="0"/>
    <m/>
    <s v=""/>
    <m/>
    <n v="0"/>
    <n v="0"/>
  </r>
  <r>
    <n v="1271"/>
    <s v="NT9"/>
    <s v="NAT CHICKEN BROAST X 12"/>
    <m/>
    <x v="0"/>
    <m/>
    <s v=""/>
    <m/>
    <n v="0"/>
    <n v="0"/>
  </r>
  <r>
    <n v="1272"/>
    <s v="P1"/>
    <s v="PR CAKE RUSK 400G X24"/>
    <m/>
    <x v="0"/>
    <m/>
    <s v=""/>
    <m/>
    <n v="0"/>
    <n v="0"/>
  </r>
  <r>
    <n v="1273"/>
    <s v="PG1"/>
    <s v="PG TEA 1.5 KG LOOSE TEA X 4  "/>
    <m/>
    <x v="0"/>
    <m/>
    <s v=""/>
    <m/>
    <n v="-1"/>
    <n v="-31.96"/>
  </r>
  <r>
    <n v="1274"/>
    <s v="PG2"/>
    <s v="PG TEA 160 TEA BAGS X 8 "/>
    <m/>
    <x v="0"/>
    <m/>
    <s v=""/>
    <m/>
    <n v="-1"/>
    <n v="-31.28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278"/>
    <s v="PG6"/>
    <s v="PG TEA 40 TEA BAGS X 12 "/>
    <m/>
    <x v="0"/>
    <m/>
    <s v=""/>
    <m/>
    <n v="0"/>
    <n v="0"/>
  </r>
  <r>
    <n v="1279"/>
    <s v="PG7"/>
    <s v="PG TEA 500 G LOOSE TEA X 6"/>
    <m/>
    <x v="0"/>
    <m/>
    <s v=""/>
    <m/>
    <n v="0"/>
    <n v="0"/>
  </r>
  <r>
    <n v="1280"/>
    <s v="PG8"/>
    <s v="PG TEA 80 TEA BAGS X 12"/>
    <m/>
    <x v="0"/>
    <m/>
    <s v=""/>
    <m/>
    <n v="0"/>
    <n v="0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288"/>
    <s v="PJ15"/>
    <s v="PJ FACE WASH ORANGE&amp;HONEY 60GMX96"/>
    <m/>
    <x v="0"/>
    <m/>
    <s v=""/>
    <m/>
    <n v="0"/>
    <n v="0"/>
  </r>
  <r>
    <n v="1289"/>
    <s v="PJ16"/>
    <s v="PJ FACE WASH NEEM &amp;TULSI 60GMX96"/>
    <m/>
    <x v="0"/>
    <m/>
    <s v=""/>
    <m/>
    <n v="0"/>
    <n v="0"/>
  </r>
  <r>
    <n v="1290"/>
    <s v="PJ17"/>
    <s v="PJ FACE WASH ORANGE&amp;ALOVERA 60GMX96"/>
    <m/>
    <x v="0"/>
    <m/>
    <s v=""/>
    <m/>
    <n v="0"/>
    <n v="0"/>
  </r>
  <r>
    <n v="1291"/>
    <s v="PJ18"/>
    <s v="PJ FACE PACK MULTANI MITTI  60GMX96"/>
    <m/>
    <x v="0"/>
    <m/>
    <s v=""/>
    <m/>
    <n v="0"/>
    <n v="0"/>
  </r>
  <r>
    <n v="1292"/>
    <s v="PJ19"/>
    <s v="PJ FACE PACK NEEM CUCUMBER 60GMX96"/>
    <m/>
    <x v="0"/>
    <m/>
    <s v=""/>
    <m/>
    <n v="0"/>
    <n v="0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1301"/>
    <s v="PJ27"/>
    <s v="PJ ALOE VERA GEL 60 ML X 12"/>
    <m/>
    <x v="0"/>
    <m/>
    <s v=""/>
    <m/>
    <n v="0"/>
    <n v="-9.9"/>
  </r>
  <r>
    <n v="1302"/>
    <s v="PJ28"/>
    <s v="PJ CAPSULE SHILAJIT 11 GM"/>
    <m/>
    <x v="0"/>
    <m/>
    <s v=""/>
    <m/>
    <n v="0"/>
    <n v="0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1306"/>
    <s v="PJ5"/>
    <s v="PJ TOOTHPASTE DANT KANTI 100GX96PCS"/>
    <m/>
    <x v="0"/>
    <m/>
    <s v=""/>
    <m/>
    <n v="0"/>
    <n v="0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1311"/>
    <s v="PR001"/>
    <s v="PRAN JUICE PINE  APPLE 1LTX12"/>
    <m/>
    <x v="0"/>
    <m/>
    <s v=""/>
    <m/>
    <n v="0"/>
    <n v="0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1330"/>
    <s v="PR23"/>
    <s v="SP MANGO PICKLE 800 G X 12"/>
    <m/>
    <x v="0"/>
    <m/>
    <s v=""/>
    <m/>
    <n v="0"/>
    <n v="0"/>
  </r>
  <r>
    <n v="1331"/>
    <s v="PR24"/>
    <s v="SP MIX PICKLE 2 KG X 6"/>
    <m/>
    <x v="0"/>
    <m/>
    <s v=""/>
    <m/>
    <n v="0"/>
    <n v="0"/>
  </r>
  <r>
    <n v="1332"/>
    <s v="PR25"/>
    <s v="SP MIX PICKLE 800 G X 12"/>
    <m/>
    <x v="0"/>
    <m/>
    <s v=""/>
    <m/>
    <n v="0"/>
    <n v="0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-1"/>
    <n v="-23.88"/>
  </r>
  <r>
    <n v="1349"/>
    <s v="Q3"/>
    <s v="QARSHI JAME SHIRIN SYRUP 800MLX12"/>
    <m/>
    <x v="0"/>
    <m/>
    <s v=""/>
    <m/>
    <n v="0"/>
    <n v="0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55"/>
    <s v="R100"/>
    <s v="RAW CHANA DAL 25KGX1"/>
    <m/>
    <x v="0"/>
    <m/>
    <s v=""/>
    <m/>
    <n v="0"/>
    <n v="0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64"/>
    <s v="R12"/>
    <s v="PAK KERNEL BASMATI 10 KG X 2"/>
    <m/>
    <x v="0"/>
    <m/>
    <s v=""/>
    <m/>
    <n v="0"/>
    <n v="0"/>
  </r>
  <r>
    <n v="1365"/>
    <s v="R13"/>
    <s v="PAK KERNEL BASMATI 20 KG X 1"/>
    <m/>
    <x v="0"/>
    <m/>
    <s v=""/>
    <m/>
    <n v="0"/>
    <n v="0"/>
  </r>
  <r>
    <n v="1366"/>
    <s v="R14"/>
    <s v="PAK KERNEL BASMATI 2 KG X 10"/>
    <m/>
    <x v="0"/>
    <m/>
    <s v=""/>
    <m/>
    <n v="0"/>
    <n v="0"/>
  </r>
  <r>
    <n v="1367"/>
    <s v="R15"/>
    <s v="PAK KERNEL BASMATI 5 KG X 4"/>
    <m/>
    <x v="0"/>
    <m/>
    <s v=""/>
    <m/>
    <n v="-6"/>
    <n v="-203.44"/>
  </r>
  <r>
    <n v="1368"/>
    <s v="R16"/>
    <s v="PAK KERNEL BASMATI 1 KG X 20"/>
    <m/>
    <x v="0"/>
    <m/>
    <s v=""/>
    <m/>
    <n v="0"/>
    <n v="0"/>
  </r>
  <r>
    <n v="1369"/>
    <s v="R17"/>
    <s v="PUNJAB KER.BASMATI 20KGX1"/>
    <m/>
    <x v="0"/>
    <m/>
    <s v=""/>
    <m/>
    <n v="0"/>
    <n v="0"/>
  </r>
  <r>
    <n v="1370"/>
    <s v="R18"/>
    <s v="PUNJAB KER.BASMATI 2KGX10"/>
    <m/>
    <x v="0"/>
    <m/>
    <s v=""/>
    <m/>
    <n v="0"/>
    <n v="0"/>
  </r>
  <r>
    <n v="1371"/>
    <s v="R19"/>
    <s v="PUNJAB KER.BASMATI RICE 5KGX4"/>
    <m/>
    <x v="0"/>
    <m/>
    <s v=""/>
    <m/>
    <n v="0"/>
    <n v="0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0"/>
    <n v="0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384"/>
    <s v="R30"/>
    <s v="RAW KALA CHANA 25KGX1"/>
    <m/>
    <x v="0"/>
    <m/>
    <s v=""/>
    <m/>
    <n v="0"/>
    <n v="0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0"/>
    <n v="0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460"/>
    <s v="RB11"/>
    <s v="RB LYCHEE JUICE 1 LT X 12"/>
    <m/>
    <x v="0"/>
    <m/>
    <s v=""/>
    <m/>
    <n v="-1"/>
    <n v="-15.48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-1"/>
    <n v="-10"/>
  </r>
  <r>
    <n v="1482"/>
    <s v="RG12"/>
    <s v="REG LAHORI MIX 400 G X 8"/>
    <m/>
    <x v="0"/>
    <m/>
    <s v=""/>
    <m/>
    <n v="-1"/>
    <n v="-1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-2"/>
    <n v="-23.88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-1"/>
    <n v="-11.94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496"/>
    <s v="RG5"/>
    <s v="REG CHANA DAL 400 G X 8"/>
    <m/>
    <x v="0"/>
    <m/>
    <s v=""/>
    <m/>
    <n v="0"/>
    <n v="0"/>
  </r>
  <r>
    <n v="1497"/>
    <s v="RG6"/>
    <s v="REG CHILLI CORN 400 G X 8"/>
    <m/>
    <x v="0"/>
    <m/>
    <s v=""/>
    <m/>
    <n v="0"/>
    <n v="0"/>
  </r>
  <r>
    <n v="1498"/>
    <s v="RG7"/>
    <s v="REG CHIN CHIN 400 G X 8 "/>
    <m/>
    <x v="0"/>
    <m/>
    <s v=""/>
    <m/>
    <n v="0"/>
    <n v="0"/>
  </r>
  <r>
    <n v="1499"/>
    <s v="RG8"/>
    <s v="REG GHATIA MIX 400 G X 8"/>
    <m/>
    <x v="0"/>
    <m/>
    <s v=""/>
    <m/>
    <n v="-1"/>
    <n v="-10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533"/>
    <s v="SF023"/>
    <s v="SFI SOY SAUCE 220 G X 24"/>
    <m/>
    <x v="0"/>
    <m/>
    <s v=""/>
    <m/>
    <n v="0"/>
    <n v="0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538"/>
    <s v="SF13"/>
    <s v="SFI PERBOILED RISO 20 KG X 1 "/>
    <m/>
    <x v="0"/>
    <m/>
    <s v=""/>
    <m/>
    <n v="0"/>
    <n v="0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0"/>
    <n v="0"/>
  </r>
  <r>
    <n v="1541"/>
    <s v="SF16"/>
    <s v="SFI SWEET CHILLI SAUCE SMALL X 24"/>
    <m/>
    <x v="0"/>
    <m/>
    <s v=""/>
    <m/>
    <n v="0"/>
    <n v="0"/>
  </r>
  <r>
    <n v="1542"/>
    <s v="SF17"/>
    <s v="SFI TANDOOR X 1"/>
    <m/>
    <x v="0"/>
    <m/>
    <s v=""/>
    <m/>
    <n v="13"/>
    <n v="10"/>
  </r>
  <r>
    <n v="1543"/>
    <s v="SF18"/>
    <s v="SFI COCONUT MILK WITH PULP 290MLX24"/>
    <m/>
    <x v="0"/>
    <m/>
    <s v=""/>
    <m/>
    <n v="0"/>
    <n v="0"/>
  </r>
  <r>
    <n v="1544"/>
    <s v="SF19"/>
    <s v="SFI BS COCONUT JUICE WITH PULP 290MLX24"/>
    <m/>
    <x v="0"/>
    <m/>
    <s v=""/>
    <m/>
    <n v="0"/>
    <n v="0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554"/>
    <s v="SF4"/>
    <s v="SFI BS DRINK COCONUT 290 ML X 24"/>
    <m/>
    <x v="0"/>
    <m/>
    <s v=""/>
    <m/>
    <n v="0"/>
    <n v="0"/>
  </r>
  <r>
    <n v="1555"/>
    <s v="SF5"/>
    <s v="SFI BS DRINK HONEY  290 ML X 24"/>
    <m/>
    <x v="0"/>
    <m/>
    <s v=""/>
    <m/>
    <n v="0"/>
    <n v="0"/>
  </r>
  <r>
    <n v="1556"/>
    <s v="SF6"/>
    <s v="SFI BS DRINK LYCHEE  290 ML X 24"/>
    <m/>
    <x v="0"/>
    <m/>
    <s v=""/>
    <m/>
    <n v="0"/>
    <n v="0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560"/>
    <s v="SFI"/>
    <s v="SFI GINGER FRESH 10KG"/>
    <m/>
    <x v="0"/>
    <m/>
    <s v=""/>
    <m/>
    <n v="46"/>
    <n v="-20"/>
  </r>
  <r>
    <n v="1561"/>
    <s v="SH1"/>
    <s v="SOHNA PALAK PANEER 450GX24"/>
    <m/>
    <x v="0"/>
    <m/>
    <s v=""/>
    <m/>
    <n v="-2"/>
    <n v="-62.160000000000004"/>
  </r>
  <r>
    <n v="1562"/>
    <s v="SH2"/>
    <s v="SOHNA MATTER PANEER 450GX24"/>
    <m/>
    <x v="0"/>
    <m/>
    <s v=""/>
    <m/>
    <n v="-2"/>
    <n v="-62.160000000000004"/>
  </r>
  <r>
    <n v="1563"/>
    <s v="SH3"/>
    <s v="SOHNA KARI PAKORA 450GX24"/>
    <m/>
    <x v="0"/>
    <m/>
    <s v=""/>
    <m/>
    <n v="-2"/>
    <n v="-62.160000000000004"/>
  </r>
  <r>
    <n v="1564"/>
    <s v="SH4"/>
    <s v="SOHNA SAAG 800GX12"/>
    <m/>
    <x v="0"/>
    <m/>
    <s v=""/>
    <m/>
    <n v="0"/>
    <n v="0"/>
  </r>
  <r>
    <n v="1565"/>
    <s v="SH5"/>
    <s v="SOHNA CHATPATA CHAN A 450X24G"/>
    <m/>
    <x v="0"/>
    <m/>
    <s v=""/>
    <m/>
    <n v="0"/>
    <n v="0"/>
  </r>
  <r>
    <n v="1566"/>
    <s v="SH6"/>
    <s v="SOHNA SAAG 450GX24"/>
    <m/>
    <x v="0"/>
    <m/>
    <s v=""/>
    <m/>
    <n v="-1"/>
    <n v="-21.6"/>
  </r>
  <r>
    <n v="1567"/>
    <s v="SH7"/>
    <s v="SOHNA DAL MAKHNI 450G"/>
    <m/>
    <x v="0"/>
    <m/>
    <s v=""/>
    <m/>
    <n v="0"/>
    <n v="0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582"/>
    <s v="SP32"/>
    <s v="SP MANGO PICKLE UNPLEED X 12"/>
    <m/>
    <x v="0"/>
    <m/>
    <s v=""/>
    <m/>
    <n v="0"/>
    <n v="0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587"/>
    <s v="SR4"/>
    <s v="SURYA PERBOILED RICE 20KGX1"/>
    <m/>
    <x v="0"/>
    <m/>
    <s v=""/>
    <m/>
    <n v="0"/>
    <n v="0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590"/>
    <s v="SR7"/>
    <s v="SURYA BROKEN BASMATI 20KGX1"/>
    <m/>
    <x v="0"/>
    <m/>
    <s v=""/>
    <m/>
    <n v="0"/>
    <n v="0"/>
  </r>
  <r>
    <n v="1591"/>
    <s v="T1"/>
    <s v="TRS AJWAIN 100GX20"/>
    <m/>
    <x v="0"/>
    <m/>
    <s v=""/>
    <m/>
    <n v="0"/>
    <n v="0"/>
  </r>
  <r>
    <n v="1592"/>
    <s v="T10"/>
    <s v="TRS BAY LEAVES 200GX10"/>
    <m/>
    <x v="0"/>
    <m/>
    <s v=""/>
    <m/>
    <n v="0"/>
    <n v="0"/>
  </r>
  <r>
    <n v="1593"/>
    <s v="T100"/>
    <s v="TRS HALDI PWD(TURMERIC) 100G X 20"/>
    <m/>
    <x v="0"/>
    <m/>
    <s v=""/>
    <m/>
    <n v="-1"/>
    <n v="-7.8000000000000007"/>
  </r>
  <r>
    <n v="1594"/>
    <s v="T101"/>
    <s v="TRS HALDI PWD(TURMERIC) 1KG X 6"/>
    <m/>
    <x v="0"/>
    <m/>
    <s v=""/>
    <m/>
    <n v="0"/>
    <n v="0"/>
  </r>
  <r>
    <n v="1595"/>
    <s v="T102"/>
    <s v="TRS HALDI PWD(TURMERIC) 400G X10"/>
    <m/>
    <x v="0"/>
    <m/>
    <s v=""/>
    <m/>
    <n v="-1"/>
    <n v="-12.3"/>
  </r>
  <r>
    <n v="1596"/>
    <s v="T103"/>
    <s v="TRS CORNMAEL COARSE 500GX10"/>
    <m/>
    <x v="0"/>
    <m/>
    <s v=""/>
    <m/>
    <n v="0"/>
    <n v="0"/>
  </r>
  <r>
    <n v="1597"/>
    <s v="T104"/>
    <s v="TRS IMLI(TAMARINDO) 400GX50"/>
    <m/>
    <x v="0"/>
    <m/>
    <s v=""/>
    <m/>
    <n v="0"/>
    <n v="0"/>
  </r>
  <r>
    <n v="1598"/>
    <s v="T105"/>
    <s v="TRS JAVANTARY 50GX10"/>
    <m/>
    <x v="0"/>
    <m/>
    <s v=""/>
    <m/>
    <n v="0"/>
    <n v="0"/>
  </r>
  <r>
    <n v="1599"/>
    <s v="T106"/>
    <s v="TRS JAVANTARY MACE 150GX10"/>
    <m/>
    <x v="0"/>
    <m/>
    <s v=""/>
    <m/>
    <n v="0"/>
    <n v="0"/>
  </r>
  <r>
    <n v="1600"/>
    <s v="T107"/>
    <s v="TRS JEERA PWD 100GX20"/>
    <m/>
    <x v="0"/>
    <m/>
    <s v=""/>
    <m/>
    <n v="0"/>
    <n v="0"/>
  </r>
  <r>
    <n v="1601"/>
    <s v="T108"/>
    <s v="TRS JEERA PWD 1KGX6"/>
    <m/>
    <x v="0"/>
    <m/>
    <s v=""/>
    <m/>
    <n v="0"/>
    <n v="0"/>
  </r>
  <r>
    <n v="1602"/>
    <s v="T109"/>
    <s v="TRS JEERA PWD 400GX10"/>
    <m/>
    <x v="0"/>
    <m/>
    <s v=""/>
    <m/>
    <n v="0"/>
    <n v="0"/>
  </r>
  <r>
    <n v="1603"/>
    <s v="T11"/>
    <s v="TRS BAY LEAVES 30GX15"/>
    <m/>
    <x v="0"/>
    <m/>
    <s v=""/>
    <m/>
    <n v="0"/>
    <n v="0"/>
  </r>
  <r>
    <n v="1604"/>
    <s v="T110"/>
    <s v="TRS JEERA WHOLE 100GX20"/>
    <m/>
    <x v="0"/>
    <m/>
    <s v=""/>
    <m/>
    <n v="0"/>
    <n v="0"/>
  </r>
  <r>
    <n v="1605"/>
    <s v="T111"/>
    <s v="TRS JEERA WHOLE 1KGX6"/>
    <m/>
    <x v="0"/>
    <m/>
    <s v=""/>
    <m/>
    <n v="0"/>
    <n v="0"/>
  </r>
  <r>
    <n v="1606"/>
    <s v="T112"/>
    <s v="TRS JEERA WHOLE 400GX10"/>
    <m/>
    <x v="0"/>
    <m/>
    <s v=""/>
    <m/>
    <n v="-1"/>
    <n v="-20.099999999999998"/>
  </r>
  <r>
    <n v="1607"/>
    <s v="T113"/>
    <s v="TRS KALA CHANA 1KGX10"/>
    <m/>
    <x v="0"/>
    <m/>
    <s v=""/>
    <m/>
    <n v="0"/>
    <n v="0"/>
  </r>
  <r>
    <n v="1608"/>
    <s v="T114"/>
    <s v="TRS KALA CHANA 2KGX6"/>
    <m/>
    <x v="0"/>
    <m/>
    <s v=""/>
    <m/>
    <n v="0"/>
    <n v="0"/>
  </r>
  <r>
    <n v="1609"/>
    <s v="T115"/>
    <s v="TRS KALA CHANA 500GX20"/>
    <m/>
    <x v="0"/>
    <m/>
    <s v=""/>
    <m/>
    <n v="0"/>
    <n v="0"/>
  </r>
  <r>
    <n v="1610"/>
    <s v="T116"/>
    <s v="TRS KALA JEERA 50GX20"/>
    <m/>
    <x v="0"/>
    <m/>
    <s v=""/>
    <m/>
    <n v="0"/>
    <n v="0"/>
  </r>
  <r>
    <n v="1611"/>
    <s v="T117"/>
    <s v="TRS KALA NIMAK PWD100GX20"/>
    <m/>
    <x v="0"/>
    <m/>
    <s v=""/>
    <m/>
    <n v="0"/>
    <n v="0"/>
  </r>
  <r>
    <n v="1612"/>
    <s v="T118"/>
    <s v="TRS KALA NIMAK PWD 200GX20"/>
    <m/>
    <x v="0"/>
    <m/>
    <s v=""/>
    <m/>
    <n v="0"/>
    <n v="0"/>
  </r>
  <r>
    <n v="1613"/>
    <s v="T119"/>
    <s v="TRS KALONJI  SEEDS100GX20"/>
    <m/>
    <x v="0"/>
    <m/>
    <s v=""/>
    <m/>
    <n v="0"/>
    <n v="0"/>
  </r>
  <r>
    <n v="1614"/>
    <s v="T12"/>
    <s v="TRS BICARBONATE OF SODA 100GX20"/>
    <m/>
    <x v="0"/>
    <m/>
    <s v=""/>
    <m/>
    <n v="0"/>
    <n v="0"/>
  </r>
  <r>
    <n v="1615"/>
    <s v="T123"/>
    <s v="TRS KEWDA WATER 190MLX12"/>
    <m/>
    <x v="0"/>
    <m/>
    <s v=""/>
    <m/>
    <n v="0"/>
    <n v="0"/>
  </r>
  <r>
    <n v="1616"/>
    <s v="T124"/>
    <s v="TRS MADRAS CURRY PWD 1 KGX6"/>
    <m/>
    <x v="0"/>
    <m/>
    <s v=""/>
    <m/>
    <n v="0"/>
    <n v="0"/>
  </r>
  <r>
    <n v="1617"/>
    <s v="T125"/>
    <s v="TRS MADRAS CU-PWD HOT 100GX20"/>
    <m/>
    <x v="0"/>
    <m/>
    <s v=""/>
    <m/>
    <n v="0"/>
    <n v="0"/>
  </r>
  <r>
    <n v="1618"/>
    <s v="T126"/>
    <s v="TRS MADRAS CU-PWD HOT 400 GX10"/>
    <m/>
    <x v="0"/>
    <m/>
    <s v=""/>
    <m/>
    <n v="0"/>
    <n v="0"/>
  </r>
  <r>
    <n v="1619"/>
    <s v="T127"/>
    <s v="TRS MADRAS CU-PWD MILD 100 GX20"/>
    <m/>
    <x v="0"/>
    <m/>
    <s v=""/>
    <m/>
    <n v="0"/>
    <n v="0"/>
  </r>
  <r>
    <n v="1620"/>
    <s v="T128"/>
    <s v="TRS MADRAS CU-PWD MILD 400 GX10"/>
    <m/>
    <x v="0"/>
    <m/>
    <s v=""/>
    <m/>
    <n v="0"/>
    <n v="0"/>
  </r>
  <r>
    <n v="1621"/>
    <s v="T129"/>
    <s v="TRS MASOOR DAL 1 KG X 10"/>
    <m/>
    <x v="0"/>
    <m/>
    <s v=""/>
    <m/>
    <n v="0"/>
    <n v="0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626"/>
    <s v="T133"/>
    <s v="TRS MASOOR WHOLE1KGX10"/>
    <m/>
    <x v="0"/>
    <m/>
    <s v=""/>
    <m/>
    <n v="0"/>
    <n v="0"/>
  </r>
  <r>
    <n v="1627"/>
    <s v="T134"/>
    <s v="TRS METHI LEAVES 100GX12"/>
    <m/>
    <x v="0"/>
    <m/>
    <s v=""/>
    <m/>
    <n v="0"/>
    <n v="0"/>
  </r>
  <r>
    <n v="1628"/>
    <s v="T135"/>
    <s v="TRS METHI LEAVES 50GX12"/>
    <m/>
    <x v="0"/>
    <m/>
    <s v=""/>
    <m/>
    <n v="0"/>
    <n v="0"/>
  </r>
  <r>
    <n v="1629"/>
    <s v="T136"/>
    <s v="TRS METHI SEEDS 100GX20"/>
    <m/>
    <x v="0"/>
    <m/>
    <s v=""/>
    <m/>
    <n v="0"/>
    <n v="0"/>
  </r>
  <r>
    <n v="1630"/>
    <s v="T137"/>
    <s v="TRS MILK POWDER 1KGX6"/>
    <m/>
    <x v="0"/>
    <m/>
    <s v=""/>
    <m/>
    <n v="13"/>
    <n v="10"/>
  </r>
  <r>
    <n v="1631"/>
    <s v="T138"/>
    <s v="TRS MINT SAUCE 2,27 LT X2"/>
    <m/>
    <x v="0"/>
    <m/>
    <s v=""/>
    <m/>
    <n v="0"/>
    <n v="0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37"/>
    <s v="T143"/>
    <s v="TRS MOONG DAL 500 G X 20"/>
    <m/>
    <x v="0"/>
    <m/>
    <s v=""/>
    <m/>
    <n v="0"/>
    <n v="0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40"/>
    <s v="T146"/>
    <s v="TRS MOONG WHOLE 1KGX10"/>
    <m/>
    <x v="0"/>
    <m/>
    <s v=""/>
    <m/>
    <n v="0"/>
    <n v="0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44"/>
    <s v="T15"/>
    <s v="TRS BLACK EYE BEANS1KGX10"/>
    <m/>
    <x v="0"/>
    <m/>
    <s v=""/>
    <m/>
    <n v="0"/>
    <n v="0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647"/>
    <s v="T152"/>
    <s v="TRS MUSTARD SEEDS 100GX20"/>
    <m/>
    <x v="0"/>
    <m/>
    <s v=""/>
    <m/>
    <n v="0"/>
    <n v="0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650"/>
    <s v="T155"/>
    <s v="TRS OKRA TIN PACK400GX12"/>
    <m/>
    <x v="0"/>
    <m/>
    <s v=""/>
    <m/>
    <n v="0"/>
    <n v="0"/>
  </r>
  <r>
    <n v="1651"/>
    <s v="T156"/>
    <s v="TRS PAN MASALA 100GX20"/>
    <m/>
    <x v="0"/>
    <m/>
    <s v=""/>
    <m/>
    <n v="0"/>
    <n v="0"/>
  </r>
  <r>
    <n v="1652"/>
    <s v="T157"/>
    <s v="TRS PANCH PUREN 100GX20"/>
    <m/>
    <x v="0"/>
    <m/>
    <s v=""/>
    <m/>
    <n v="0"/>
    <n v="0"/>
  </r>
  <r>
    <n v="1653"/>
    <s v="T158"/>
    <s v="TRS PAPRIKA PWD 100GX20"/>
    <m/>
    <x v="0"/>
    <m/>
    <s v=""/>
    <m/>
    <n v="0"/>
    <n v="0"/>
  </r>
  <r>
    <n v="1654"/>
    <s v="T159"/>
    <s v="TRS PAPRIKA PWD 400GX10"/>
    <m/>
    <x v="0"/>
    <m/>
    <s v=""/>
    <m/>
    <n v="0"/>
    <n v="0"/>
  </r>
  <r>
    <n v="1655"/>
    <s v="T16"/>
    <s v="TRS BLACK PEPPER COARSE 100GX20"/>
    <m/>
    <x v="0"/>
    <m/>
    <s v=""/>
    <m/>
    <n v="0"/>
    <n v="0"/>
  </r>
  <r>
    <n v="1656"/>
    <s v="T160"/>
    <s v="TRS PHOOL MAKHANA 50GX20"/>
    <m/>
    <x v="0"/>
    <m/>
    <s v=""/>
    <m/>
    <n v="0"/>
    <n v="0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1660"/>
    <s v="T164"/>
    <s v="TRS POPPY SEEDS 100GX20"/>
    <m/>
    <x v="0"/>
    <m/>
    <s v=""/>
    <m/>
    <n v="0"/>
    <n v="0"/>
  </r>
  <r>
    <n v="1661"/>
    <s v="T165"/>
    <s v="TRS PUFFED RICE200GX20"/>
    <m/>
    <x v="0"/>
    <m/>
    <s v=""/>
    <m/>
    <n v="0"/>
    <n v="0"/>
  </r>
  <r>
    <n v="1662"/>
    <s v="T166"/>
    <s v="TRS PUNJABI WARIAN 400GX12"/>
    <m/>
    <x v="0"/>
    <m/>
    <s v=""/>
    <m/>
    <n v="0"/>
    <n v="0"/>
  </r>
  <r>
    <n v="1663"/>
    <s v="T167"/>
    <s v="TRS RED KIDNEY 1KGX10"/>
    <m/>
    <x v="0"/>
    <m/>
    <s v=""/>
    <m/>
    <n v="0"/>
    <n v="0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66"/>
    <s v="T17"/>
    <s v="TRS BLACK PEPPER PWD 100GX20"/>
    <m/>
    <x v="0"/>
    <m/>
    <s v=""/>
    <m/>
    <n v="-1"/>
    <n v="-14.399999999999999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69"/>
    <s v="T172"/>
    <s v="TRS RICE FLOUR 500GX10"/>
    <m/>
    <x v="0"/>
    <m/>
    <s v=""/>
    <m/>
    <n v="0"/>
    <n v="0"/>
  </r>
  <r>
    <n v="1670"/>
    <s v="T173"/>
    <s v="TRS RICE GROUND 1.5KGX6"/>
    <m/>
    <x v="0"/>
    <m/>
    <s v=""/>
    <m/>
    <n v="0"/>
    <n v="0"/>
  </r>
  <r>
    <n v="1671"/>
    <s v="T174"/>
    <s v="TRS ROASTED CHANA 300GX20"/>
    <m/>
    <x v="0"/>
    <m/>
    <s v=""/>
    <m/>
    <n v="0"/>
    <n v="0"/>
  </r>
  <r>
    <n v="1672"/>
    <s v="T175"/>
    <s v="TRS ROSE WATER 190MLX12"/>
    <m/>
    <x v="0"/>
    <m/>
    <s v=""/>
    <m/>
    <n v="0"/>
    <n v="0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675"/>
    <s v="T178"/>
    <s v="TRS SARSON KA SAAG 450GX12"/>
    <m/>
    <x v="0"/>
    <m/>
    <s v=""/>
    <m/>
    <n v="-10"/>
    <n v="-63.6"/>
  </r>
  <r>
    <n v="1676"/>
    <s v="T179"/>
    <s v="TRS SARSON KA SAAG 850GX6"/>
    <m/>
    <x v="0"/>
    <m/>
    <s v=""/>
    <m/>
    <n v="0"/>
    <n v="0"/>
  </r>
  <r>
    <n v="1677"/>
    <s v="T18"/>
    <s v="TRS BLACK PEPPER PWD 400GX10"/>
    <m/>
    <x v="0"/>
    <m/>
    <s v=""/>
    <m/>
    <n v="0"/>
    <n v="0"/>
  </r>
  <r>
    <n v="1678"/>
    <s v="T180"/>
    <s v="TRS SEASAME SEEDS WHITE 300GX10"/>
    <m/>
    <x v="0"/>
    <m/>
    <s v=""/>
    <m/>
    <n v="0"/>
    <n v="0"/>
  </r>
  <r>
    <n v="1679"/>
    <s v="T181"/>
    <s v="TRS SEASAME SEEDS WHITE100GX20"/>
    <m/>
    <x v="0"/>
    <m/>
    <s v=""/>
    <m/>
    <n v="0"/>
    <n v="0"/>
  </r>
  <r>
    <n v="1680"/>
    <s v="T182"/>
    <s v="TRS SEMOLINA COARSE 1.5KGX6"/>
    <m/>
    <x v="0"/>
    <m/>
    <s v=""/>
    <m/>
    <n v="0"/>
    <n v="0"/>
  </r>
  <r>
    <n v="1681"/>
    <s v="T183"/>
    <s v="TRS SEMOLINA  500GX10  "/>
    <m/>
    <x v="0"/>
    <m/>
    <s v=""/>
    <m/>
    <n v="0"/>
    <n v="0"/>
  </r>
  <r>
    <n v="1682"/>
    <s v="T184"/>
    <s v="TRS SEMOLINA FINE1,5KGX6"/>
    <m/>
    <x v="0"/>
    <m/>
    <s v=""/>
    <m/>
    <n v="0"/>
    <n v="0"/>
  </r>
  <r>
    <n v="1683"/>
    <s v="T185"/>
    <s v="TRS SEASAME SEED BLACK 100GX20"/>
    <m/>
    <x v="0"/>
    <m/>
    <s v=""/>
    <m/>
    <n v="0"/>
    <n v="0"/>
  </r>
  <r>
    <n v="1684"/>
    <s v="T186"/>
    <s v="TRS SINGODA PWD 1KGX10"/>
    <m/>
    <x v="0"/>
    <m/>
    <s v=""/>
    <m/>
    <n v="0"/>
    <n v="0"/>
  </r>
  <r>
    <n v="1685"/>
    <s v="T187"/>
    <s v="TRS SONGI(RAISINS GREEN)  100GX20"/>
    <m/>
    <x v="0"/>
    <m/>
    <s v=""/>
    <m/>
    <n v="0"/>
    <n v="0"/>
  </r>
  <r>
    <n v="1686"/>
    <s v="T188"/>
    <s v="TRS SONGI(RAISINS GREEN) 250GX15"/>
    <m/>
    <x v="0"/>
    <m/>
    <s v=""/>
    <m/>
    <n v="0"/>
    <n v="0"/>
  </r>
  <r>
    <n v="1687"/>
    <s v="T189"/>
    <s v="TRS SOONF(FEENEL SEEDS) 100GX20"/>
    <m/>
    <x v="0"/>
    <m/>
    <s v=""/>
    <m/>
    <n v="0"/>
    <n v="0"/>
  </r>
  <r>
    <n v="1688"/>
    <s v="T19"/>
    <s v="TRS BLACK PEPPER WHOLE 100GX20"/>
    <m/>
    <x v="0"/>
    <m/>
    <s v=""/>
    <m/>
    <n v="0"/>
    <n v="0"/>
  </r>
  <r>
    <n v="1689"/>
    <s v="T190"/>
    <s v="TRS SOONF(FEENEL SEEDS) 1KGX6"/>
    <m/>
    <x v="0"/>
    <m/>
    <s v=""/>
    <m/>
    <n v="0"/>
    <n v="0"/>
  </r>
  <r>
    <n v="1690"/>
    <s v="T191"/>
    <s v="TRS SOONF(FEENL SEEDS) 400GX10"/>
    <m/>
    <x v="0"/>
    <m/>
    <s v=""/>
    <m/>
    <n v="0"/>
    <n v="0"/>
  </r>
  <r>
    <n v="1691"/>
    <s v="T192"/>
    <s v="TRS SOYA CHUNKS 250GX10"/>
    <m/>
    <x v="0"/>
    <m/>
    <s v=""/>
    <m/>
    <n v="0"/>
    <n v="0"/>
  </r>
  <r>
    <n v="1692"/>
    <s v="T193"/>
    <s v="TRS SOYA CHUNKS 500GX6"/>
    <m/>
    <x v="0"/>
    <m/>
    <s v=""/>
    <m/>
    <n v="-1"/>
    <n v="-10.74"/>
  </r>
  <r>
    <n v="1693"/>
    <s v="T194"/>
    <s v="TRS SOYA CHUNKS 750GX6"/>
    <m/>
    <x v="0"/>
    <m/>
    <s v=""/>
    <m/>
    <n v="0"/>
    <n v="0"/>
  </r>
  <r>
    <n v="1694"/>
    <s v="T195"/>
    <s v="TRS SOYA MINCE 250GX10"/>
    <m/>
    <x v="0"/>
    <m/>
    <s v=""/>
    <m/>
    <n v="0"/>
    <n v="0"/>
  </r>
  <r>
    <n v="1695"/>
    <s v="T196"/>
    <s v="TRS SPINACH PUREE 400GX12"/>
    <m/>
    <x v="0"/>
    <m/>
    <s v=""/>
    <m/>
    <n v="0"/>
    <n v="0"/>
  </r>
  <r>
    <n v="1696"/>
    <s v="T197"/>
    <s v="TRS SPINACH PUREE 795GX12"/>
    <m/>
    <x v="0"/>
    <m/>
    <s v=""/>
    <m/>
    <n v="0"/>
    <n v="0"/>
  </r>
  <r>
    <n v="1697"/>
    <s v="T198"/>
    <s v="TRS SPLIT YELLOW PEAS 500GX20"/>
    <m/>
    <x v="0"/>
    <m/>
    <s v=""/>
    <m/>
    <n v="0"/>
    <n v="0"/>
  </r>
  <r>
    <n v="1698"/>
    <s v="T199"/>
    <s v="TRS SUGAR CANDY 100GX20"/>
    <m/>
    <x v="0"/>
    <m/>
    <s v=""/>
    <m/>
    <n v="0"/>
    <n v="0"/>
  </r>
  <r>
    <n v="1699"/>
    <s v="T2"/>
    <s v="TRS AJWAIN 300GX10"/>
    <m/>
    <x v="0"/>
    <m/>
    <s v=""/>
    <m/>
    <n v="0"/>
    <n v="0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706"/>
    <s v="T205"/>
    <s v="TRS TANDOORI MAS PWD 100GX20"/>
    <m/>
    <x v="0"/>
    <m/>
    <s v=""/>
    <m/>
    <n v="0"/>
    <n v="0"/>
  </r>
  <r>
    <n v="1707"/>
    <s v="T206"/>
    <s v="TRS TANDOORI MAS PWD 1KGX6"/>
    <m/>
    <x v="0"/>
    <m/>
    <s v=""/>
    <m/>
    <n v="0"/>
    <n v="0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712"/>
    <s v="T210"/>
    <s v="TRS TUKMELANGA 100 G X 20"/>
    <m/>
    <x v="0"/>
    <m/>
    <s v=""/>
    <m/>
    <n v="0"/>
    <n v="0"/>
  </r>
  <r>
    <n v="1713"/>
    <s v="T211"/>
    <s v="TRS URID DAL CHILKA 2 KG X 6"/>
    <m/>
    <x v="0"/>
    <m/>
    <s v=""/>
    <m/>
    <n v="0"/>
    <n v="0"/>
  </r>
  <r>
    <n v="1714"/>
    <s v="T212"/>
    <s v="TRS URID DAL CHILKA 500 G X 20"/>
    <m/>
    <x v="0"/>
    <m/>
    <s v=""/>
    <m/>
    <n v="0"/>
    <n v="0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17"/>
    <s v="T215"/>
    <s v="TRS URID DAL 1 KG X 10"/>
    <m/>
    <x v="0"/>
    <m/>
    <s v=""/>
    <m/>
    <n v="0"/>
    <n v="0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20"/>
    <s v="T218"/>
    <s v="TRS URID WHOLE 500 G X 20"/>
    <m/>
    <x v="0"/>
    <m/>
    <s v=""/>
    <m/>
    <n v="0"/>
    <n v="0"/>
  </r>
  <r>
    <n v="1721"/>
    <s v="T219"/>
    <s v="TRS URID WHOLE 1 KG X 10"/>
    <m/>
    <x v="0"/>
    <m/>
    <s v=""/>
    <m/>
    <n v="0"/>
    <n v="0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24"/>
    <s v="T221"/>
    <s v="TRS CHILLI PWD 5KGX3"/>
    <m/>
    <x v="0"/>
    <m/>
    <s v=""/>
    <m/>
    <n v="0"/>
    <n v="0"/>
  </r>
  <r>
    <n v="1725"/>
    <s v="T222"/>
    <s v="TRS VINEGAR WHITE 284 ML X 12"/>
    <m/>
    <x v="0"/>
    <m/>
    <s v=""/>
    <m/>
    <n v="0"/>
    <n v="0"/>
  </r>
  <r>
    <n v="1726"/>
    <s v="T223"/>
    <s v="TRS HALDI 5KG X3"/>
    <m/>
    <x v="0"/>
    <m/>
    <s v=""/>
    <m/>
    <n v="0"/>
    <n v="0"/>
  </r>
  <r>
    <n v="1727"/>
    <s v="T224"/>
    <s v="TRS WHITE PEPPER PWD 100 G X 20"/>
    <m/>
    <x v="0"/>
    <m/>
    <s v=""/>
    <m/>
    <n v="0"/>
    <n v="0"/>
  </r>
  <r>
    <n v="1728"/>
    <s v="T225"/>
    <s v="TRS MASOOR WHOLE 2KGX6"/>
    <m/>
    <x v="0"/>
    <m/>
    <s v=""/>
    <m/>
    <n v="0"/>
    <n v="0"/>
  </r>
  <r>
    <n v="1729"/>
    <s v="T226"/>
    <s v="TRS MOONG DAL CHILKA 1KGX10"/>
    <m/>
    <x v="0"/>
    <m/>
    <s v=""/>
    <m/>
    <n v="0"/>
    <n v="0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732"/>
    <s v="T229"/>
    <s v="TRS FLAKE RICE 1KGX6"/>
    <m/>
    <x v="0"/>
    <m/>
    <s v=""/>
    <m/>
    <n v="0"/>
    <n v="0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735"/>
    <s v="T231"/>
    <s v="TRS STAR ANIESEEDS 50GX15"/>
    <m/>
    <x v="0"/>
    <m/>
    <s v=""/>
    <m/>
    <n v="0"/>
    <n v="0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742"/>
    <s v="T24"/>
    <s v="TRS BOILED KALA CHANA 400GX12"/>
    <m/>
    <x v="0"/>
    <m/>
    <s v=""/>
    <m/>
    <n v="0"/>
    <n v="0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749"/>
    <s v="T27"/>
    <s v="TRS CARDAMOM BLACK 50GX20"/>
    <m/>
    <x v="0"/>
    <m/>
    <s v=""/>
    <m/>
    <n v="0"/>
    <n v="0"/>
  </r>
  <r>
    <n v="1750"/>
    <s v="T28"/>
    <s v="TRS CARDAMOM GREEN 200GX10"/>
    <m/>
    <x v="0"/>
    <m/>
    <s v=""/>
    <m/>
    <n v="0"/>
    <n v="0"/>
  </r>
  <r>
    <n v="1751"/>
    <s v="T29"/>
    <s v="TRS CARDAMOM GREEN 50GX20"/>
    <m/>
    <x v="0"/>
    <m/>
    <s v=""/>
    <m/>
    <n v="0"/>
    <n v="0"/>
  </r>
  <r>
    <n v="1752"/>
    <s v="T3"/>
    <s v="TRS SEMOLINA COARSE 500 X10"/>
    <m/>
    <x v="0"/>
    <m/>
    <s v=""/>
    <m/>
    <n v="0"/>
    <n v="0"/>
  </r>
  <r>
    <n v="1753"/>
    <s v="T30"/>
    <s v="TRS CARDAMOM GREEN 750X6"/>
    <m/>
    <x v="0"/>
    <m/>
    <s v=""/>
    <m/>
    <n v="0"/>
    <n v="0"/>
  </r>
  <r>
    <n v="1754"/>
    <s v="T305"/>
    <s v="TRS CORNMAEL CORSE 1.5KG X 6"/>
    <m/>
    <x v="0"/>
    <m/>
    <s v=""/>
    <m/>
    <n v="0"/>
    <n v="0"/>
  </r>
  <r>
    <n v="1755"/>
    <s v="T31"/>
    <s v="TRS CHANA DAL 2KGX6"/>
    <m/>
    <x v="0"/>
    <m/>
    <s v=""/>
    <m/>
    <n v="0"/>
    <n v="0"/>
  </r>
  <r>
    <n v="1756"/>
    <s v="T32"/>
    <s v="TRS CHANA DAL 500GX20"/>
    <m/>
    <x v="0"/>
    <m/>
    <s v=""/>
    <m/>
    <n v="0"/>
    <n v="0"/>
  </r>
  <r>
    <n v="1757"/>
    <s v="T33"/>
    <s v="TRS CHANA DAL 1 KG X 10"/>
    <m/>
    <x v="0"/>
    <m/>
    <s v=""/>
    <m/>
    <n v="0"/>
    <n v="0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760"/>
    <s v="T36"/>
    <s v="TRS CHICK PEAS 1KGX10"/>
    <m/>
    <x v="0"/>
    <m/>
    <s v=""/>
    <m/>
    <n v="0"/>
    <n v="0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763"/>
    <s v="T39"/>
    <s v="TRS CHILLI CRUSHED 750 G X 6"/>
    <m/>
    <x v="0"/>
    <m/>
    <s v=""/>
    <m/>
    <n v="0"/>
    <n v="0"/>
  </r>
  <r>
    <n v="1764"/>
    <s v="T4"/>
    <s v="TRS CLOVES 800G X6"/>
    <m/>
    <x v="0"/>
    <m/>
    <s v=""/>
    <m/>
    <n v="0"/>
    <n v="0"/>
  </r>
  <r>
    <n v="1765"/>
    <s v="T40"/>
    <s v="TRS CHILLI CRUSHED 100GX15"/>
    <m/>
    <x v="0"/>
    <m/>
    <s v=""/>
    <m/>
    <n v="0"/>
    <n v="0"/>
  </r>
  <r>
    <n v="1766"/>
    <s v="T41"/>
    <s v="TRS CHILLI CRUSHED 250GX10"/>
    <m/>
    <x v="0"/>
    <m/>
    <s v=""/>
    <m/>
    <n v="0"/>
    <n v="0"/>
  </r>
  <r>
    <n v="1767"/>
    <s v="T42"/>
    <s v="TRS CHILLI PWD 100GX20"/>
    <m/>
    <x v="0"/>
    <m/>
    <s v=""/>
    <m/>
    <n v="0"/>
    <n v="0"/>
  </r>
  <r>
    <n v="1768"/>
    <s v="T43"/>
    <s v="TRS CHILLI PWD 1KGX6"/>
    <m/>
    <x v="0"/>
    <m/>
    <s v=""/>
    <m/>
    <n v="0"/>
    <n v="0"/>
  </r>
  <r>
    <n v="1769"/>
    <s v="T44"/>
    <s v="TRS CHILLI PWD 400GX10"/>
    <m/>
    <x v="0"/>
    <m/>
    <s v=""/>
    <m/>
    <n v="0"/>
    <n v="0"/>
  </r>
  <r>
    <n v="1770"/>
    <s v="T45"/>
    <s v="TRS CHILLI PWD EXTRA HOT 400 G X 10"/>
    <m/>
    <x v="0"/>
    <m/>
    <s v=""/>
    <m/>
    <n v="0"/>
    <n v="0"/>
  </r>
  <r>
    <n v="1771"/>
    <s v="T46"/>
    <s v="TRS CHILLI PWD EXTRA HOT 1KGX 6"/>
    <m/>
    <x v="0"/>
    <m/>
    <s v=""/>
    <m/>
    <n v="0"/>
    <n v="0"/>
  </r>
  <r>
    <n v="1772"/>
    <s v="T47"/>
    <s v="TRS CHILLI WHOLE 50 G X2 0"/>
    <m/>
    <x v="0"/>
    <m/>
    <s v=""/>
    <m/>
    <n v="0"/>
    <n v="0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775"/>
    <s v="T49."/>
    <s v="TRS CHILLI PWD EXTRA HOT 100 G X 20"/>
    <m/>
    <x v="0"/>
    <m/>
    <s v=""/>
    <m/>
    <n v="0"/>
    <n v="0"/>
  </r>
  <r>
    <n v="1776"/>
    <s v="T5"/>
    <s v="TRS ALUBUKHARA200GX10"/>
    <m/>
    <x v="0"/>
    <m/>
    <s v=""/>
    <m/>
    <n v="0"/>
    <n v="0"/>
  </r>
  <r>
    <n v="1777"/>
    <s v="T50"/>
    <s v="TRS CLOVES 250GX10"/>
    <m/>
    <x v="0"/>
    <m/>
    <s v=""/>
    <m/>
    <n v="0"/>
    <n v="0"/>
  </r>
  <r>
    <n v="1778"/>
    <s v="T51"/>
    <s v="TRS CLOVES 50GX20"/>
    <m/>
    <x v="0"/>
    <m/>
    <s v=""/>
    <m/>
    <n v="-1"/>
    <n v="-17"/>
  </r>
  <r>
    <n v="1779"/>
    <s v="T52"/>
    <s v="TRS DESICATED COCONUT (MEDIUM) 300GX10"/>
    <m/>
    <x v="0"/>
    <m/>
    <s v=""/>
    <m/>
    <n v="0"/>
    <n v="0"/>
  </r>
  <r>
    <n v="1780"/>
    <s v="T53"/>
    <s v="TRS CORNMEAL FINE 1.5KGX6"/>
    <m/>
    <x v="0"/>
    <m/>
    <s v=""/>
    <m/>
    <n v="0"/>
    <n v="0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1783"/>
    <s v="T56"/>
    <s v="TRS DALCHINI 1.5KGX10"/>
    <m/>
    <x v="0"/>
    <m/>
    <s v=""/>
    <m/>
    <n v="0"/>
    <n v="0"/>
  </r>
  <r>
    <n v="1784"/>
    <s v="T57"/>
    <s v="TRS DALCHINI 200GX10"/>
    <m/>
    <x v="0"/>
    <m/>
    <s v=""/>
    <m/>
    <n v="0"/>
    <n v="0"/>
  </r>
  <r>
    <n v="1785"/>
    <s v="T58"/>
    <s v="TRS CHAPATI FLOUR MEDIUM  1.5KGX6"/>
    <m/>
    <x v="0"/>
    <m/>
    <s v=""/>
    <m/>
    <n v="0"/>
    <n v="0"/>
  </r>
  <r>
    <n v="1786"/>
    <s v="T59"/>
    <s v="TRS GINGER PWD 1KGX6"/>
    <m/>
    <x v="0"/>
    <m/>
    <s v=""/>
    <m/>
    <n v="0"/>
    <n v="0"/>
  </r>
  <r>
    <n v="1787"/>
    <s v="T6"/>
    <s v="TRS AMCHUR PWD 100GX20"/>
    <m/>
    <x v="0"/>
    <m/>
    <s v=""/>
    <m/>
    <n v="0"/>
    <n v="0"/>
  </r>
  <r>
    <n v="1788"/>
    <s v="T60"/>
    <s v="TRS DALCHINI 400GX6"/>
    <m/>
    <x v="0"/>
    <m/>
    <s v=""/>
    <m/>
    <n v="0"/>
    <n v="0"/>
  </r>
  <r>
    <n v="1789"/>
    <s v="T61"/>
    <s v="TRS ROASTED DARIA 1KGX6"/>
    <m/>
    <x v="0"/>
    <m/>
    <s v=""/>
    <m/>
    <n v="0"/>
    <n v="0"/>
  </r>
  <r>
    <n v="1790"/>
    <s v="T62"/>
    <s v="TRS DALCHINI 50GX15"/>
    <m/>
    <x v="0"/>
    <m/>
    <s v=""/>
    <m/>
    <n v="0"/>
    <n v="0"/>
  </r>
  <r>
    <n v="1791"/>
    <s v="T63"/>
    <s v="TRS DHANIA PWD 100GX20"/>
    <m/>
    <x v="0"/>
    <m/>
    <s v=""/>
    <m/>
    <n v="0"/>
    <n v="0"/>
  </r>
  <r>
    <n v="1792"/>
    <s v="T64"/>
    <s v="TRS DHANIA PWD 1KGX6"/>
    <m/>
    <x v="0"/>
    <m/>
    <s v=""/>
    <m/>
    <n v="0"/>
    <n v="0"/>
  </r>
  <r>
    <n v="1793"/>
    <s v="T65"/>
    <s v="TRS DHANIA PWD 400GX10"/>
    <m/>
    <x v="0"/>
    <m/>
    <s v=""/>
    <m/>
    <n v="0"/>
    <n v="0"/>
  </r>
  <r>
    <n v="1794"/>
    <s v="T66"/>
    <s v="TRS DHANIA WHOLE 100GX15"/>
    <m/>
    <x v="0"/>
    <m/>
    <s v=""/>
    <m/>
    <n v="0"/>
    <n v="0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99"/>
    <s v="T70"/>
    <s v="TRS DRIED COCONUT 250GX10"/>
    <m/>
    <x v="0"/>
    <m/>
    <s v=""/>
    <m/>
    <n v="0"/>
    <n v="0"/>
  </r>
  <r>
    <n v="1800"/>
    <s v="T71"/>
    <s v="TRS DRIED DATES350GX10"/>
    <m/>
    <x v="0"/>
    <m/>
    <s v=""/>
    <m/>
    <n v="-1"/>
    <n v="-11.899999999999999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1805"/>
    <s v="T76"/>
    <s v="TRS FLAKE RICE300GX20"/>
    <m/>
    <x v="0"/>
    <m/>
    <s v=""/>
    <m/>
    <n v="12"/>
    <n v="10"/>
  </r>
  <r>
    <n v="1806"/>
    <s v="T77"/>
    <s v="TRS GARAM MAS WHOLE 500GX6"/>
    <m/>
    <x v="0"/>
    <m/>
    <s v=""/>
    <m/>
    <n v="0"/>
    <n v="0"/>
  </r>
  <r>
    <n v="1807"/>
    <s v="T78"/>
    <s v="TRS GARAM MASALA PWD 100GX20"/>
    <m/>
    <x v="0"/>
    <m/>
    <s v=""/>
    <m/>
    <n v="0"/>
    <n v="0"/>
  </r>
  <r>
    <n v="1808"/>
    <s v="T79"/>
    <s v="TRS GARAM MASALA PWD 1KGX6"/>
    <m/>
    <x v="0"/>
    <m/>
    <s v=""/>
    <m/>
    <n v="0"/>
    <n v="0"/>
  </r>
  <r>
    <n v="1809"/>
    <s v="T8"/>
    <s v="TRS ANARDANA WHOLE100GX15"/>
    <m/>
    <x v="0"/>
    <m/>
    <s v=""/>
    <m/>
    <n v="0"/>
    <n v="0"/>
  </r>
  <r>
    <n v="1810"/>
    <s v="T80"/>
    <s v="TRS GARAM MASALA PWD 400GX10"/>
    <m/>
    <x v="0"/>
    <m/>
    <s v=""/>
    <m/>
    <n v="0"/>
    <n v="0"/>
  </r>
  <r>
    <n v="1811"/>
    <s v="T81"/>
    <s v="TRS GARAM MASALA WHOLE 100GX20"/>
    <m/>
    <x v="0"/>
    <m/>
    <s v=""/>
    <m/>
    <n v="0"/>
    <n v="0"/>
  </r>
  <r>
    <n v="1812"/>
    <s v="T82"/>
    <s v="TRS GARAM MASALA WHOLE 200GX15"/>
    <m/>
    <x v="0"/>
    <m/>
    <s v=""/>
    <m/>
    <n v="0"/>
    <n v="0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15"/>
    <s v="T85"/>
    <s v="TRS GARLIC PWD 100GX20"/>
    <m/>
    <x v="0"/>
    <m/>
    <s v=""/>
    <m/>
    <n v="0"/>
    <n v="0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819"/>
    <s v="T89"/>
    <s v="TRS GINGER PWD 100GX20"/>
    <m/>
    <x v="0"/>
    <m/>
    <s v=""/>
    <m/>
    <n v="0"/>
    <n v="0"/>
  </r>
  <r>
    <n v="1820"/>
    <s v="T9"/>
    <s v="TRS BAKING PWD 100GX20"/>
    <m/>
    <x v="0"/>
    <m/>
    <s v=""/>
    <m/>
    <n v="0"/>
    <n v="0"/>
  </r>
  <r>
    <n v="1821"/>
    <s v="T90"/>
    <s v="TRS GINGER PWD 400GX10  *offerta*"/>
    <m/>
    <x v="0"/>
    <m/>
    <s v=""/>
    <m/>
    <n v="20"/>
    <n v="10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824"/>
    <s v="T93"/>
    <s v="TRS GOLDEN SONGI 250GX15"/>
    <m/>
    <x v="0"/>
    <m/>
    <s v=""/>
    <m/>
    <n v="0"/>
    <n v="0"/>
  </r>
  <r>
    <n v="1825"/>
    <s v="T94"/>
    <s v="TRS GOLDEN SONGI 100GX15"/>
    <m/>
    <x v="0"/>
    <m/>
    <s v=""/>
    <m/>
    <n v="0"/>
    <n v="0"/>
  </r>
  <r>
    <n v="1826"/>
    <s v="T95"/>
    <s v="TRS GOOR 500GX20"/>
    <m/>
    <x v="0"/>
    <m/>
    <s v=""/>
    <m/>
    <n v="0"/>
    <n v="0"/>
  </r>
  <r>
    <n v="1827"/>
    <s v="T96"/>
    <s v="TRS GRAMFLOUR 20 KG X 1"/>
    <m/>
    <x v="0"/>
    <m/>
    <s v=""/>
    <m/>
    <n v="0"/>
    <n v="0"/>
  </r>
  <r>
    <n v="1828"/>
    <s v="T97"/>
    <s v="TRS GRAM FLOUR 1 KG X 12"/>
    <m/>
    <x v="0"/>
    <m/>
    <s v=""/>
    <m/>
    <n v="0"/>
    <n v="0"/>
  </r>
  <r>
    <n v="1829"/>
    <s v="T98"/>
    <s v="TRS GRAM FLOUR 2 KG X 6"/>
    <m/>
    <x v="0"/>
    <m/>
    <s v=""/>
    <m/>
    <n v="-2"/>
    <n v="-31.08"/>
  </r>
  <r>
    <n v="1830"/>
    <s v="T99"/>
    <s v="TRS SWEET MANGO CHUTNEY 5KGX4"/>
    <m/>
    <x v="0"/>
    <m/>
    <s v=""/>
    <m/>
    <n v="0"/>
    <n v="0"/>
  </r>
  <r>
    <n v="1831"/>
    <s v="TCL001"/>
    <s v="TRS CURRY LEAVES 30GX10"/>
    <m/>
    <x v="0"/>
    <m/>
    <s v=""/>
    <m/>
    <n v="0"/>
    <n v="0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838"/>
    <s v="TP2"/>
    <s v="TAPAL TEA 450GX15"/>
    <m/>
    <x v="0"/>
    <m/>
    <s v=""/>
    <m/>
    <n v="0"/>
    <n v="0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0"/>
    <n v="0"/>
  </r>
  <r>
    <n v="1843"/>
    <s v="TRSG001"/>
    <s v="TRS RICE FLOUR 1.5KG X 6"/>
    <m/>
    <x v="0"/>
    <m/>
    <s v=""/>
    <m/>
    <n v="0"/>
    <n v="0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846"/>
    <s v="TRSS001"/>
    <s v="TRS SEMOLINA  500GX10  (fine)"/>
    <m/>
    <x v="0"/>
    <m/>
    <s v=""/>
    <m/>
    <n v="0"/>
    <n v="0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0"/>
    <n v="0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919"/>
    <s v="W0001"/>
    <s v="WSA REWDI 200GX15"/>
    <m/>
    <x v="0"/>
    <m/>
    <s v=""/>
    <m/>
    <n v="0"/>
    <n v="0"/>
  </r>
  <r>
    <n v="1920"/>
    <s v="W1"/>
    <s v="WSA AJWAIN 100GX20  "/>
    <m/>
    <x v="0"/>
    <m/>
    <s v=""/>
    <m/>
    <n v="0"/>
    <n v="0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924"/>
    <s v="W102"/>
    <s v="WSA KALONJI SEEDS 100GX20  "/>
    <m/>
    <x v="0"/>
    <m/>
    <s v=""/>
    <m/>
    <n v="0"/>
    <n v="0"/>
  </r>
  <r>
    <n v="1925"/>
    <s v="W103"/>
    <s v="WSA KAMARKHAS100GX20"/>
    <m/>
    <x v="0"/>
    <m/>
    <s v=""/>
    <m/>
    <n v="0"/>
    <n v="0"/>
  </r>
  <r>
    <n v="1926"/>
    <s v="W104"/>
    <s v="WSA KER PARBOILED RISO 20KGX1 "/>
    <m/>
    <x v="0"/>
    <m/>
    <s v=""/>
    <m/>
    <n v="0"/>
    <n v="0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-1"/>
    <n v="-24.75"/>
  </r>
  <r>
    <n v="1930"/>
    <s v="W108"/>
    <s v="WSA KERNEL BASMATI 2KGX8  "/>
    <m/>
    <x v="0"/>
    <m/>
    <s v=""/>
    <m/>
    <n v="0"/>
    <n v="0"/>
  </r>
  <r>
    <n v="1931"/>
    <s v="W109"/>
    <s v="WSA KERNEL BASMATI 5KGX4"/>
    <m/>
    <x v="0"/>
    <m/>
    <s v=""/>
    <m/>
    <n v="0"/>
    <n v="0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936"/>
    <s v="W113"/>
    <s v="WSA MASOOR DAL 2KGX8   "/>
    <m/>
    <x v="0"/>
    <m/>
    <s v=""/>
    <m/>
    <n v="-1"/>
    <n v="-14"/>
  </r>
  <r>
    <n v="1937"/>
    <s v="W114"/>
    <s v="WSA MASOOR DAL500GX15 "/>
    <m/>
    <x v="0"/>
    <m/>
    <s v=""/>
    <m/>
    <n v="0"/>
    <n v="0"/>
  </r>
  <r>
    <n v="1938"/>
    <s v="W115"/>
    <s v="WSA MASOOR DAL 1 KG X 15"/>
    <m/>
    <x v="0"/>
    <m/>
    <s v=""/>
    <m/>
    <n v="-2"/>
    <n v="-25.5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941"/>
    <s v="W118"/>
    <s v="WSA MASOOR FOOTBALL1KGX16 "/>
    <m/>
    <x v="0"/>
    <m/>
    <s v=""/>
    <m/>
    <n v="0"/>
    <n v="0"/>
  </r>
  <r>
    <n v="1942"/>
    <s v="W119"/>
    <s v="WSA MASOOR WHOLE 1KGX15"/>
    <m/>
    <x v="0"/>
    <m/>
    <s v=""/>
    <m/>
    <n v="0"/>
    <n v="0"/>
  </r>
  <r>
    <n v="1943"/>
    <s v="W12"/>
    <s v="WSA ALSI SEEDS 400GX15  "/>
    <m/>
    <x v="0"/>
    <m/>
    <s v=""/>
    <m/>
    <n v="0"/>
    <n v="0"/>
  </r>
  <r>
    <n v="1944"/>
    <s v="W120"/>
    <s v="WSA MASOOR WHOLE 2KGX8  "/>
    <m/>
    <x v="0"/>
    <m/>
    <s v=""/>
    <m/>
    <n v="0"/>
    <n v="0"/>
  </r>
  <r>
    <n v="1945"/>
    <s v="W121"/>
    <s v="WSA MASOOR WHOLE 500GX15  "/>
    <m/>
    <x v="0"/>
    <m/>
    <s v=""/>
    <m/>
    <n v="0"/>
    <n v="0"/>
  </r>
  <r>
    <n v="1946"/>
    <s v="W122"/>
    <s v="WSA METHI SEEDS 300GX15   "/>
    <m/>
    <x v="0"/>
    <m/>
    <s v=""/>
    <m/>
    <n v="0"/>
    <n v="0"/>
  </r>
  <r>
    <n v="1947"/>
    <s v="W123"/>
    <s v="WSA METHI SEEDS100GX20  "/>
    <m/>
    <x v="0"/>
    <m/>
    <s v=""/>
    <m/>
    <n v="0"/>
    <n v="0"/>
  </r>
  <r>
    <n v="1948"/>
    <s v="W124"/>
    <s v="WSA MINIKAT RISO 20KG X1"/>
    <m/>
    <x v="0"/>
    <m/>
    <s v=""/>
    <m/>
    <n v="0"/>
    <n v="0"/>
  </r>
  <r>
    <n v="1949"/>
    <s v="W125"/>
    <s v="WSA MOONG DAL 2KGX8   "/>
    <m/>
    <x v="0"/>
    <m/>
    <s v=""/>
    <m/>
    <n v="-1"/>
    <n v="-21.52"/>
  </r>
  <r>
    <n v="1950"/>
    <s v="W126"/>
    <s v="WSA MOONG DAL 500GX15  "/>
    <m/>
    <x v="0"/>
    <m/>
    <s v=""/>
    <m/>
    <n v="0"/>
    <n v="0"/>
  </r>
  <r>
    <n v="1951"/>
    <s v="W127"/>
    <s v="WSA MOONG DAL CHILKA 1KGX16  "/>
    <m/>
    <x v="0"/>
    <m/>
    <s v=""/>
    <m/>
    <n v="0"/>
    <n v="0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5"/>
    <s v="W130"/>
    <s v="WSA MOONG DAL 1 KG X 15"/>
    <m/>
    <x v="0"/>
    <m/>
    <s v=""/>
    <m/>
    <n v="0"/>
    <n v="0"/>
  </r>
  <r>
    <n v="1956"/>
    <s v="W131"/>
    <s v="WSA MOONG WHOLE 1KGX15"/>
    <m/>
    <x v="0"/>
    <m/>
    <s v=""/>
    <m/>
    <n v="0"/>
    <n v="0"/>
  </r>
  <r>
    <n v="1957"/>
    <s v="W132"/>
    <s v="WSA MOONG WHOLE 2KGX8  "/>
    <m/>
    <x v="0"/>
    <m/>
    <s v=""/>
    <m/>
    <n v="0"/>
    <n v="0"/>
  </r>
  <r>
    <n v="1958"/>
    <s v="W133"/>
    <s v="WSA MOONG WHOLE 500GX15  "/>
    <m/>
    <x v="0"/>
    <m/>
    <s v=""/>
    <m/>
    <n v="0"/>
    <n v="0"/>
  </r>
  <r>
    <n v="1959"/>
    <s v="W134"/>
    <s v="WSA MOTH 1KGX15  "/>
    <m/>
    <x v="0"/>
    <m/>
    <s v=""/>
    <m/>
    <n v="-1"/>
    <n v="-19.04"/>
  </r>
  <r>
    <n v="1960"/>
    <s v="W135"/>
    <s v="WSA MOTH 2KGX8  "/>
    <m/>
    <x v="0"/>
    <m/>
    <s v=""/>
    <m/>
    <n v="0"/>
    <n v="0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67"/>
    <s v="W141"/>
    <s v="WSA PISTA ROSTED 100GX20   "/>
    <m/>
    <x v="0"/>
    <m/>
    <s v=""/>
    <m/>
    <n v="0"/>
    <n v="0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1972"/>
    <s v="W146"/>
    <s v="WSA RED KIDNEY 1KG X 15"/>
    <m/>
    <x v="0"/>
    <m/>
    <s v=""/>
    <m/>
    <n v="0"/>
    <n v="0"/>
  </r>
  <r>
    <n v="1973"/>
    <s v="W147"/>
    <s v="WSA RED KIDNEY 2KGX8  "/>
    <m/>
    <x v="0"/>
    <m/>
    <s v=""/>
    <m/>
    <n v="0"/>
    <n v="0"/>
  </r>
  <r>
    <n v="1974"/>
    <s v="W148"/>
    <s v="WSA RED KIDNEY 500GX15  "/>
    <m/>
    <x v="0"/>
    <m/>
    <s v=""/>
    <m/>
    <n v="0"/>
    <n v="0"/>
  </r>
  <r>
    <n v="1975"/>
    <s v="W149"/>
    <s v="WSA REWDI 100GX20"/>
    <m/>
    <x v="0"/>
    <m/>
    <s v=""/>
    <m/>
    <n v="0"/>
    <n v="0"/>
  </r>
  <r>
    <n v="1976"/>
    <s v="W15"/>
    <s v="WSA AMLA DRIED100GX15"/>
    <m/>
    <x v="0"/>
    <m/>
    <s v=""/>
    <m/>
    <n v="0"/>
    <n v="0"/>
  </r>
  <r>
    <n v="1977"/>
    <s v="W150"/>
    <s v="WSA ROASTED CHANA 300GX15  "/>
    <m/>
    <x v="0"/>
    <m/>
    <s v=""/>
    <m/>
    <n v="-1"/>
    <n v="-17.849999999999998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82"/>
    <s v="W155"/>
    <s v="WSA SEMOLINA 500GX15  "/>
    <m/>
    <x v="0"/>
    <m/>
    <s v=""/>
    <m/>
    <n v="0"/>
    <n v="0"/>
  </r>
  <r>
    <n v="1983"/>
    <s v="W156"/>
    <s v="WSA SESAME SEED WHITE 100GX20   "/>
    <m/>
    <x v="0"/>
    <m/>
    <s v=""/>
    <m/>
    <n v="0"/>
    <n v="0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89"/>
    <s v="W161"/>
    <s v="WSA SONGI(RAISINS GREEN) 250GX15  "/>
    <m/>
    <x v="0"/>
    <m/>
    <s v=""/>
    <m/>
    <n v="0"/>
    <n v="0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1992"/>
    <s v="W164"/>
    <s v="WSA SOONF(FEENL SEEDS) 100GX20  "/>
    <m/>
    <x v="0"/>
    <m/>
    <s v=""/>
    <m/>
    <n v="0"/>
    <n v="0"/>
  </r>
  <r>
    <n v="1993"/>
    <s v="W165"/>
    <s v="WSA SOONF(FEENL SEEDS) 300GX15  "/>
    <m/>
    <x v="0"/>
    <m/>
    <s v=""/>
    <m/>
    <n v="0"/>
    <n v="0"/>
  </r>
  <r>
    <n v="1994"/>
    <s v="W166"/>
    <s v="WSA SOYA CHUNKS 200GX15"/>
    <m/>
    <x v="0"/>
    <m/>
    <s v=""/>
    <m/>
    <n v="0"/>
    <n v="0"/>
  </r>
  <r>
    <n v="1995"/>
    <s v="W167"/>
    <s v="WSA SOYA CHUNKS 250GX10"/>
    <m/>
    <x v="0"/>
    <m/>
    <s v=""/>
    <m/>
    <n v="0"/>
    <n v="0"/>
  </r>
  <r>
    <n v="1996"/>
    <s v="W168"/>
    <s v="WSA SOYA CHUNKS 400GX8  "/>
    <m/>
    <x v="0"/>
    <m/>
    <s v=""/>
    <m/>
    <n v="0"/>
    <n v="0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2000"/>
    <s v="W171"/>
    <s v="WSA SOYA MINCE 200GX15  "/>
    <m/>
    <x v="0"/>
    <m/>
    <s v=""/>
    <m/>
    <n v="0"/>
    <n v="0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2003"/>
    <s v="W174"/>
    <s v="WSA SUGAR CANDY 100GX20   "/>
    <m/>
    <x v="0"/>
    <m/>
    <s v=""/>
    <m/>
    <n v="0"/>
    <n v="0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0"/>
    <n v="0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2012"/>
    <s v="W182"/>
    <s v="WSA TUKHMALENGA 100GX20  "/>
    <m/>
    <x v="0"/>
    <m/>
    <s v=""/>
    <m/>
    <n v="0"/>
    <n v="0"/>
  </r>
  <r>
    <n v="2013"/>
    <s v="W183"/>
    <s v="WSA URID DAL 2KGX8  "/>
    <m/>
    <x v="0"/>
    <m/>
    <s v=""/>
    <m/>
    <n v="0"/>
    <n v="0"/>
  </r>
  <r>
    <n v="2014"/>
    <s v="W184"/>
    <s v="WSA URID DAL 500GX15  "/>
    <m/>
    <x v="0"/>
    <m/>
    <s v=""/>
    <m/>
    <n v="0"/>
    <n v="0"/>
  </r>
  <r>
    <n v="2015"/>
    <s v="W185"/>
    <s v="WSA URID DAL CHILKA 1KGX16 "/>
    <m/>
    <x v="0"/>
    <m/>
    <s v=""/>
    <m/>
    <n v="0"/>
    <n v="0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0"/>
    <n v="0"/>
  </r>
  <r>
    <n v="2019"/>
    <s v="W189"/>
    <s v="WSA URID WHOLE 1KGX15"/>
    <m/>
    <x v="0"/>
    <m/>
    <s v=""/>
    <m/>
    <n v="0"/>
    <n v="0"/>
  </r>
  <r>
    <n v="2020"/>
    <s v="W19"/>
    <s v="WSA BLACK EYE BEANS 1KGX15  "/>
    <m/>
    <x v="0"/>
    <m/>
    <s v=""/>
    <m/>
    <n v="0"/>
    <n v="0"/>
  </r>
  <r>
    <n v="2021"/>
    <s v="W190"/>
    <s v="WSA URID WHOLE 2KGX8  "/>
    <m/>
    <x v="0"/>
    <m/>
    <s v=""/>
    <m/>
    <n v="0"/>
    <n v="0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2025"/>
    <s v="W194"/>
    <s v="WSA GREEN CHANA 1KG X 16  "/>
    <m/>
    <x v="0"/>
    <m/>
    <s v=""/>
    <m/>
    <n v="0"/>
    <n v="0"/>
  </r>
  <r>
    <n v="2026"/>
    <s v="W195"/>
    <s v="WSA GREEN CHANA 2KG X 8"/>
    <m/>
    <x v="0"/>
    <m/>
    <s v=""/>
    <m/>
    <n v="0"/>
    <n v="0"/>
  </r>
  <r>
    <n v="2027"/>
    <s v="W196"/>
    <s v="WSA AMLA CANDY 400GX10"/>
    <m/>
    <x v="0"/>
    <m/>
    <s v=""/>
    <m/>
    <n v="0"/>
    <n v="0"/>
  </r>
  <r>
    <n v="2028"/>
    <s v="W2"/>
    <s v="WSA AJWAIN 300GX15  "/>
    <m/>
    <x v="0"/>
    <m/>
    <s v=""/>
    <m/>
    <n v="0"/>
    <n v="0"/>
  </r>
  <r>
    <n v="2029"/>
    <s v="W20"/>
    <s v="WSA BLACK EYE BEANS 2KGX8  "/>
    <m/>
    <x v="0"/>
    <m/>
    <s v=""/>
    <m/>
    <n v="0"/>
    <n v="0"/>
  </r>
  <r>
    <n v="2030"/>
    <s v="W21"/>
    <s v="WSA BLACK EYE BEANS 500GX15"/>
    <m/>
    <x v="0"/>
    <m/>
    <s v=""/>
    <m/>
    <n v="0"/>
    <n v="0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37"/>
    <s v="W28"/>
    <s v="WSA CARDAMOM BLACK 50GX20  "/>
    <m/>
    <x v="0"/>
    <m/>
    <s v=""/>
    <m/>
    <n v="0"/>
    <n v="0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42"/>
    <s v="W32"/>
    <s v="WSA CASHEW KERNELS 100 G X20   "/>
    <m/>
    <x v="0"/>
    <m/>
    <s v=""/>
    <m/>
    <n v="3"/>
    <n v="10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45"/>
    <s v="W35"/>
    <s v="WSA CASHEW KERNELS 300 G X 15 "/>
    <m/>
    <x v="0"/>
    <m/>
    <s v=""/>
    <m/>
    <n v="0"/>
    <n v="0"/>
  </r>
  <r>
    <n v="2046"/>
    <s v="W36"/>
    <s v="WSA CASHEW KERNELS 700 G X 10 "/>
    <m/>
    <x v="0"/>
    <m/>
    <s v=""/>
    <m/>
    <n v="0"/>
    <n v="0"/>
  </r>
  <r>
    <n v="2047"/>
    <s v="W37"/>
    <s v="WSA CHANA DAL 1 KG X 15"/>
    <m/>
    <x v="0"/>
    <m/>
    <s v=""/>
    <m/>
    <n v="-2"/>
    <n v="-30.3"/>
  </r>
  <r>
    <n v="2048"/>
    <s v="W38"/>
    <s v="WSA CHANA DAL 2 KG X 8   "/>
    <m/>
    <x v="0"/>
    <m/>
    <s v=""/>
    <m/>
    <n v="-1"/>
    <n v="-17.440000000000001"/>
  </r>
  <r>
    <n v="2049"/>
    <s v="W39"/>
    <s v="WSA CHANA DAL 500GX15 "/>
    <m/>
    <x v="0"/>
    <m/>
    <s v=""/>
    <m/>
    <n v="0"/>
    <n v="0"/>
  </r>
  <r>
    <n v="2050"/>
    <s v="W4"/>
    <s v="WSA ALMONDS 800 G X 10 "/>
    <m/>
    <x v="0"/>
    <m/>
    <s v=""/>
    <m/>
    <n v="0"/>
    <n v="0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2054"/>
    <s v="W43"/>
    <s v="WSA CHICK PEAS 1KGX15"/>
    <m/>
    <x v="0"/>
    <m/>
    <s v=""/>
    <m/>
    <n v="0"/>
    <n v="0"/>
  </r>
  <r>
    <n v="2055"/>
    <s v="W44"/>
    <s v="WSA CHICK PEAS 2KGX8  "/>
    <m/>
    <x v="0"/>
    <m/>
    <s v=""/>
    <m/>
    <n v="0"/>
    <n v="0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61"/>
    <s v="W5"/>
    <s v="WSA ALMONDS 800 G X 15 "/>
    <m/>
    <x v="0"/>
    <m/>
    <s v=""/>
    <m/>
    <n v="0"/>
    <n v="0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2072"/>
    <s v="W51"/>
    <s v="WSA CLOVES 50GX20  "/>
    <m/>
    <x v="0"/>
    <m/>
    <s v=""/>
    <m/>
    <n v="0"/>
    <n v="0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2077"/>
    <s v="W53"/>
    <s v="WSA CRACKED WHEAT 500GX15  "/>
    <m/>
    <x v="0"/>
    <m/>
    <s v=""/>
    <m/>
    <n v="0"/>
    <n v="0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2084"/>
    <s v="W6"/>
    <s v="WSA ALMONDS 100 G X 20 "/>
    <m/>
    <x v="0"/>
    <m/>
    <s v=""/>
    <m/>
    <n v="0"/>
    <n v="0"/>
  </r>
  <r>
    <n v="2085"/>
    <s v="W60"/>
    <s v="WSA DHANIA PWD 400GX10"/>
    <m/>
    <x v="0"/>
    <m/>
    <s v=""/>
    <m/>
    <n v="0"/>
    <n v="0"/>
  </r>
  <r>
    <n v="2086"/>
    <s v="W61"/>
    <s v="WSA DHANIA WHOLE 100GX15  "/>
    <m/>
    <x v="0"/>
    <m/>
    <s v=""/>
    <m/>
    <n v="0"/>
    <n v="0"/>
  </r>
  <r>
    <n v="2087"/>
    <s v="W62"/>
    <s v="WSA DHANIA WHOLE 200GX15"/>
    <m/>
    <x v="0"/>
    <m/>
    <s v=""/>
    <m/>
    <n v="0"/>
    <n v="0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2091"/>
    <s v="W66"/>
    <s v="WSA DRIED DATES 300GX15 "/>
    <m/>
    <x v="0"/>
    <m/>
    <s v=""/>
    <m/>
    <n v="0"/>
    <n v="0"/>
  </r>
  <r>
    <n v="2092"/>
    <s v="W67"/>
    <s v="WSA DRY FRUIT 375GX15"/>
    <m/>
    <x v="0"/>
    <m/>
    <s v=""/>
    <m/>
    <n v="0"/>
    <n v="0"/>
  </r>
  <r>
    <n v="2093"/>
    <s v="W68"/>
    <s v="WSA FAN CELING  X1"/>
    <m/>
    <x v="0"/>
    <m/>
    <s v=""/>
    <m/>
    <n v="42"/>
    <n v="10"/>
  </r>
  <r>
    <n v="2094"/>
    <s v="W69"/>
    <s v="WSA FAN REMOTE X1"/>
    <m/>
    <x v="0"/>
    <m/>
    <s v=""/>
    <m/>
    <n v="0"/>
    <n v="0"/>
  </r>
  <r>
    <n v="2095"/>
    <s v="W7"/>
    <s v="WSA ALMONDS 1 KGX10  "/>
    <m/>
    <x v="0"/>
    <m/>
    <s v=""/>
    <m/>
    <n v="0"/>
    <n v="0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2099"/>
    <s v="W73"/>
    <s v="WSA FAN STAND 20&quot;INCHX1"/>
    <m/>
    <x v="0"/>
    <m/>
    <s v=""/>
    <m/>
    <n v="1"/>
    <n v="10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2103"/>
    <s v="W77"/>
    <s v="WSA FLAKE RICE 300GX10  "/>
    <m/>
    <x v="0"/>
    <m/>
    <s v=""/>
    <m/>
    <n v="0"/>
    <n v="0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2108"/>
    <s v="W81"/>
    <s v="WSA GARAM MAS WHOLE 200GX20"/>
    <m/>
    <x v="0"/>
    <m/>
    <s v=""/>
    <m/>
    <n v="0"/>
    <n v="0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2113"/>
    <s v="W86"/>
    <s v="WSA HALDI(CURCUMA) PWD 100GX20"/>
    <m/>
    <x v="0"/>
    <m/>
    <s v=""/>
    <m/>
    <n v="0"/>
    <n v="0"/>
  </r>
  <r>
    <n v="2114"/>
    <s v="W87"/>
    <s v="WSA HALDI(CURCUMA) PWD 1KGX6"/>
    <m/>
    <x v="0"/>
    <m/>
    <s v=""/>
    <m/>
    <n v="-1"/>
    <n v="-13.74"/>
  </r>
  <r>
    <n v="2115"/>
    <s v="W88"/>
    <s v="WSA HALDI(CURCUMA) PWD 400GX10"/>
    <m/>
    <x v="0"/>
    <m/>
    <s v=""/>
    <m/>
    <n v="-1"/>
    <n v="-9.9"/>
  </r>
  <r>
    <n v="2116"/>
    <s v="W89"/>
    <s v="WSA HALDI(CURCUMA) WHOLE 200GX20"/>
    <m/>
    <x v="0"/>
    <m/>
    <s v=""/>
    <m/>
    <n v="0"/>
    <n v="0"/>
  </r>
  <r>
    <n v="2117"/>
    <s v="W9"/>
    <s v="WSA ALMONDS 375 G X 15   "/>
    <m/>
    <x v="0"/>
    <m/>
    <s v=""/>
    <m/>
    <n v="0"/>
    <n v="0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2121"/>
    <s v="W93"/>
    <s v="WSA JEERA WHOLE 100GX20  "/>
    <m/>
    <x v="0"/>
    <m/>
    <s v=""/>
    <m/>
    <n v="-1"/>
    <n v="-9.8000000000000007"/>
  </r>
  <r>
    <n v="2122"/>
    <s v="W94"/>
    <s v="WSA JEERA WHOLE 1KG X 6"/>
    <m/>
    <x v="0"/>
    <m/>
    <s v=""/>
    <m/>
    <n v="0"/>
    <n v="0"/>
  </r>
  <r>
    <n v="2123"/>
    <s v="W95"/>
    <s v="WSA JEERA WHOLE 1KGX8"/>
    <m/>
    <x v="0"/>
    <m/>
    <s v=""/>
    <m/>
    <n v="0"/>
    <n v="0"/>
  </r>
  <r>
    <n v="2124"/>
    <s v="W96"/>
    <s v="WSA JEERA WHOLE 400GX10  "/>
    <m/>
    <x v="0"/>
    <m/>
    <s v=""/>
    <m/>
    <n v="-1"/>
    <n v="-17.899999999999999"/>
  </r>
  <r>
    <n v="2125"/>
    <s v="W97"/>
    <s v="WSA KALA CHANA 1KGX15  "/>
    <m/>
    <x v="0"/>
    <m/>
    <s v=""/>
    <m/>
    <n v="-2"/>
    <n v="-29.7"/>
  </r>
  <r>
    <n v="2126"/>
    <s v="W98"/>
    <s v="WSA KALA CHANA 2KGX8  "/>
    <m/>
    <x v="0"/>
    <m/>
    <s v=""/>
    <m/>
    <n v="-1"/>
    <n v="-15.92"/>
  </r>
  <r>
    <n v="2127"/>
    <s v="W99"/>
    <s v="WSA KALA CHANA 500GX15  "/>
    <m/>
    <x v="0"/>
    <m/>
    <s v=""/>
    <m/>
    <n v="0"/>
    <n v="0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30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107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4" totalsRowShown="0" headerRowDxfId="11" tableBorderDxfId="10">
  <autoFilter ref="A1:J2134">
    <filterColumn colId="8">
      <customFilters>
        <customFilter operator="greaterThan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4343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4343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6" t="s">
        <v>2584</v>
      </c>
      <c r="L14" s="96"/>
      <c r="M14" s="96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94"/>
      <c r="B17" s="94"/>
      <c r="C17" s="94"/>
      <c r="D17" s="99" t="s">
        <v>866</v>
      </c>
      <c r="E17" s="99"/>
      <c r="F17" s="97">
        <v>44245</v>
      </c>
      <c r="G17" s="97"/>
      <c r="H17" s="98" t="str">
        <f>TEXT(F17,"DDD")</f>
        <v>Thu</v>
      </c>
      <c r="I17" s="98"/>
      <c r="J17" s="80"/>
      <c r="K17" s="80"/>
      <c r="L17" s="80"/>
      <c r="M17" s="80"/>
      <c r="N17" s="80"/>
      <c r="O17" s="80"/>
      <c r="P17" s="82" t="s">
        <v>4260</v>
      </c>
      <c r="Q17" s="100">
        <f>Help!B10</f>
        <v>46</v>
      </c>
      <c r="R17" s="100"/>
      <c r="S17" s="80"/>
    </row>
    <row r="18" spans="1:19" x14ac:dyDescent="0.25">
      <c r="A18" s="94"/>
      <c r="B18" s="94"/>
      <c r="C18" s="94"/>
      <c r="D18" s="94"/>
      <c r="E18" s="94"/>
      <c r="F18" s="94"/>
      <c r="G18" s="94"/>
      <c r="H18" s="94"/>
      <c r="I18" s="94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94"/>
      <c r="B19" s="94"/>
      <c r="C19" s="94"/>
      <c r="D19" s="94"/>
      <c r="E19" s="94"/>
      <c r="F19" s="94"/>
      <c r="G19" s="94"/>
      <c r="H19" s="94"/>
      <c r="I19" s="94"/>
      <c r="J19" s="80"/>
      <c r="K19" s="80"/>
      <c r="L19" s="80"/>
      <c r="M19" s="80"/>
      <c r="N19" s="80"/>
      <c r="O19" s="80"/>
      <c r="P19" s="81" t="s">
        <v>864</v>
      </c>
      <c r="Q19" s="95" t="str">
        <f>IFERROR(Help!B14,"")</f>
        <v/>
      </c>
      <c r="R19" s="95"/>
      <c r="S19" s="80"/>
    </row>
    <row r="20" spans="1:19" ht="10.5" customHeight="1" x14ac:dyDescent="0.25">
      <c r="A20" s="94"/>
      <c r="B20" s="94"/>
      <c r="C20" s="94"/>
      <c r="D20" s="94"/>
      <c r="E20" s="94"/>
      <c r="F20" s="94"/>
      <c r="G20" s="94"/>
      <c r="H20" s="94"/>
      <c r="I20" s="94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94"/>
      <c r="B21" s="94"/>
      <c r="C21" s="94"/>
      <c r="D21" s="94"/>
      <c r="E21" s="94"/>
      <c r="F21" s="94"/>
      <c r="G21" s="94"/>
      <c r="H21" s="94"/>
      <c r="I21" s="94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7"/>
  <sheetViews>
    <sheetView workbookViewId="0">
      <selection activeCell="B6" sqref="B6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4" x14ac:dyDescent="0.25">
      <c r="A1" t="s">
        <v>9</v>
      </c>
      <c r="B1" s="1" t="str">
        <f>ROUNDUP(SUM(ProductMaster!$I$2:INDEX(ProductMaster!$I:$I,COUNTA(ProductMaster!$I:$I),0)),0)&amp; " Unit(s)"</f>
        <v>389 Unit(s)</v>
      </c>
      <c r="D1" s="9"/>
      <c r="E1" s="10" t="s">
        <v>14</v>
      </c>
      <c r="F1" t="s">
        <v>16</v>
      </c>
      <c r="H1" s="49" t="s">
        <v>934</v>
      </c>
      <c r="I1" s="49" t="s">
        <v>932</v>
      </c>
      <c r="J1" s="49" t="s">
        <v>935</v>
      </c>
      <c r="K1" s="49" t="s">
        <v>933</v>
      </c>
      <c r="M1" t="s">
        <v>4312</v>
      </c>
      <c r="N1" t="s">
        <v>4337</v>
      </c>
    </row>
    <row r="2" spans="1:14" x14ac:dyDescent="0.25">
      <c r="A2" t="s">
        <v>11</v>
      </c>
      <c r="B2" s="8">
        <f>SUM(ProductMaster!$J$2:INDEX(ProductMaster!$J:$J,COUNTA(ProductMaster!$J:$J),0))</f>
        <v>-1634.73</v>
      </c>
      <c r="E2" s="11" t="s">
        <v>4255</v>
      </c>
      <c r="F2" s="12">
        <v>388.08333333333337</v>
      </c>
      <c r="H2" t="s">
        <v>4256</v>
      </c>
      <c r="I2" t="s">
        <v>4257</v>
      </c>
      <c r="J2" t="s">
        <v>4258</v>
      </c>
      <c r="K2" t="s">
        <v>4259</v>
      </c>
      <c r="M2" t="s">
        <v>4319</v>
      </c>
    </row>
    <row r="3" spans="1:14" x14ac:dyDescent="0.25">
      <c r="A3" t="s">
        <v>867</v>
      </c>
      <c r="B3" s="9">
        <f ca="1">TODAY()-30</f>
        <v>43802</v>
      </c>
      <c r="E3" s="11" t="s">
        <v>15</v>
      </c>
      <c r="F3" s="12">
        <v>388.08333333333337</v>
      </c>
      <c r="M3" t="s">
        <v>4324</v>
      </c>
    </row>
    <row r="4" spans="1:14" x14ac:dyDescent="0.25">
      <c r="A4" t="s">
        <v>868</v>
      </c>
      <c r="B4" s="9">
        <f ca="1">TODAY()</f>
        <v>43832</v>
      </c>
      <c r="M4" t="s">
        <v>4327</v>
      </c>
    </row>
    <row r="5" spans="1:14" x14ac:dyDescent="0.25">
      <c r="A5" t="s">
        <v>12</v>
      </c>
      <c r="B5" s="1" t="str">
        <f ca="1">ROUNDUP(SUMIFS(StockInData[Quantity],StockInData[Date],"&gt;"&amp;Help!B3,StockInData[Date],"&lt;"&amp;Help!B4),0)&amp;" Unit(s)"</f>
        <v>537 Unit(s)</v>
      </c>
      <c r="M5" t="s">
        <v>4329</v>
      </c>
    </row>
    <row r="6" spans="1:14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  <c r="M6" t="s">
        <v>4331</v>
      </c>
    </row>
    <row r="7" spans="1:14" x14ac:dyDescent="0.25">
      <c r="A7" t="s">
        <v>17</v>
      </c>
      <c r="B7" s="13">
        <f>MATCH(Dashboard!K14,ProductMaster!$C$2:INDEX(ProductMaster!$C:$C,COUNTA(ProductMaster!$C:$C),0),0)</f>
        <v>1560</v>
      </c>
      <c r="M7" t="s">
        <v>4334</v>
      </c>
    </row>
    <row r="8" spans="1:14" x14ac:dyDescent="0.25">
      <c r="A8" t="s">
        <v>3</v>
      </c>
      <c r="B8" s="69" t="str">
        <f>VLOOKUP(B7,ProductMaster!$A$2:$J$2134,3,0)</f>
        <v>SFI GINGER FRESH 10KG</v>
      </c>
      <c r="M8" t="s">
        <v>4312</v>
      </c>
    </row>
    <row r="9" spans="1:14" x14ac:dyDescent="0.25">
      <c r="A9" t="s">
        <v>8</v>
      </c>
      <c r="B9">
        <f>ROUNDUP(VLOOKUP(B7,ProductMaster!$A$2:$J$2134,8,0),2)</f>
        <v>0</v>
      </c>
    </row>
    <row r="10" spans="1:14" x14ac:dyDescent="0.25">
      <c r="A10" t="s">
        <v>20</v>
      </c>
      <c r="B10">
        <f>ROUNDUP(VLOOKUP(B7,ProductMaster!$A$2:$J$2134,9,0),2)</f>
        <v>46</v>
      </c>
    </row>
    <row r="11" spans="1:14" x14ac:dyDescent="0.25">
      <c r="A11" t="s">
        <v>11</v>
      </c>
      <c r="B11" s="8">
        <f>VLOOKUP(B7,ProductMaster!$A$2:$J$2134,6,0)</f>
        <v>0</v>
      </c>
    </row>
    <row r="12" spans="1:14" x14ac:dyDescent="0.25">
      <c r="A12" t="s">
        <v>18</v>
      </c>
      <c r="B12" t="str">
        <f>"Current Stock is "&amp;B10&amp;" Unit(s). And, Stock Value is "&amp;TEXT(B11,"$0")</f>
        <v>Current Stock is 46 Unit(s). And, Stock Value is $0</v>
      </c>
    </row>
    <row r="13" spans="1:14" x14ac:dyDescent="0.25">
      <c r="A13" t="s">
        <v>19</v>
      </c>
      <c r="B13" t="str">
        <f>B8&amp;"'s"</f>
        <v>SFI GINGER FRESH 10KG's</v>
      </c>
    </row>
    <row r="14" spans="1:14" x14ac:dyDescent="0.25">
      <c r="A14" t="s">
        <v>863</v>
      </c>
      <c r="B14" s="30" t="str">
        <f>VLOOKUP(B7,ProductMaster!$A$2:$J$2134,7,0)</f>
        <v/>
      </c>
    </row>
    <row r="15" spans="1:14" x14ac:dyDescent="0.25">
      <c r="A15" t="str">
        <f>IF(B10&gt;B9,"Relax! Stock Is Above Re-Order Level.","Order NOW!")</f>
        <v>Relax! Stock Is Above Re-Order Level.</v>
      </c>
    </row>
    <row r="16" spans="1:14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1"/>
      <c r="B4" s="101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0"/>
  <sheetViews>
    <sheetView showGridLines="0" workbookViewId="0">
      <pane xSplit="10" ySplit="2" topLeftCell="K6" activePane="bottomRight" state="frozen"/>
      <selection pane="topRight" activeCell="J1" sqref="J1"/>
      <selection pane="bottomLeft" activeCell="A4" sqref="A4"/>
      <selection pane="bottomRight" activeCell="J6" sqref="J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>
        <v>1</v>
      </c>
      <c r="B2" s="28">
        <v>43830</v>
      </c>
      <c r="C2" s="77" t="s">
        <v>4338</v>
      </c>
      <c r="D2" s="46" t="s">
        <v>4339</v>
      </c>
      <c r="E2" s="25" t="s">
        <v>2911</v>
      </c>
      <c r="F2" s="26" t="s">
        <v>2912</v>
      </c>
      <c r="G2" s="25"/>
      <c r="H2" s="25"/>
      <c r="I2" s="75">
        <v>43554</v>
      </c>
      <c r="J2" s="27">
        <v>12</v>
      </c>
      <c r="K2" s="76">
        <v>10</v>
      </c>
      <c r="O2" s="30"/>
    </row>
    <row r="3" spans="1:15" x14ac:dyDescent="0.25">
      <c r="A3" s="89">
        <v>2</v>
      </c>
      <c r="B3" s="90">
        <v>43830</v>
      </c>
      <c r="C3" s="91" t="s">
        <v>4338</v>
      </c>
      <c r="D3" s="102" t="s">
        <v>4339</v>
      </c>
      <c r="E3" s="92" t="s">
        <v>813</v>
      </c>
      <c r="F3" s="93" t="s">
        <v>814</v>
      </c>
      <c r="G3" s="92"/>
      <c r="H3" s="92"/>
      <c r="I3" s="103">
        <v>43827</v>
      </c>
      <c r="J3" s="89">
        <v>14</v>
      </c>
      <c r="K3" s="76">
        <v>10</v>
      </c>
    </row>
    <row r="4" spans="1:15" x14ac:dyDescent="0.25">
      <c r="A4" s="89">
        <v>3</v>
      </c>
      <c r="B4" s="90">
        <v>43830</v>
      </c>
      <c r="C4" s="91" t="s">
        <v>4338</v>
      </c>
      <c r="D4" s="102" t="s">
        <v>4339</v>
      </c>
      <c r="E4" s="92" t="s">
        <v>128</v>
      </c>
      <c r="F4" s="93" t="s">
        <v>129</v>
      </c>
      <c r="G4" s="92"/>
      <c r="H4" s="92"/>
      <c r="I4" s="103">
        <v>43827</v>
      </c>
      <c r="J4" s="89">
        <v>41</v>
      </c>
      <c r="K4" s="76">
        <v>10</v>
      </c>
    </row>
    <row r="5" spans="1:15" x14ac:dyDescent="0.25">
      <c r="A5" s="89">
        <v>4</v>
      </c>
      <c r="B5" s="90">
        <v>43830</v>
      </c>
      <c r="C5" s="91" t="s">
        <v>4338</v>
      </c>
      <c r="D5" s="102" t="s">
        <v>4339</v>
      </c>
      <c r="E5" s="92" t="s">
        <v>21</v>
      </c>
      <c r="F5" s="93" t="s">
        <v>22</v>
      </c>
      <c r="G5" s="92"/>
      <c r="H5" s="92"/>
      <c r="I5" s="103">
        <v>43827</v>
      </c>
      <c r="J5" s="89">
        <v>1</v>
      </c>
      <c r="K5" s="76">
        <v>10</v>
      </c>
    </row>
    <row r="6" spans="1:15" x14ac:dyDescent="0.25">
      <c r="A6" s="89">
        <v>5</v>
      </c>
      <c r="B6" s="90">
        <v>43830</v>
      </c>
      <c r="C6" s="91" t="s">
        <v>4338</v>
      </c>
      <c r="D6" s="102" t="s">
        <v>4339</v>
      </c>
      <c r="E6" s="92" t="s">
        <v>21</v>
      </c>
      <c r="F6" s="93" t="s">
        <v>22</v>
      </c>
      <c r="G6" s="92"/>
      <c r="H6" s="92"/>
      <c r="I6" s="103">
        <v>43827</v>
      </c>
      <c r="J6" s="89">
        <v>1</v>
      </c>
      <c r="K6" s="76">
        <v>10</v>
      </c>
    </row>
    <row r="7" spans="1:15" x14ac:dyDescent="0.25">
      <c r="A7" s="89">
        <v>6</v>
      </c>
      <c r="B7" s="90">
        <v>43830</v>
      </c>
      <c r="C7" s="91" t="s">
        <v>4338</v>
      </c>
      <c r="D7" s="102" t="s">
        <v>4339</v>
      </c>
      <c r="E7" s="92" t="s">
        <v>2583</v>
      </c>
      <c r="F7" s="93" t="s">
        <v>2584</v>
      </c>
      <c r="G7" s="92"/>
      <c r="H7" s="92"/>
      <c r="I7" s="103">
        <v>43827</v>
      </c>
      <c r="J7" s="89">
        <v>48</v>
      </c>
      <c r="K7" s="76">
        <v>10</v>
      </c>
    </row>
    <row r="8" spans="1:15" x14ac:dyDescent="0.25">
      <c r="A8" s="89">
        <v>7</v>
      </c>
      <c r="B8" s="90">
        <v>43830</v>
      </c>
      <c r="C8" s="91" t="s">
        <v>4338</v>
      </c>
      <c r="D8" s="102" t="s">
        <v>4339</v>
      </c>
      <c r="E8" s="92" t="s">
        <v>1470</v>
      </c>
      <c r="F8" s="93" t="s">
        <v>1471</v>
      </c>
      <c r="G8" s="92"/>
      <c r="H8" s="92"/>
      <c r="I8" s="103">
        <v>43827</v>
      </c>
      <c r="J8" s="89">
        <v>14</v>
      </c>
      <c r="K8" s="76">
        <v>10</v>
      </c>
    </row>
    <row r="9" spans="1:15" x14ac:dyDescent="0.25">
      <c r="A9" s="89">
        <v>8</v>
      </c>
      <c r="B9" s="90">
        <v>43830</v>
      </c>
      <c r="C9" s="91" t="s">
        <v>4338</v>
      </c>
      <c r="D9" s="102" t="s">
        <v>4339</v>
      </c>
      <c r="E9" s="92" t="s">
        <v>3868</v>
      </c>
      <c r="F9" s="93" t="s">
        <v>3869</v>
      </c>
      <c r="G9" s="92"/>
      <c r="H9" s="92"/>
      <c r="I9" s="103">
        <v>43827</v>
      </c>
      <c r="J9" s="89">
        <v>41</v>
      </c>
      <c r="K9" s="76">
        <v>10</v>
      </c>
    </row>
    <row r="10" spans="1:15" x14ac:dyDescent="0.25">
      <c r="A10" s="89">
        <v>9</v>
      </c>
      <c r="B10" s="90">
        <v>43830</v>
      </c>
      <c r="C10" s="91" t="s">
        <v>4338</v>
      </c>
      <c r="D10" s="102" t="s">
        <v>4339</v>
      </c>
      <c r="E10" s="92" t="s">
        <v>121</v>
      </c>
      <c r="F10" s="93" t="s">
        <v>122</v>
      </c>
      <c r="G10" s="92"/>
      <c r="H10" s="92"/>
      <c r="I10" s="103">
        <v>43827</v>
      </c>
      <c r="J10" s="89">
        <v>8</v>
      </c>
      <c r="K10" s="76">
        <v>10</v>
      </c>
    </row>
    <row r="11" spans="1:15" x14ac:dyDescent="0.25">
      <c r="A11" s="89">
        <v>10</v>
      </c>
      <c r="B11" s="90">
        <v>43830</v>
      </c>
      <c r="C11" s="91" t="s">
        <v>4338</v>
      </c>
      <c r="D11" s="102" t="s">
        <v>4339</v>
      </c>
      <c r="E11" s="92" t="s">
        <v>128</v>
      </c>
      <c r="F11" s="93" t="s">
        <v>129</v>
      </c>
      <c r="G11" s="92"/>
      <c r="H11" s="92"/>
      <c r="I11" s="103">
        <v>43827</v>
      </c>
      <c r="J11" s="89">
        <v>98</v>
      </c>
      <c r="K11" s="76">
        <v>10</v>
      </c>
    </row>
    <row r="12" spans="1:15" x14ac:dyDescent="0.25">
      <c r="A12" s="89">
        <v>11</v>
      </c>
      <c r="B12" s="90">
        <v>43830</v>
      </c>
      <c r="C12" s="91" t="s">
        <v>4338</v>
      </c>
      <c r="D12" s="102" t="s">
        <v>4339</v>
      </c>
      <c r="E12" s="92" t="s">
        <v>128</v>
      </c>
      <c r="F12" s="93" t="s">
        <v>129</v>
      </c>
      <c r="G12" s="92"/>
      <c r="H12" s="92"/>
      <c r="I12" s="103">
        <v>43827</v>
      </c>
      <c r="J12" s="89">
        <v>31</v>
      </c>
      <c r="K12" s="76">
        <v>10</v>
      </c>
    </row>
    <row r="13" spans="1:15" x14ac:dyDescent="0.25">
      <c r="A13" s="89">
        <v>12</v>
      </c>
      <c r="B13" s="90">
        <v>43830</v>
      </c>
      <c r="C13" s="91" t="s">
        <v>4338</v>
      </c>
      <c r="D13" s="102" t="s">
        <v>4339</v>
      </c>
      <c r="E13" s="92" t="s">
        <v>555</v>
      </c>
      <c r="F13" s="93" t="s">
        <v>556</v>
      </c>
      <c r="G13" s="92"/>
      <c r="H13" s="92"/>
      <c r="I13" s="103">
        <v>43827</v>
      </c>
      <c r="J13" s="89">
        <v>2.6666666666666701</v>
      </c>
      <c r="K13" s="76">
        <v>10</v>
      </c>
    </row>
    <row r="14" spans="1:15" x14ac:dyDescent="0.25">
      <c r="A14" s="89">
        <v>13</v>
      </c>
      <c r="B14" s="90">
        <v>43830</v>
      </c>
      <c r="C14" s="91" t="s">
        <v>4338</v>
      </c>
      <c r="D14" s="102" t="s">
        <v>4339</v>
      </c>
      <c r="E14" s="92" t="s">
        <v>1229</v>
      </c>
      <c r="F14" s="93" t="s">
        <v>1230</v>
      </c>
      <c r="G14" s="92"/>
      <c r="H14" s="92"/>
      <c r="I14" s="103">
        <v>43827</v>
      </c>
      <c r="J14" s="89">
        <v>10</v>
      </c>
      <c r="K14" s="76">
        <v>10</v>
      </c>
    </row>
    <row r="15" spans="1:15" x14ac:dyDescent="0.25">
      <c r="A15" s="89">
        <v>14</v>
      </c>
      <c r="B15" s="90">
        <v>43830</v>
      </c>
      <c r="C15" s="91" t="s">
        <v>4338</v>
      </c>
      <c r="D15" s="102" t="s">
        <v>4339</v>
      </c>
      <c r="E15" s="92" t="s">
        <v>998</v>
      </c>
      <c r="F15" s="93" t="s">
        <v>999</v>
      </c>
      <c r="G15" s="92"/>
      <c r="H15" s="92"/>
      <c r="I15" s="103">
        <v>43827</v>
      </c>
      <c r="J15" s="89">
        <v>68</v>
      </c>
      <c r="K15" s="76">
        <v>10</v>
      </c>
    </row>
    <row r="16" spans="1:15" x14ac:dyDescent="0.25">
      <c r="A16" s="89">
        <v>15</v>
      </c>
      <c r="B16" s="90">
        <v>43830</v>
      </c>
      <c r="C16" s="91" t="s">
        <v>4338</v>
      </c>
      <c r="D16" s="102" t="s">
        <v>4339</v>
      </c>
      <c r="E16" s="92" t="s">
        <v>996</v>
      </c>
      <c r="F16" s="93" t="s">
        <v>997</v>
      </c>
      <c r="G16" s="92"/>
      <c r="H16" s="92"/>
      <c r="I16" s="103">
        <v>43827</v>
      </c>
      <c r="J16" s="89">
        <v>8</v>
      </c>
      <c r="K16" s="76">
        <v>10</v>
      </c>
    </row>
    <row r="17" spans="1:11" x14ac:dyDescent="0.25">
      <c r="A17" s="89">
        <v>16</v>
      </c>
      <c r="B17" s="90">
        <v>43830</v>
      </c>
      <c r="C17" s="91" t="s">
        <v>4338</v>
      </c>
      <c r="D17" s="102" t="s">
        <v>4339</v>
      </c>
      <c r="E17" s="92" t="s">
        <v>1026</v>
      </c>
      <c r="F17" s="93" t="s">
        <v>1027</v>
      </c>
      <c r="G17" s="92"/>
      <c r="H17" s="92"/>
      <c r="I17" s="103">
        <v>43827</v>
      </c>
      <c r="J17" s="89">
        <v>25</v>
      </c>
      <c r="K17" s="76">
        <v>10</v>
      </c>
    </row>
    <row r="18" spans="1:11" x14ac:dyDescent="0.25">
      <c r="A18" s="89">
        <v>17</v>
      </c>
      <c r="B18" s="90">
        <v>43830</v>
      </c>
      <c r="C18" s="91" t="s">
        <v>4338</v>
      </c>
      <c r="D18" s="102" t="s">
        <v>4339</v>
      </c>
      <c r="E18" s="92" t="s">
        <v>27</v>
      </c>
      <c r="F18" s="93" t="s">
        <v>28</v>
      </c>
      <c r="G18" s="92"/>
      <c r="H18" s="92"/>
      <c r="I18" s="103">
        <v>43828</v>
      </c>
      <c r="J18" s="89">
        <v>1</v>
      </c>
      <c r="K18" s="76">
        <v>10</v>
      </c>
    </row>
    <row r="19" spans="1:11" x14ac:dyDescent="0.25">
      <c r="A19" s="89">
        <v>18</v>
      </c>
      <c r="B19" s="90">
        <v>43830</v>
      </c>
      <c r="C19" s="91" t="s">
        <v>4338</v>
      </c>
      <c r="D19" s="102" t="s">
        <v>4339</v>
      </c>
      <c r="E19" s="92" t="s">
        <v>21</v>
      </c>
      <c r="F19" s="93" t="s">
        <v>22</v>
      </c>
      <c r="G19" s="92"/>
      <c r="H19" s="92"/>
      <c r="I19" s="103">
        <v>43828</v>
      </c>
      <c r="J19" s="89">
        <v>1</v>
      </c>
      <c r="K19" s="76">
        <v>10</v>
      </c>
    </row>
    <row r="20" spans="1:11" x14ac:dyDescent="0.25">
      <c r="A20" s="89">
        <v>19</v>
      </c>
      <c r="B20" s="90">
        <v>43830</v>
      </c>
      <c r="C20" s="91" t="s">
        <v>4338</v>
      </c>
      <c r="D20" s="102" t="s">
        <v>4339</v>
      </c>
      <c r="E20" s="92" t="s">
        <v>370</v>
      </c>
      <c r="F20" s="93" t="s">
        <v>371</v>
      </c>
      <c r="G20" s="92"/>
      <c r="H20" s="92"/>
      <c r="I20" s="103">
        <v>43828</v>
      </c>
      <c r="J20" s="89">
        <v>0.5</v>
      </c>
      <c r="K20" s="76">
        <v>10</v>
      </c>
    </row>
    <row r="21" spans="1:11" x14ac:dyDescent="0.25">
      <c r="A21" s="89">
        <v>20</v>
      </c>
      <c r="B21" s="90">
        <v>43830</v>
      </c>
      <c r="C21" s="91" t="s">
        <v>4338</v>
      </c>
      <c r="D21" s="102" t="s">
        <v>4339</v>
      </c>
      <c r="E21" s="92" t="s">
        <v>71</v>
      </c>
      <c r="F21" s="93" t="s">
        <v>72</v>
      </c>
      <c r="G21" s="92"/>
      <c r="H21" s="92"/>
      <c r="I21" s="103">
        <v>43828</v>
      </c>
      <c r="J21" s="89">
        <v>0.91666666666666596</v>
      </c>
      <c r="K21" s="76">
        <v>10</v>
      </c>
    </row>
    <row r="22" spans="1:11" x14ac:dyDescent="0.25">
      <c r="A22" s="89">
        <v>21</v>
      </c>
      <c r="B22" s="90">
        <v>43830</v>
      </c>
      <c r="C22" s="91" t="s">
        <v>4338</v>
      </c>
      <c r="D22" s="102" t="s">
        <v>4339</v>
      </c>
      <c r="E22" s="92" t="s">
        <v>2214</v>
      </c>
      <c r="F22" s="93" t="s">
        <v>4266</v>
      </c>
      <c r="G22" s="92"/>
      <c r="H22" s="92"/>
      <c r="I22" s="103">
        <v>43828</v>
      </c>
      <c r="J22" s="89">
        <v>1</v>
      </c>
      <c r="K22" s="76">
        <v>10</v>
      </c>
    </row>
    <row r="23" spans="1:11" x14ac:dyDescent="0.25">
      <c r="A23" s="89">
        <v>22</v>
      </c>
      <c r="B23" s="90">
        <v>43830</v>
      </c>
      <c r="C23" s="91" t="s">
        <v>4338</v>
      </c>
      <c r="D23" s="102" t="s">
        <v>4339</v>
      </c>
      <c r="E23" s="92" t="s">
        <v>3481</v>
      </c>
      <c r="F23" s="93" t="s">
        <v>3482</v>
      </c>
      <c r="G23" s="92"/>
      <c r="H23" s="92"/>
      <c r="I23" s="103">
        <v>43828</v>
      </c>
      <c r="J23" s="89">
        <v>1</v>
      </c>
      <c r="K23" s="76">
        <v>10</v>
      </c>
    </row>
    <row r="24" spans="1:11" x14ac:dyDescent="0.25">
      <c r="A24" s="89">
        <v>23</v>
      </c>
      <c r="B24" s="90">
        <v>43830</v>
      </c>
      <c r="C24" s="91" t="s">
        <v>4338</v>
      </c>
      <c r="D24" s="102" t="s">
        <v>4339</v>
      </c>
      <c r="E24" s="92" t="s">
        <v>813</v>
      </c>
      <c r="F24" s="93" t="s">
        <v>814</v>
      </c>
      <c r="G24" s="92"/>
      <c r="H24" s="92"/>
      <c r="I24" s="103">
        <v>43828</v>
      </c>
      <c r="J24" s="89">
        <v>15</v>
      </c>
      <c r="K24" s="76">
        <v>10</v>
      </c>
    </row>
    <row r="25" spans="1:11" x14ac:dyDescent="0.25">
      <c r="A25" s="89">
        <v>24</v>
      </c>
      <c r="B25" s="90">
        <v>43830</v>
      </c>
      <c r="C25" s="91" t="s">
        <v>4338</v>
      </c>
      <c r="D25" s="102" t="s">
        <v>4339</v>
      </c>
      <c r="E25" s="92" t="s">
        <v>2597</v>
      </c>
      <c r="F25" s="93" t="s">
        <v>2598</v>
      </c>
      <c r="G25" s="92"/>
      <c r="H25" s="92"/>
      <c r="I25" s="103">
        <v>43828</v>
      </c>
      <c r="J25" s="89">
        <v>13</v>
      </c>
      <c r="K25" s="76">
        <v>10</v>
      </c>
    </row>
    <row r="26" spans="1:11" x14ac:dyDescent="0.25">
      <c r="A26" s="89">
        <v>25</v>
      </c>
      <c r="B26" s="90">
        <v>43830</v>
      </c>
      <c r="C26" s="91" t="s">
        <v>4338</v>
      </c>
      <c r="D26" s="102" t="s">
        <v>4339</v>
      </c>
      <c r="E26" s="92" t="s">
        <v>1470</v>
      </c>
      <c r="F26" s="93" t="s">
        <v>1471</v>
      </c>
      <c r="G26" s="92"/>
      <c r="H26" s="92"/>
      <c r="I26" s="103">
        <v>43828</v>
      </c>
      <c r="J26" s="89">
        <v>2</v>
      </c>
      <c r="K26" s="76">
        <v>10</v>
      </c>
    </row>
    <row r="27" spans="1:11" x14ac:dyDescent="0.25">
      <c r="A27" s="89">
        <v>26</v>
      </c>
      <c r="B27" s="90">
        <v>43830</v>
      </c>
      <c r="C27" s="91" t="s">
        <v>4338</v>
      </c>
      <c r="D27" s="102" t="s">
        <v>4339</v>
      </c>
      <c r="E27" s="92" t="s">
        <v>3471</v>
      </c>
      <c r="F27" s="93" t="s">
        <v>4340</v>
      </c>
      <c r="G27" s="92"/>
      <c r="H27" s="92"/>
      <c r="I27" s="103">
        <v>43828</v>
      </c>
      <c r="J27" s="89">
        <v>42</v>
      </c>
      <c r="K27" s="76">
        <v>10</v>
      </c>
    </row>
    <row r="28" spans="1:11" x14ac:dyDescent="0.25">
      <c r="A28" s="89">
        <v>27</v>
      </c>
      <c r="B28" s="90">
        <v>43830</v>
      </c>
      <c r="C28" s="91" t="s">
        <v>4338</v>
      </c>
      <c r="D28" s="102" t="s">
        <v>4339</v>
      </c>
      <c r="E28" s="92" t="s">
        <v>3399</v>
      </c>
      <c r="F28" s="93" t="s">
        <v>4341</v>
      </c>
      <c r="G28" s="92"/>
      <c r="H28" s="92"/>
      <c r="I28" s="103">
        <v>43830</v>
      </c>
      <c r="J28" s="89">
        <v>3</v>
      </c>
      <c r="K28" s="76">
        <v>10</v>
      </c>
    </row>
    <row r="29" spans="1:11" x14ac:dyDescent="0.25">
      <c r="A29" s="89">
        <v>28</v>
      </c>
      <c r="B29" s="90">
        <v>43830</v>
      </c>
      <c r="C29" s="91" t="s">
        <v>4338</v>
      </c>
      <c r="D29" s="102" t="s">
        <v>4339</v>
      </c>
      <c r="E29" s="92" t="s">
        <v>3032</v>
      </c>
      <c r="F29" s="93" t="s">
        <v>3033</v>
      </c>
      <c r="G29" s="92"/>
      <c r="H29" s="92"/>
      <c r="I29" s="103">
        <v>43860</v>
      </c>
      <c r="J29" s="89">
        <v>13</v>
      </c>
      <c r="K29" s="76">
        <v>10</v>
      </c>
    </row>
    <row r="30" spans="1:11" x14ac:dyDescent="0.25">
      <c r="A30" s="89">
        <v>29</v>
      </c>
      <c r="B30" s="90">
        <v>43830</v>
      </c>
      <c r="C30" s="91" t="s">
        <v>4338</v>
      </c>
      <c r="D30" s="102" t="s">
        <v>4339</v>
      </c>
      <c r="E30" s="92" t="s">
        <v>2945</v>
      </c>
      <c r="F30" s="93" t="s">
        <v>4342</v>
      </c>
      <c r="G30" s="92"/>
      <c r="H30" s="92"/>
      <c r="I30" s="103">
        <v>43860</v>
      </c>
      <c r="J30" s="89">
        <v>20</v>
      </c>
      <c r="K30" s="76">
        <v>10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7"/>
  <sheetViews>
    <sheetView showGridLines="0" workbookViewId="0">
      <pane xSplit="10" ySplit="2" topLeftCell="K69" activePane="bottomRight" state="frozen"/>
      <selection pane="topRight" activeCell="I1" sqref="I1"/>
      <selection pane="bottomLeft" activeCell="A4" sqref="A4"/>
      <selection pane="bottomRight" activeCell="I2" sqref="I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43533</v>
      </c>
      <c r="C2" s="77" t="s">
        <v>4313</v>
      </c>
      <c r="D2" s="77" t="s">
        <v>4314</v>
      </c>
      <c r="E2" s="25" t="s">
        <v>902</v>
      </c>
      <c r="F2" s="26" t="s">
        <v>903</v>
      </c>
      <c r="G2" s="25"/>
      <c r="H2" s="25"/>
      <c r="I2" s="27" t="s">
        <v>4315</v>
      </c>
      <c r="J2" s="29">
        <v>5.96</v>
      </c>
    </row>
    <row r="3" spans="1:10" x14ac:dyDescent="0.25">
      <c r="A3" s="89">
        <v>2</v>
      </c>
      <c r="B3" s="90">
        <v>43533</v>
      </c>
      <c r="C3" s="91" t="s">
        <v>4313</v>
      </c>
      <c r="D3" s="91" t="s">
        <v>4314</v>
      </c>
      <c r="E3" s="92" t="s">
        <v>904</v>
      </c>
      <c r="F3" s="93" t="s">
        <v>905</v>
      </c>
      <c r="G3" s="92"/>
      <c r="H3" s="92"/>
      <c r="I3" s="89">
        <v>1</v>
      </c>
      <c r="J3" s="76">
        <v>30</v>
      </c>
    </row>
    <row r="4" spans="1:10" x14ac:dyDescent="0.25">
      <c r="A4" s="89">
        <v>3</v>
      </c>
      <c r="B4" s="90">
        <v>43533</v>
      </c>
      <c r="C4" s="91" t="s">
        <v>4313</v>
      </c>
      <c r="D4" s="91" t="s">
        <v>4314</v>
      </c>
      <c r="E4" s="92" t="s">
        <v>906</v>
      </c>
      <c r="F4" s="93" t="s">
        <v>907</v>
      </c>
      <c r="G4" s="92"/>
      <c r="H4" s="92"/>
      <c r="I4" s="89" t="s">
        <v>4316</v>
      </c>
      <c r="J4" s="76">
        <v>10.35</v>
      </c>
    </row>
    <row r="5" spans="1:10" x14ac:dyDescent="0.25">
      <c r="A5" s="89">
        <v>4</v>
      </c>
      <c r="B5" s="90">
        <v>43533</v>
      </c>
      <c r="C5" s="91" t="s">
        <v>4313</v>
      </c>
      <c r="D5" s="91" t="s">
        <v>4314</v>
      </c>
      <c r="E5" s="92" t="s">
        <v>908</v>
      </c>
      <c r="F5" s="93" t="s">
        <v>909</v>
      </c>
      <c r="G5" s="92"/>
      <c r="H5" s="92"/>
      <c r="I5" s="89">
        <v>1</v>
      </c>
      <c r="J5" s="76">
        <v>7.9</v>
      </c>
    </row>
    <row r="6" spans="1:10" x14ac:dyDescent="0.25">
      <c r="A6" s="89">
        <v>5</v>
      </c>
      <c r="B6" s="90">
        <v>43533</v>
      </c>
      <c r="C6" s="91" t="s">
        <v>4313</v>
      </c>
      <c r="D6" s="91" t="s">
        <v>4314</v>
      </c>
      <c r="E6" s="92" t="s">
        <v>309</v>
      </c>
      <c r="F6" s="93" t="s">
        <v>310</v>
      </c>
      <c r="G6" s="92"/>
      <c r="H6" s="92"/>
      <c r="I6" s="89">
        <v>1</v>
      </c>
      <c r="J6" s="76">
        <v>7.9</v>
      </c>
    </row>
    <row r="7" spans="1:10" x14ac:dyDescent="0.25">
      <c r="A7" s="89">
        <v>6</v>
      </c>
      <c r="B7" s="90">
        <v>43533</v>
      </c>
      <c r="C7" s="91" t="s">
        <v>4313</v>
      </c>
      <c r="D7" s="91" t="s">
        <v>4314</v>
      </c>
      <c r="E7" s="92" t="s">
        <v>327</v>
      </c>
      <c r="F7" s="93" t="s">
        <v>328</v>
      </c>
      <c r="G7" s="92"/>
      <c r="H7" s="92"/>
      <c r="I7" s="89">
        <v>1</v>
      </c>
      <c r="J7" s="76">
        <v>12.75</v>
      </c>
    </row>
    <row r="8" spans="1:10" x14ac:dyDescent="0.25">
      <c r="A8" s="89">
        <v>7</v>
      </c>
      <c r="B8" s="90">
        <v>43533</v>
      </c>
      <c r="C8" s="91" t="s">
        <v>4313</v>
      </c>
      <c r="D8" s="91" t="s">
        <v>4314</v>
      </c>
      <c r="E8" s="92" t="s">
        <v>351</v>
      </c>
      <c r="F8" s="93" t="s">
        <v>352</v>
      </c>
      <c r="G8" s="92"/>
      <c r="H8" s="92"/>
      <c r="I8" s="89">
        <v>2</v>
      </c>
      <c r="J8" s="76">
        <v>2.4000000000000004</v>
      </c>
    </row>
    <row r="9" spans="1:10" x14ac:dyDescent="0.25">
      <c r="A9" s="89">
        <v>8</v>
      </c>
      <c r="B9" s="90">
        <v>43533</v>
      </c>
      <c r="C9" s="91" t="s">
        <v>4313</v>
      </c>
      <c r="D9" s="91" t="s">
        <v>4314</v>
      </c>
      <c r="E9" s="92" t="s">
        <v>370</v>
      </c>
      <c r="F9" s="93" t="s">
        <v>371</v>
      </c>
      <c r="G9" s="92"/>
      <c r="H9" s="92"/>
      <c r="I9" s="89">
        <v>1</v>
      </c>
      <c r="J9" s="76">
        <v>20.399999999999999</v>
      </c>
    </row>
    <row r="10" spans="1:10" x14ac:dyDescent="0.25">
      <c r="A10" s="89">
        <v>9</v>
      </c>
      <c r="B10" s="90">
        <v>43533</v>
      </c>
      <c r="C10" s="91" t="s">
        <v>4313</v>
      </c>
      <c r="D10" s="91" t="s">
        <v>4314</v>
      </c>
      <c r="E10" s="92" t="s">
        <v>483</v>
      </c>
      <c r="F10" s="93" t="s">
        <v>4317</v>
      </c>
      <c r="G10" s="92"/>
      <c r="H10" s="92"/>
      <c r="I10" s="89">
        <v>1</v>
      </c>
      <c r="J10" s="76">
        <v>3</v>
      </c>
    </row>
    <row r="11" spans="1:10" x14ac:dyDescent="0.25">
      <c r="A11" s="89">
        <v>10</v>
      </c>
      <c r="B11" s="90">
        <v>43533</v>
      </c>
      <c r="C11" s="91" t="s">
        <v>4313</v>
      </c>
      <c r="D11" s="91" t="s">
        <v>4314</v>
      </c>
      <c r="E11" s="92" t="s">
        <v>485</v>
      </c>
      <c r="F11" s="93" t="s">
        <v>486</v>
      </c>
      <c r="G11" s="92"/>
      <c r="H11" s="92"/>
      <c r="I11" s="89">
        <v>1</v>
      </c>
      <c r="J11" s="76">
        <v>3</v>
      </c>
    </row>
    <row r="12" spans="1:10" x14ac:dyDescent="0.25">
      <c r="A12" s="89">
        <v>11</v>
      </c>
      <c r="B12" s="90">
        <v>43533</v>
      </c>
      <c r="C12" s="91" t="s">
        <v>4313</v>
      </c>
      <c r="D12" s="91" t="s">
        <v>4314</v>
      </c>
      <c r="E12" s="92" t="s">
        <v>507</v>
      </c>
      <c r="F12" s="93" t="s">
        <v>508</v>
      </c>
      <c r="G12" s="92"/>
      <c r="H12" s="92"/>
      <c r="I12" s="89">
        <v>1</v>
      </c>
      <c r="J12" s="76">
        <v>5.9399999999999995</v>
      </c>
    </row>
    <row r="13" spans="1:10" x14ac:dyDescent="0.25">
      <c r="A13" s="89">
        <v>12</v>
      </c>
      <c r="B13" s="90">
        <v>43533</v>
      </c>
      <c r="C13" s="91" t="s">
        <v>4313</v>
      </c>
      <c r="D13" s="91" t="s">
        <v>4314</v>
      </c>
      <c r="E13" s="92" t="s">
        <v>887</v>
      </c>
      <c r="F13" s="93" t="s">
        <v>888</v>
      </c>
      <c r="G13" s="92"/>
      <c r="H13" s="92"/>
      <c r="I13" s="89">
        <v>1</v>
      </c>
      <c r="J13" s="76">
        <v>23.04</v>
      </c>
    </row>
    <row r="14" spans="1:10" x14ac:dyDescent="0.25">
      <c r="A14" s="89">
        <v>13</v>
      </c>
      <c r="B14" s="90">
        <v>43533</v>
      </c>
      <c r="C14" s="91" t="s">
        <v>4313</v>
      </c>
      <c r="D14" s="91" t="s">
        <v>4314</v>
      </c>
      <c r="E14" s="92" t="s">
        <v>910</v>
      </c>
      <c r="F14" s="93" t="s">
        <v>911</v>
      </c>
      <c r="G14" s="92"/>
      <c r="H14" s="92"/>
      <c r="I14" s="89">
        <v>1</v>
      </c>
      <c r="J14" s="76">
        <v>9.9</v>
      </c>
    </row>
    <row r="15" spans="1:10" x14ac:dyDescent="0.25">
      <c r="A15" s="89">
        <v>14</v>
      </c>
      <c r="B15" s="90">
        <v>43533</v>
      </c>
      <c r="C15" s="91" t="s">
        <v>4313</v>
      </c>
      <c r="D15" s="91" t="s">
        <v>4314</v>
      </c>
      <c r="E15" s="92" t="s">
        <v>707</v>
      </c>
      <c r="F15" s="93" t="s">
        <v>708</v>
      </c>
      <c r="G15" s="92"/>
      <c r="H15" s="92"/>
      <c r="I15" s="89">
        <v>2</v>
      </c>
      <c r="J15" s="76">
        <v>8.2799999999999994</v>
      </c>
    </row>
    <row r="16" spans="1:10" x14ac:dyDescent="0.25">
      <c r="A16" s="89">
        <v>15</v>
      </c>
      <c r="B16" s="90">
        <v>43533</v>
      </c>
      <c r="C16" s="91" t="s">
        <v>4313</v>
      </c>
      <c r="D16" s="91" t="s">
        <v>4314</v>
      </c>
      <c r="E16" s="92" t="s">
        <v>741</v>
      </c>
      <c r="F16" s="93" t="s">
        <v>742</v>
      </c>
      <c r="G16" s="92"/>
      <c r="H16" s="92"/>
      <c r="I16" s="89">
        <v>1</v>
      </c>
      <c r="J16" s="76">
        <v>7.08</v>
      </c>
    </row>
    <row r="17" spans="1:10" x14ac:dyDescent="0.25">
      <c r="A17" s="89">
        <v>16</v>
      </c>
      <c r="B17" s="90">
        <v>43533</v>
      </c>
      <c r="C17" s="91" t="s">
        <v>4313</v>
      </c>
      <c r="D17" s="91" t="s">
        <v>4314</v>
      </c>
      <c r="E17" s="92" t="s">
        <v>891</v>
      </c>
      <c r="F17" s="93" t="s">
        <v>892</v>
      </c>
      <c r="G17" s="92"/>
      <c r="H17" s="92"/>
      <c r="I17" s="89">
        <v>1</v>
      </c>
      <c r="J17" s="76">
        <v>33.96</v>
      </c>
    </row>
    <row r="18" spans="1:10" x14ac:dyDescent="0.25">
      <c r="A18" s="89">
        <v>17</v>
      </c>
      <c r="B18" s="90">
        <v>43533</v>
      </c>
      <c r="C18" s="91" t="s">
        <v>4313</v>
      </c>
      <c r="D18" s="91" t="s">
        <v>4314</v>
      </c>
      <c r="E18" s="92" t="s">
        <v>912</v>
      </c>
      <c r="F18" s="93" t="s">
        <v>4318</v>
      </c>
      <c r="G18" s="92"/>
      <c r="H18" s="92"/>
      <c r="I18" s="89">
        <v>1</v>
      </c>
      <c r="J18" s="76">
        <v>65.400000000000006</v>
      </c>
    </row>
    <row r="19" spans="1:10" x14ac:dyDescent="0.25">
      <c r="A19" s="89">
        <v>18</v>
      </c>
      <c r="B19" s="90">
        <v>43533</v>
      </c>
      <c r="C19" s="91" t="s">
        <v>4313</v>
      </c>
      <c r="D19" s="91" t="s">
        <v>4314</v>
      </c>
      <c r="E19" s="92" t="s">
        <v>913</v>
      </c>
      <c r="F19" s="93" t="s">
        <v>914</v>
      </c>
      <c r="G19" s="92"/>
      <c r="H19" s="92"/>
      <c r="I19" s="89">
        <v>1</v>
      </c>
      <c r="J19" s="76">
        <v>11.899999999999999</v>
      </c>
    </row>
    <row r="20" spans="1:10" x14ac:dyDescent="0.25">
      <c r="A20" s="89">
        <v>19</v>
      </c>
      <c r="B20" s="90">
        <v>43533</v>
      </c>
      <c r="C20" s="91" t="s">
        <v>4313</v>
      </c>
      <c r="D20" s="91" t="s">
        <v>4314</v>
      </c>
      <c r="E20" s="92" t="s">
        <v>897</v>
      </c>
      <c r="F20" s="93" t="s">
        <v>898</v>
      </c>
      <c r="G20" s="92"/>
      <c r="H20" s="92"/>
      <c r="I20" s="89">
        <v>1</v>
      </c>
      <c r="J20" s="76">
        <v>9.6000000000000014</v>
      </c>
    </row>
    <row r="21" spans="1:10" x14ac:dyDescent="0.25">
      <c r="A21" s="89">
        <v>20</v>
      </c>
      <c r="B21" s="90">
        <v>43533</v>
      </c>
      <c r="C21" s="91" t="s">
        <v>4313</v>
      </c>
      <c r="D21" s="91" t="s">
        <v>4314</v>
      </c>
      <c r="E21" s="92" t="s">
        <v>915</v>
      </c>
      <c r="F21" s="93" t="s">
        <v>916</v>
      </c>
      <c r="G21" s="92"/>
      <c r="H21" s="92"/>
      <c r="I21" s="89">
        <v>1</v>
      </c>
      <c r="J21" s="76">
        <v>17.440000000000001</v>
      </c>
    </row>
    <row r="22" spans="1:10" x14ac:dyDescent="0.25">
      <c r="A22" s="89">
        <v>21</v>
      </c>
      <c r="B22" s="90">
        <v>43533</v>
      </c>
      <c r="C22" s="91" t="s">
        <v>4313</v>
      </c>
      <c r="D22" s="91" t="s">
        <v>4314</v>
      </c>
      <c r="E22" s="92" t="s">
        <v>900</v>
      </c>
      <c r="F22" s="93" t="s">
        <v>901</v>
      </c>
      <c r="G22" s="92"/>
      <c r="H22" s="92"/>
      <c r="I22" s="89">
        <v>1</v>
      </c>
      <c r="J22" s="76">
        <v>17.899999999999999</v>
      </c>
    </row>
    <row r="23" spans="1:10" x14ac:dyDescent="0.25">
      <c r="A23" s="89">
        <v>22</v>
      </c>
      <c r="B23" s="90">
        <v>43533</v>
      </c>
      <c r="C23" s="91" t="s">
        <v>4313</v>
      </c>
      <c r="D23" s="91" t="s">
        <v>4314</v>
      </c>
      <c r="E23" s="92" t="s">
        <v>875</v>
      </c>
      <c r="F23" s="93" t="s">
        <v>876</v>
      </c>
      <c r="G23" s="92"/>
      <c r="H23" s="92"/>
      <c r="I23" s="89">
        <v>2</v>
      </c>
      <c r="J23" s="76">
        <v>29.7</v>
      </c>
    </row>
    <row r="24" spans="1:10" x14ac:dyDescent="0.25">
      <c r="A24" s="89">
        <v>23</v>
      </c>
      <c r="B24" s="90">
        <v>43533</v>
      </c>
      <c r="C24" s="91" t="s">
        <v>4313</v>
      </c>
      <c r="D24" s="91" t="s">
        <v>4314</v>
      </c>
      <c r="E24" s="92" t="s">
        <v>917</v>
      </c>
      <c r="F24" s="93" t="s">
        <v>918</v>
      </c>
      <c r="G24" s="92"/>
      <c r="H24" s="92"/>
      <c r="I24" s="89">
        <v>1</v>
      </c>
      <c r="J24" s="76">
        <v>15.92</v>
      </c>
    </row>
    <row r="25" spans="1:10" x14ac:dyDescent="0.25">
      <c r="A25" s="89">
        <v>24</v>
      </c>
      <c r="B25" s="90">
        <v>43533</v>
      </c>
      <c r="C25" s="91" t="s">
        <v>4313</v>
      </c>
      <c r="D25" s="91" t="s">
        <v>4314</v>
      </c>
      <c r="E25" s="92" t="s">
        <v>919</v>
      </c>
      <c r="F25" s="93" t="s">
        <v>920</v>
      </c>
      <c r="G25" s="92"/>
      <c r="H25" s="92"/>
      <c r="I25" s="89">
        <v>1</v>
      </c>
      <c r="J25" s="76">
        <v>14</v>
      </c>
    </row>
    <row r="26" spans="1:10" x14ac:dyDescent="0.25">
      <c r="A26" s="89">
        <v>25</v>
      </c>
      <c r="B26" s="90">
        <v>43533</v>
      </c>
      <c r="C26" s="91" t="s">
        <v>4313</v>
      </c>
      <c r="D26" s="91" t="s">
        <v>4314</v>
      </c>
      <c r="E26" s="92" t="s">
        <v>921</v>
      </c>
      <c r="F26" s="93" t="s">
        <v>922</v>
      </c>
      <c r="G26" s="92"/>
      <c r="H26" s="92"/>
      <c r="I26" s="89">
        <v>1</v>
      </c>
      <c r="J26" s="76">
        <v>21.52</v>
      </c>
    </row>
    <row r="27" spans="1:10" x14ac:dyDescent="0.25">
      <c r="A27" s="89">
        <v>26</v>
      </c>
      <c r="B27" s="90">
        <v>43533</v>
      </c>
      <c r="C27" s="91" t="s">
        <v>4313</v>
      </c>
      <c r="D27" s="91" t="s">
        <v>4320</v>
      </c>
      <c r="E27" s="92" t="s">
        <v>998</v>
      </c>
      <c r="F27" s="93" t="s">
        <v>999</v>
      </c>
      <c r="G27" s="92"/>
      <c r="H27" s="92"/>
      <c r="I27" s="89">
        <v>1</v>
      </c>
      <c r="J27" s="76">
        <v>1.3800000000000001</v>
      </c>
    </row>
    <row r="28" spans="1:10" x14ac:dyDescent="0.25">
      <c r="A28" s="89">
        <v>27</v>
      </c>
      <c r="B28" s="90">
        <v>43533</v>
      </c>
      <c r="C28" s="91" t="s">
        <v>4313</v>
      </c>
      <c r="D28" s="91" t="s">
        <v>4320</v>
      </c>
      <c r="E28" s="92" t="s">
        <v>1000</v>
      </c>
      <c r="F28" s="93" t="s">
        <v>1001</v>
      </c>
      <c r="G28" s="92"/>
      <c r="H28" s="92"/>
      <c r="I28" s="89">
        <v>1</v>
      </c>
      <c r="J28" s="76">
        <v>2.88</v>
      </c>
    </row>
    <row r="29" spans="1:10" x14ac:dyDescent="0.25">
      <c r="A29" s="89">
        <v>28</v>
      </c>
      <c r="B29" s="90">
        <v>43533</v>
      </c>
      <c r="C29" s="91" t="s">
        <v>4313</v>
      </c>
      <c r="D29" s="91" t="s">
        <v>4320</v>
      </c>
      <c r="E29" s="92" t="s">
        <v>1030</v>
      </c>
      <c r="F29" s="93" t="s">
        <v>1031</v>
      </c>
      <c r="G29" s="92"/>
      <c r="H29" s="92"/>
      <c r="I29" s="89">
        <v>1</v>
      </c>
      <c r="J29" s="76">
        <v>3.84</v>
      </c>
    </row>
    <row r="30" spans="1:10" x14ac:dyDescent="0.25">
      <c r="A30" s="89">
        <v>29</v>
      </c>
      <c r="B30" s="90">
        <v>43533</v>
      </c>
      <c r="C30" s="91" t="s">
        <v>4313</v>
      </c>
      <c r="D30" s="91" t="s">
        <v>4320</v>
      </c>
      <c r="E30" s="92" t="s">
        <v>1064</v>
      </c>
      <c r="F30" s="93" t="s">
        <v>1065</v>
      </c>
      <c r="G30" s="92"/>
      <c r="H30" s="92"/>
      <c r="I30" s="89">
        <v>1</v>
      </c>
      <c r="J30" s="76">
        <v>14.64</v>
      </c>
    </row>
    <row r="31" spans="1:10" x14ac:dyDescent="0.25">
      <c r="A31" s="89">
        <v>30</v>
      </c>
      <c r="B31" s="90">
        <v>43533</v>
      </c>
      <c r="C31" s="91" t="s">
        <v>4313</v>
      </c>
      <c r="D31" s="91" t="s">
        <v>4320</v>
      </c>
      <c r="E31" s="92" t="s">
        <v>902</v>
      </c>
      <c r="F31" s="93" t="s">
        <v>903</v>
      </c>
      <c r="G31" s="92"/>
      <c r="H31" s="92"/>
      <c r="I31" s="89" t="s">
        <v>4321</v>
      </c>
      <c r="J31" s="76">
        <v>8.94</v>
      </c>
    </row>
    <row r="32" spans="1:10" x14ac:dyDescent="0.25">
      <c r="A32" s="89">
        <v>31</v>
      </c>
      <c r="B32" s="90">
        <v>43533</v>
      </c>
      <c r="C32" s="91" t="s">
        <v>4313</v>
      </c>
      <c r="D32" s="91" t="s">
        <v>4320</v>
      </c>
      <c r="E32" s="92" t="s">
        <v>1176</v>
      </c>
      <c r="F32" s="93" t="s">
        <v>1177</v>
      </c>
      <c r="G32" s="92"/>
      <c r="H32" s="92"/>
      <c r="I32" s="89" t="s">
        <v>4322</v>
      </c>
      <c r="J32" s="76">
        <v>23</v>
      </c>
    </row>
    <row r="33" spans="1:10" x14ac:dyDescent="0.25">
      <c r="A33" s="89">
        <v>32</v>
      </c>
      <c r="B33" s="90">
        <v>43533</v>
      </c>
      <c r="C33" s="91" t="s">
        <v>4313</v>
      </c>
      <c r="D33" s="91" t="s">
        <v>4320</v>
      </c>
      <c r="E33" s="92" t="s">
        <v>1240</v>
      </c>
      <c r="F33" s="93" t="s">
        <v>1241</v>
      </c>
      <c r="G33" s="92"/>
      <c r="H33" s="92"/>
      <c r="I33" s="89">
        <v>1</v>
      </c>
      <c r="J33" s="76">
        <v>13.14</v>
      </c>
    </row>
    <row r="34" spans="1:10" x14ac:dyDescent="0.25">
      <c r="A34" s="89">
        <v>33</v>
      </c>
      <c r="B34" s="90">
        <v>43533</v>
      </c>
      <c r="C34" s="91" t="s">
        <v>4313</v>
      </c>
      <c r="D34" s="91" t="s">
        <v>4320</v>
      </c>
      <c r="E34" s="92" t="s">
        <v>339</v>
      </c>
      <c r="F34" s="93" t="s">
        <v>340</v>
      </c>
      <c r="G34" s="92"/>
      <c r="H34" s="92"/>
      <c r="I34" s="89">
        <v>1</v>
      </c>
      <c r="J34" s="76">
        <v>29.880000000000003</v>
      </c>
    </row>
    <row r="35" spans="1:10" x14ac:dyDescent="0.25">
      <c r="A35" s="89">
        <v>34</v>
      </c>
      <c r="B35" s="90">
        <v>43533</v>
      </c>
      <c r="C35" s="91" t="s">
        <v>4313</v>
      </c>
      <c r="D35" s="91" t="s">
        <v>4320</v>
      </c>
      <c r="E35" s="92" t="s">
        <v>432</v>
      </c>
      <c r="F35" s="93" t="s">
        <v>433</v>
      </c>
      <c r="G35" s="92"/>
      <c r="H35" s="92"/>
      <c r="I35" s="89">
        <v>1</v>
      </c>
      <c r="J35" s="76">
        <v>10.68</v>
      </c>
    </row>
    <row r="36" spans="1:10" x14ac:dyDescent="0.25">
      <c r="A36" s="89">
        <v>35</v>
      </c>
      <c r="B36" s="90">
        <v>43533</v>
      </c>
      <c r="C36" s="91" t="s">
        <v>4313</v>
      </c>
      <c r="D36" s="91" t="s">
        <v>4320</v>
      </c>
      <c r="E36" s="92" t="s">
        <v>2128</v>
      </c>
      <c r="F36" s="93" t="s">
        <v>2129</v>
      </c>
      <c r="G36" s="92"/>
      <c r="H36" s="92"/>
      <c r="I36" s="89">
        <v>1</v>
      </c>
      <c r="J36" s="76">
        <v>31.28</v>
      </c>
    </row>
    <row r="37" spans="1:10" x14ac:dyDescent="0.25">
      <c r="A37" s="89">
        <v>36</v>
      </c>
      <c r="B37" s="90">
        <v>43533</v>
      </c>
      <c r="C37" s="91" t="s">
        <v>4313</v>
      </c>
      <c r="D37" s="91" t="s">
        <v>4320</v>
      </c>
      <c r="E37" s="92" t="s">
        <v>2130</v>
      </c>
      <c r="F37" s="93" t="s">
        <v>2131</v>
      </c>
      <c r="G37" s="92"/>
      <c r="H37" s="92"/>
      <c r="I37" s="89" t="s">
        <v>4323</v>
      </c>
      <c r="J37" s="76">
        <v>9.9</v>
      </c>
    </row>
    <row r="38" spans="1:10" x14ac:dyDescent="0.25">
      <c r="A38" s="89">
        <v>37</v>
      </c>
      <c r="B38" s="90">
        <v>43533</v>
      </c>
      <c r="C38" s="91" t="s">
        <v>4313</v>
      </c>
      <c r="D38" s="91" t="s">
        <v>4320</v>
      </c>
      <c r="E38" s="92" t="s">
        <v>2447</v>
      </c>
      <c r="F38" s="93" t="s">
        <v>2448</v>
      </c>
      <c r="G38" s="92"/>
      <c r="H38" s="92"/>
      <c r="I38" s="89">
        <v>2</v>
      </c>
      <c r="J38" s="76">
        <v>23.88</v>
      </c>
    </row>
    <row r="39" spans="1:10" x14ac:dyDescent="0.25">
      <c r="A39" s="89">
        <v>38</v>
      </c>
      <c r="B39" s="90">
        <v>43533</v>
      </c>
      <c r="C39" s="91" t="s">
        <v>4313</v>
      </c>
      <c r="D39" s="91" t="s">
        <v>4320</v>
      </c>
      <c r="E39" s="92" t="s">
        <v>2453</v>
      </c>
      <c r="F39" s="93" t="s">
        <v>2454</v>
      </c>
      <c r="G39" s="92"/>
      <c r="H39" s="92"/>
      <c r="I39" s="89">
        <v>1</v>
      </c>
      <c r="J39" s="76">
        <v>11.94</v>
      </c>
    </row>
    <row r="40" spans="1:10" x14ac:dyDescent="0.25">
      <c r="A40" s="89">
        <v>39</v>
      </c>
      <c r="B40" s="90">
        <v>43533</v>
      </c>
      <c r="C40" s="91" t="s">
        <v>4313</v>
      </c>
      <c r="D40" s="91" t="s">
        <v>4320</v>
      </c>
      <c r="E40" s="92" t="s">
        <v>2961</v>
      </c>
      <c r="F40" s="93" t="s">
        <v>2962</v>
      </c>
      <c r="G40" s="92"/>
      <c r="H40" s="92"/>
      <c r="I40" s="89">
        <v>1</v>
      </c>
      <c r="J40" s="76">
        <v>7.8000000000000007</v>
      </c>
    </row>
    <row r="41" spans="1:10" x14ac:dyDescent="0.25">
      <c r="A41" s="89">
        <v>40</v>
      </c>
      <c r="B41" s="90">
        <v>43533</v>
      </c>
      <c r="C41" s="91" t="s">
        <v>4313</v>
      </c>
      <c r="D41" s="91" t="s">
        <v>4320</v>
      </c>
      <c r="E41" s="92" t="s">
        <v>897</v>
      </c>
      <c r="F41" s="93" t="s">
        <v>898</v>
      </c>
      <c r="G41" s="92"/>
      <c r="H41" s="92"/>
      <c r="I41" s="89">
        <v>2</v>
      </c>
      <c r="J41" s="76">
        <v>12</v>
      </c>
    </row>
    <row r="42" spans="1:10" x14ac:dyDescent="0.25">
      <c r="A42" s="89">
        <v>41</v>
      </c>
      <c r="B42" s="90">
        <v>43533</v>
      </c>
      <c r="C42" s="91" t="s">
        <v>4313</v>
      </c>
      <c r="D42" s="91" t="s">
        <v>4320</v>
      </c>
      <c r="E42" s="92" t="s">
        <v>3515</v>
      </c>
      <c r="F42" s="93" t="s">
        <v>3516</v>
      </c>
      <c r="G42" s="92"/>
      <c r="H42" s="92"/>
      <c r="I42" s="89">
        <v>1</v>
      </c>
      <c r="J42" s="76">
        <v>9.9</v>
      </c>
    </row>
    <row r="43" spans="1:10" x14ac:dyDescent="0.25">
      <c r="A43" s="89">
        <v>42</v>
      </c>
      <c r="B43" s="90">
        <v>43533</v>
      </c>
      <c r="C43" s="91" t="s">
        <v>4313</v>
      </c>
      <c r="D43" s="91" t="s">
        <v>4325</v>
      </c>
      <c r="E43" s="92" t="s">
        <v>1614</v>
      </c>
      <c r="F43" s="93" t="s">
        <v>1615</v>
      </c>
      <c r="G43" s="92"/>
      <c r="H43" s="92"/>
      <c r="I43" s="89">
        <v>1</v>
      </c>
      <c r="J43" s="76">
        <v>7.5</v>
      </c>
    </row>
    <row r="44" spans="1:10" x14ac:dyDescent="0.25">
      <c r="A44" s="89">
        <v>43</v>
      </c>
      <c r="B44" s="90">
        <v>43533</v>
      </c>
      <c r="C44" s="91" t="s">
        <v>4313</v>
      </c>
      <c r="D44" s="91" t="s">
        <v>4325</v>
      </c>
      <c r="E44" s="92" t="s">
        <v>309</v>
      </c>
      <c r="F44" s="93" t="s">
        <v>310</v>
      </c>
      <c r="G44" s="92"/>
      <c r="H44" s="92"/>
      <c r="I44" s="89">
        <v>1</v>
      </c>
      <c r="J44" s="76">
        <v>7.5</v>
      </c>
    </row>
    <row r="45" spans="1:10" x14ac:dyDescent="0.25">
      <c r="A45" s="89">
        <v>44</v>
      </c>
      <c r="B45" s="90">
        <v>43533</v>
      </c>
      <c r="C45" s="91" t="s">
        <v>4313</v>
      </c>
      <c r="D45" s="91" t="s">
        <v>4325</v>
      </c>
      <c r="E45" s="92" t="s">
        <v>870</v>
      </c>
      <c r="F45" s="93" t="s">
        <v>871</v>
      </c>
      <c r="G45" s="92"/>
      <c r="H45" s="92"/>
      <c r="I45" s="89">
        <v>1</v>
      </c>
      <c r="J45" s="76">
        <v>8.2799999999999994</v>
      </c>
    </row>
    <row r="46" spans="1:10" x14ac:dyDescent="0.25">
      <c r="A46" s="89">
        <v>45</v>
      </c>
      <c r="B46" s="90">
        <v>43533</v>
      </c>
      <c r="C46" s="91" t="s">
        <v>4313</v>
      </c>
      <c r="D46" s="91" t="s">
        <v>4325</v>
      </c>
      <c r="E46" s="92" t="s">
        <v>436</v>
      </c>
      <c r="F46" s="93" t="s">
        <v>437</v>
      </c>
      <c r="G46" s="92"/>
      <c r="H46" s="92"/>
      <c r="I46" s="89">
        <v>1</v>
      </c>
      <c r="J46" s="76">
        <v>17.399999999999999</v>
      </c>
    </row>
    <row r="47" spans="1:10" x14ac:dyDescent="0.25">
      <c r="A47" s="89">
        <v>46</v>
      </c>
      <c r="B47" s="90">
        <v>43533</v>
      </c>
      <c r="C47" s="91" t="s">
        <v>4313</v>
      </c>
      <c r="D47" s="91" t="s">
        <v>4325</v>
      </c>
      <c r="E47" s="92" t="s">
        <v>2182</v>
      </c>
      <c r="F47" s="93" t="s">
        <v>2183</v>
      </c>
      <c r="G47" s="92"/>
      <c r="H47" s="92"/>
      <c r="I47" s="89">
        <v>1</v>
      </c>
      <c r="J47" s="76">
        <v>10.199999999999999</v>
      </c>
    </row>
    <row r="48" spans="1:10" x14ac:dyDescent="0.25">
      <c r="A48" s="89">
        <v>47</v>
      </c>
      <c r="B48" s="90">
        <v>43533</v>
      </c>
      <c r="C48" s="91" t="s">
        <v>4313</v>
      </c>
      <c r="D48" s="91" t="s">
        <v>4325</v>
      </c>
      <c r="E48" s="92" t="s">
        <v>2184</v>
      </c>
      <c r="F48" s="93" t="s">
        <v>2185</v>
      </c>
      <c r="G48" s="92"/>
      <c r="H48" s="92"/>
      <c r="I48" s="89">
        <v>1</v>
      </c>
      <c r="J48" s="76">
        <v>10.199999999999999</v>
      </c>
    </row>
    <row r="49" spans="1:10" x14ac:dyDescent="0.25">
      <c r="A49" s="89">
        <v>48</v>
      </c>
      <c r="B49" s="90">
        <v>43533</v>
      </c>
      <c r="C49" s="91" t="s">
        <v>4313</v>
      </c>
      <c r="D49" s="91" t="s">
        <v>4325</v>
      </c>
      <c r="E49" s="92" t="s">
        <v>2189</v>
      </c>
      <c r="F49" s="93" t="s">
        <v>2190</v>
      </c>
      <c r="G49" s="92"/>
      <c r="H49" s="92"/>
      <c r="I49" s="89">
        <v>1</v>
      </c>
      <c r="J49" s="76">
        <v>10.199999999999999</v>
      </c>
    </row>
    <row r="50" spans="1:10" x14ac:dyDescent="0.25">
      <c r="A50" s="89">
        <v>49</v>
      </c>
      <c r="B50" s="90">
        <v>43533</v>
      </c>
      <c r="C50" s="91" t="s">
        <v>4313</v>
      </c>
      <c r="D50" s="91" t="s">
        <v>4325</v>
      </c>
      <c r="E50" s="92" t="s">
        <v>2783</v>
      </c>
      <c r="F50" s="93" t="s">
        <v>2784</v>
      </c>
      <c r="G50" s="92"/>
      <c r="H50" s="92"/>
      <c r="I50" s="89">
        <v>1</v>
      </c>
      <c r="J50" s="76">
        <v>14.399999999999999</v>
      </c>
    </row>
    <row r="51" spans="1:10" x14ac:dyDescent="0.25">
      <c r="A51" s="89">
        <v>50</v>
      </c>
      <c r="B51" s="90">
        <v>43533</v>
      </c>
      <c r="C51" s="91" t="s">
        <v>4313</v>
      </c>
      <c r="D51" s="91" t="s">
        <v>4325</v>
      </c>
      <c r="E51" s="92" t="s">
        <v>2856</v>
      </c>
      <c r="F51" s="93" t="s">
        <v>2857</v>
      </c>
      <c r="G51" s="92"/>
      <c r="H51" s="92"/>
      <c r="I51" s="89">
        <v>1</v>
      </c>
      <c r="J51" s="76">
        <v>17</v>
      </c>
    </row>
    <row r="52" spans="1:10" x14ac:dyDescent="0.25">
      <c r="A52" s="89">
        <v>51</v>
      </c>
      <c r="B52" s="90">
        <v>43533</v>
      </c>
      <c r="C52" s="91" t="s">
        <v>4313</v>
      </c>
      <c r="D52" s="91" t="s">
        <v>4325</v>
      </c>
      <c r="E52" s="92" t="s">
        <v>2965</v>
      </c>
      <c r="F52" s="93" t="s">
        <v>2966</v>
      </c>
      <c r="G52" s="92"/>
      <c r="H52" s="92"/>
      <c r="I52" s="89">
        <v>1</v>
      </c>
      <c r="J52" s="76">
        <v>12.3</v>
      </c>
    </row>
    <row r="53" spans="1:10" x14ac:dyDescent="0.25">
      <c r="A53" s="89">
        <v>52</v>
      </c>
      <c r="B53" s="90">
        <v>43533</v>
      </c>
      <c r="C53" s="91" t="s">
        <v>4313</v>
      </c>
      <c r="D53" s="91" t="s">
        <v>4325</v>
      </c>
      <c r="E53" s="92" t="s">
        <v>2983</v>
      </c>
      <c r="F53" s="93" t="s">
        <v>2984</v>
      </c>
      <c r="G53" s="92"/>
      <c r="H53" s="92"/>
      <c r="I53" s="89">
        <v>1</v>
      </c>
      <c r="J53" s="76">
        <v>20.099999999999998</v>
      </c>
    </row>
    <row r="54" spans="1:10" x14ac:dyDescent="0.25">
      <c r="A54" s="89">
        <v>53</v>
      </c>
      <c r="B54" s="90">
        <v>43533</v>
      </c>
      <c r="C54" s="91" t="s">
        <v>4313</v>
      </c>
      <c r="D54" s="91" t="s">
        <v>4325</v>
      </c>
      <c r="E54" s="92" t="s">
        <v>897</v>
      </c>
      <c r="F54" s="93" t="s">
        <v>898</v>
      </c>
      <c r="G54" s="92"/>
      <c r="H54" s="92"/>
      <c r="I54" s="89">
        <v>2</v>
      </c>
      <c r="J54" s="76">
        <v>12</v>
      </c>
    </row>
    <row r="55" spans="1:10" x14ac:dyDescent="0.25">
      <c r="A55" s="89">
        <v>54</v>
      </c>
      <c r="B55" s="90">
        <v>43533</v>
      </c>
      <c r="C55" s="91" t="s">
        <v>4313</v>
      </c>
      <c r="D55" s="91" t="s">
        <v>4325</v>
      </c>
      <c r="E55" s="92" t="s">
        <v>873</v>
      </c>
      <c r="F55" s="93" t="s">
        <v>874</v>
      </c>
      <c r="G55" s="92"/>
      <c r="H55" s="92"/>
      <c r="I55" s="89">
        <v>2</v>
      </c>
      <c r="J55" s="76">
        <v>30.3</v>
      </c>
    </row>
    <row r="56" spans="1:10" x14ac:dyDescent="0.25">
      <c r="A56" s="89">
        <v>55</v>
      </c>
      <c r="B56" s="90">
        <v>43533</v>
      </c>
      <c r="C56" s="91" t="s">
        <v>4313</v>
      </c>
      <c r="D56" s="91" t="s">
        <v>4325</v>
      </c>
      <c r="E56" s="92" t="s">
        <v>877</v>
      </c>
      <c r="F56" s="93" t="s">
        <v>878</v>
      </c>
      <c r="G56" s="92"/>
      <c r="H56" s="92"/>
      <c r="I56" s="89">
        <v>2</v>
      </c>
      <c r="J56" s="76">
        <v>25.5</v>
      </c>
    </row>
    <row r="57" spans="1:10" x14ac:dyDescent="0.25">
      <c r="A57" s="89">
        <v>56</v>
      </c>
      <c r="B57" s="90">
        <v>43533</v>
      </c>
      <c r="C57" s="91" t="s">
        <v>4313</v>
      </c>
      <c r="D57" s="91" t="s">
        <v>4325</v>
      </c>
      <c r="E57" s="92" t="s">
        <v>3603</v>
      </c>
      <c r="F57" s="93" t="s">
        <v>4326</v>
      </c>
      <c r="G57" s="92"/>
      <c r="H57" s="92"/>
      <c r="I57" s="89">
        <v>1</v>
      </c>
      <c r="J57" s="76">
        <v>19.04</v>
      </c>
    </row>
    <row r="58" spans="1:10" x14ac:dyDescent="0.25">
      <c r="A58" s="89">
        <v>57</v>
      </c>
      <c r="B58" s="90">
        <v>43533</v>
      </c>
      <c r="C58" s="91" t="s">
        <v>4313</v>
      </c>
      <c r="D58" s="91" t="s">
        <v>4328</v>
      </c>
      <c r="E58" s="92" t="s">
        <v>891</v>
      </c>
      <c r="F58" s="93" t="s">
        <v>892</v>
      </c>
      <c r="G58" s="92"/>
      <c r="H58" s="92"/>
      <c r="I58" s="89">
        <v>2</v>
      </c>
      <c r="J58" s="76">
        <v>67.92</v>
      </c>
    </row>
    <row r="59" spans="1:10" x14ac:dyDescent="0.25">
      <c r="A59" s="89">
        <v>58</v>
      </c>
      <c r="B59" s="90">
        <v>43533</v>
      </c>
      <c r="C59" s="91" t="s">
        <v>4313</v>
      </c>
      <c r="D59" s="91" t="s">
        <v>4330</v>
      </c>
      <c r="E59" s="92" t="s">
        <v>1064</v>
      </c>
      <c r="F59" s="93" t="s">
        <v>1065</v>
      </c>
      <c r="G59" s="92"/>
      <c r="H59" s="92"/>
      <c r="I59" s="89">
        <v>1</v>
      </c>
      <c r="J59" s="76">
        <v>14.64</v>
      </c>
    </row>
    <row r="60" spans="1:10" x14ac:dyDescent="0.25">
      <c r="A60" s="89">
        <v>59</v>
      </c>
      <c r="B60" s="90">
        <v>43533</v>
      </c>
      <c r="C60" s="91" t="s">
        <v>4313</v>
      </c>
      <c r="D60" s="91" t="s">
        <v>4330</v>
      </c>
      <c r="E60" s="92" t="s">
        <v>1070</v>
      </c>
      <c r="F60" s="93" t="s">
        <v>1071</v>
      </c>
      <c r="G60" s="92"/>
      <c r="H60" s="92"/>
      <c r="I60" s="89">
        <v>1</v>
      </c>
      <c r="J60" s="76">
        <v>14.64</v>
      </c>
    </row>
    <row r="61" spans="1:10" x14ac:dyDescent="0.25">
      <c r="A61" s="89">
        <v>60</v>
      </c>
      <c r="B61" s="90">
        <v>43533</v>
      </c>
      <c r="C61" s="91" t="s">
        <v>4313</v>
      </c>
      <c r="D61" s="91" t="s">
        <v>4330</v>
      </c>
      <c r="E61" s="92" t="s">
        <v>906</v>
      </c>
      <c r="F61" s="93" t="s">
        <v>907</v>
      </c>
      <c r="G61" s="92"/>
      <c r="H61" s="92"/>
      <c r="I61" s="89">
        <v>1</v>
      </c>
      <c r="J61" s="76">
        <v>34.5</v>
      </c>
    </row>
    <row r="62" spans="1:10" x14ac:dyDescent="0.25">
      <c r="A62" s="89">
        <v>61</v>
      </c>
      <c r="B62" s="90">
        <v>43533</v>
      </c>
      <c r="C62" s="91" t="s">
        <v>4313</v>
      </c>
      <c r="D62" s="91" t="s">
        <v>4330</v>
      </c>
      <c r="E62" s="92" t="s">
        <v>232</v>
      </c>
      <c r="F62" s="93" t="s">
        <v>233</v>
      </c>
      <c r="G62" s="92"/>
      <c r="H62" s="92"/>
      <c r="I62" s="89">
        <v>3</v>
      </c>
      <c r="J62" s="76">
        <v>31.5</v>
      </c>
    </row>
    <row r="63" spans="1:10" x14ac:dyDescent="0.25">
      <c r="A63" s="89">
        <v>62</v>
      </c>
      <c r="B63" s="90">
        <v>43533</v>
      </c>
      <c r="C63" s="91" t="s">
        <v>4313</v>
      </c>
      <c r="D63" s="91" t="s">
        <v>4330</v>
      </c>
      <c r="E63" s="92" t="s">
        <v>908</v>
      </c>
      <c r="F63" s="93" t="s">
        <v>909</v>
      </c>
      <c r="G63" s="92"/>
      <c r="H63" s="92"/>
      <c r="I63" s="89">
        <v>1</v>
      </c>
      <c r="J63" s="76">
        <v>7.9</v>
      </c>
    </row>
    <row r="64" spans="1:10" x14ac:dyDescent="0.25">
      <c r="A64" s="89">
        <v>63</v>
      </c>
      <c r="B64" s="90">
        <v>43533</v>
      </c>
      <c r="C64" s="91" t="s">
        <v>4313</v>
      </c>
      <c r="D64" s="91" t="s">
        <v>4330</v>
      </c>
      <c r="E64" s="92" t="s">
        <v>267</v>
      </c>
      <c r="F64" s="93" t="s">
        <v>268</v>
      </c>
      <c r="G64" s="92"/>
      <c r="H64" s="92"/>
      <c r="I64" s="89">
        <v>1</v>
      </c>
      <c r="J64" s="76">
        <v>7.9</v>
      </c>
    </row>
    <row r="65" spans="1:10" x14ac:dyDescent="0.25">
      <c r="A65" s="89">
        <v>64</v>
      </c>
      <c r="B65" s="90">
        <v>43533</v>
      </c>
      <c r="C65" s="91" t="s">
        <v>4313</v>
      </c>
      <c r="D65" s="91" t="s">
        <v>4330</v>
      </c>
      <c r="E65" s="92" t="s">
        <v>1646</v>
      </c>
      <c r="F65" s="93" t="s">
        <v>1647</v>
      </c>
      <c r="G65" s="92"/>
      <c r="H65" s="92"/>
      <c r="I65" s="89">
        <v>1</v>
      </c>
      <c r="J65" s="76">
        <v>7.9</v>
      </c>
    </row>
    <row r="66" spans="1:10" x14ac:dyDescent="0.25">
      <c r="A66" s="89">
        <v>65</v>
      </c>
      <c r="B66" s="90">
        <v>43533</v>
      </c>
      <c r="C66" s="91" t="s">
        <v>4313</v>
      </c>
      <c r="D66" s="91" t="s">
        <v>4330</v>
      </c>
      <c r="E66" s="92" t="s">
        <v>309</v>
      </c>
      <c r="F66" s="93" t="s">
        <v>310</v>
      </c>
      <c r="G66" s="92"/>
      <c r="H66" s="92"/>
      <c r="I66" s="89">
        <v>1</v>
      </c>
      <c r="J66" s="76">
        <v>7.9</v>
      </c>
    </row>
    <row r="67" spans="1:10" x14ac:dyDescent="0.25">
      <c r="A67" s="89">
        <v>66</v>
      </c>
      <c r="B67" s="90">
        <v>43533</v>
      </c>
      <c r="C67" s="91" t="s">
        <v>4313</v>
      </c>
      <c r="D67" s="91" t="s">
        <v>4330</v>
      </c>
      <c r="E67" s="92" t="s">
        <v>321</v>
      </c>
      <c r="F67" s="93" t="s">
        <v>322</v>
      </c>
      <c r="G67" s="92"/>
      <c r="H67" s="92"/>
      <c r="I67" s="89">
        <v>1</v>
      </c>
      <c r="J67" s="76">
        <v>7.9</v>
      </c>
    </row>
    <row r="68" spans="1:10" x14ac:dyDescent="0.25">
      <c r="A68" s="89">
        <v>67</v>
      </c>
      <c r="B68" s="90">
        <v>43533</v>
      </c>
      <c r="C68" s="91" t="s">
        <v>4313</v>
      </c>
      <c r="D68" s="91" t="s">
        <v>4330</v>
      </c>
      <c r="E68" s="92" t="s">
        <v>741</v>
      </c>
      <c r="F68" s="93" t="s">
        <v>742</v>
      </c>
      <c r="G68" s="92"/>
      <c r="H68" s="92"/>
      <c r="I68" s="89">
        <v>1</v>
      </c>
      <c r="J68" s="76">
        <v>7.08</v>
      </c>
    </row>
    <row r="69" spans="1:10" x14ac:dyDescent="0.25">
      <c r="A69" s="89">
        <v>68</v>
      </c>
      <c r="B69" s="90">
        <v>43533</v>
      </c>
      <c r="C69" s="91" t="s">
        <v>4313</v>
      </c>
      <c r="D69" s="91" t="s">
        <v>4330</v>
      </c>
      <c r="E69" s="92" t="s">
        <v>2062</v>
      </c>
      <c r="F69" s="93" t="s">
        <v>2063</v>
      </c>
      <c r="G69" s="92"/>
      <c r="H69" s="92"/>
      <c r="I69" s="89">
        <v>1</v>
      </c>
      <c r="J69" s="76">
        <v>16.32</v>
      </c>
    </row>
    <row r="70" spans="1:10" x14ac:dyDescent="0.25">
      <c r="A70" s="89">
        <v>69</v>
      </c>
      <c r="B70" s="90">
        <v>43533</v>
      </c>
      <c r="C70" s="91" t="s">
        <v>4313</v>
      </c>
      <c r="D70" s="91" t="s">
        <v>4330</v>
      </c>
      <c r="E70" s="92" t="s">
        <v>891</v>
      </c>
      <c r="F70" s="93" t="s">
        <v>892</v>
      </c>
      <c r="G70" s="92"/>
      <c r="H70" s="92"/>
      <c r="I70" s="89">
        <v>1</v>
      </c>
      <c r="J70" s="76">
        <v>33.96</v>
      </c>
    </row>
    <row r="71" spans="1:10" x14ac:dyDescent="0.25">
      <c r="A71" s="89">
        <v>70</v>
      </c>
      <c r="B71" s="90">
        <v>43533</v>
      </c>
      <c r="C71" s="91" t="s">
        <v>4313</v>
      </c>
      <c r="D71" s="91" t="s">
        <v>4330</v>
      </c>
      <c r="E71" s="92" t="s">
        <v>2198</v>
      </c>
      <c r="F71" s="93" t="s">
        <v>2199</v>
      </c>
      <c r="G71" s="92"/>
      <c r="H71" s="92"/>
      <c r="I71" s="89">
        <v>1</v>
      </c>
      <c r="J71" s="76">
        <v>23.88</v>
      </c>
    </row>
    <row r="72" spans="1:10" x14ac:dyDescent="0.25">
      <c r="A72" s="89">
        <v>71</v>
      </c>
      <c r="B72" s="90">
        <v>43533</v>
      </c>
      <c r="C72" s="91" t="s">
        <v>4313</v>
      </c>
      <c r="D72" s="91" t="s">
        <v>4330</v>
      </c>
      <c r="E72" s="92" t="s">
        <v>2437</v>
      </c>
      <c r="F72" s="93" t="s">
        <v>2438</v>
      </c>
      <c r="G72" s="92"/>
      <c r="H72" s="92"/>
      <c r="I72" s="89">
        <v>1</v>
      </c>
      <c r="J72" s="76">
        <v>10</v>
      </c>
    </row>
    <row r="73" spans="1:10" x14ac:dyDescent="0.25">
      <c r="A73" s="89">
        <v>72</v>
      </c>
      <c r="B73" s="90">
        <v>43533</v>
      </c>
      <c r="C73" s="91" t="s">
        <v>4313</v>
      </c>
      <c r="D73" s="91" t="s">
        <v>4330</v>
      </c>
      <c r="E73" s="92" t="s">
        <v>2455</v>
      </c>
      <c r="F73" s="93" t="s">
        <v>2456</v>
      </c>
      <c r="G73" s="92"/>
      <c r="H73" s="92"/>
      <c r="I73" s="89">
        <v>1</v>
      </c>
      <c r="J73" s="76">
        <v>10</v>
      </c>
    </row>
    <row r="74" spans="1:10" x14ac:dyDescent="0.25">
      <c r="A74" s="89">
        <v>73</v>
      </c>
      <c r="B74" s="90">
        <v>43533</v>
      </c>
      <c r="C74" s="91" t="s">
        <v>4313</v>
      </c>
      <c r="D74" s="91" t="s">
        <v>4330</v>
      </c>
      <c r="E74" s="92" t="s">
        <v>2457</v>
      </c>
      <c r="F74" s="93" t="s">
        <v>2458</v>
      </c>
      <c r="G74" s="92"/>
      <c r="H74" s="92"/>
      <c r="I74" s="89">
        <v>1</v>
      </c>
      <c r="J74" s="76">
        <v>10</v>
      </c>
    </row>
    <row r="75" spans="1:10" x14ac:dyDescent="0.25">
      <c r="A75" s="89">
        <v>74</v>
      </c>
      <c r="B75" s="90">
        <v>43533</v>
      </c>
      <c r="C75" s="91" t="s">
        <v>4313</v>
      </c>
      <c r="D75" s="91" t="s">
        <v>4330</v>
      </c>
      <c r="E75" s="92" t="s">
        <v>2473</v>
      </c>
      <c r="F75" s="93" t="s">
        <v>2474</v>
      </c>
      <c r="G75" s="92"/>
      <c r="H75" s="92"/>
      <c r="I75" s="89">
        <v>1</v>
      </c>
      <c r="J75" s="76">
        <v>19.080000000000002</v>
      </c>
    </row>
    <row r="76" spans="1:10" x14ac:dyDescent="0.25">
      <c r="A76" s="89">
        <v>75</v>
      </c>
      <c r="B76" s="90">
        <v>43533</v>
      </c>
      <c r="C76" s="91" t="s">
        <v>4313</v>
      </c>
      <c r="D76" s="91" t="s">
        <v>4330</v>
      </c>
      <c r="E76" s="92" t="s">
        <v>2957</v>
      </c>
      <c r="F76" s="93" t="s">
        <v>2958</v>
      </c>
      <c r="G76" s="92"/>
      <c r="H76" s="92"/>
      <c r="I76" s="89">
        <v>1</v>
      </c>
      <c r="J76" s="76">
        <v>15.54</v>
      </c>
    </row>
    <row r="77" spans="1:10" x14ac:dyDescent="0.25">
      <c r="A77" s="89">
        <v>76</v>
      </c>
      <c r="B77" s="90">
        <v>43533</v>
      </c>
      <c r="C77" s="91" t="s">
        <v>4313</v>
      </c>
      <c r="D77" s="91" t="s">
        <v>4330</v>
      </c>
      <c r="E77" s="92" t="s">
        <v>3168</v>
      </c>
      <c r="F77" s="93" t="s">
        <v>3169</v>
      </c>
      <c r="G77" s="92"/>
      <c r="H77" s="92"/>
      <c r="I77" s="89">
        <v>1</v>
      </c>
      <c r="J77" s="76">
        <v>10.74</v>
      </c>
    </row>
    <row r="78" spans="1:10" x14ac:dyDescent="0.25">
      <c r="A78" s="89">
        <v>77</v>
      </c>
      <c r="B78" s="90">
        <v>43533</v>
      </c>
      <c r="C78" s="91" t="s">
        <v>4313</v>
      </c>
      <c r="D78" s="91" t="s">
        <v>4330</v>
      </c>
      <c r="E78" s="92" t="s">
        <v>3639</v>
      </c>
      <c r="F78" s="93" t="s">
        <v>3640</v>
      </c>
      <c r="G78" s="92"/>
      <c r="H78" s="92"/>
      <c r="I78" s="89">
        <v>1</v>
      </c>
      <c r="J78" s="76">
        <v>17.849999999999998</v>
      </c>
    </row>
    <row r="79" spans="1:10" x14ac:dyDescent="0.25">
      <c r="A79" s="89">
        <v>78</v>
      </c>
      <c r="B79" s="90">
        <v>43533</v>
      </c>
      <c r="C79" s="91" t="s">
        <v>4313</v>
      </c>
      <c r="D79" s="91" t="s">
        <v>4332</v>
      </c>
      <c r="E79" s="92" t="s">
        <v>1207</v>
      </c>
      <c r="F79" s="93" t="s">
        <v>4333</v>
      </c>
      <c r="G79" s="92"/>
      <c r="H79" s="92"/>
      <c r="I79" s="89">
        <v>15</v>
      </c>
      <c r="J79" s="76">
        <v>30</v>
      </c>
    </row>
    <row r="80" spans="1:10" x14ac:dyDescent="0.25">
      <c r="A80" s="89">
        <v>79</v>
      </c>
      <c r="B80" s="90">
        <v>43533</v>
      </c>
      <c r="C80" s="91" t="s">
        <v>4313</v>
      </c>
      <c r="D80" s="91" t="s">
        <v>4332</v>
      </c>
      <c r="E80" s="92" t="s">
        <v>2405</v>
      </c>
      <c r="F80" s="93" t="s">
        <v>2406</v>
      </c>
      <c r="G80" s="92"/>
      <c r="H80" s="92"/>
      <c r="I80" s="89">
        <v>1</v>
      </c>
      <c r="J80" s="76">
        <v>15.48</v>
      </c>
    </row>
    <row r="81" spans="1:10" x14ac:dyDescent="0.25">
      <c r="A81" s="89">
        <v>80</v>
      </c>
      <c r="B81" s="90">
        <v>43533</v>
      </c>
      <c r="C81" s="91" t="s">
        <v>4313</v>
      </c>
      <c r="D81" s="91" t="s">
        <v>4332</v>
      </c>
      <c r="E81" s="92" t="s">
        <v>2583</v>
      </c>
      <c r="F81" s="93" t="s">
        <v>2584</v>
      </c>
      <c r="G81" s="92"/>
      <c r="H81" s="92"/>
      <c r="I81" s="89">
        <v>2</v>
      </c>
      <c r="J81" s="76">
        <v>30</v>
      </c>
    </row>
    <row r="82" spans="1:10" x14ac:dyDescent="0.25">
      <c r="A82" s="89">
        <v>81</v>
      </c>
      <c r="B82" s="90">
        <v>43533</v>
      </c>
      <c r="C82" s="91" t="s">
        <v>4313</v>
      </c>
      <c r="D82" s="91" t="s">
        <v>4332</v>
      </c>
      <c r="E82" s="92" t="s">
        <v>2614</v>
      </c>
      <c r="F82" s="93" t="s">
        <v>2615</v>
      </c>
      <c r="G82" s="92"/>
      <c r="H82" s="92"/>
      <c r="I82" s="89">
        <v>1</v>
      </c>
      <c r="J82" s="76">
        <v>30.96</v>
      </c>
    </row>
    <row r="83" spans="1:10" x14ac:dyDescent="0.25">
      <c r="A83" s="89">
        <v>82</v>
      </c>
      <c r="B83" s="90">
        <v>43533</v>
      </c>
      <c r="C83" s="91" t="s">
        <v>4313</v>
      </c>
      <c r="D83" s="91" t="s">
        <v>4332</v>
      </c>
      <c r="E83" s="92" t="s">
        <v>2616</v>
      </c>
      <c r="F83" s="93" t="s">
        <v>2617</v>
      </c>
      <c r="G83" s="92"/>
      <c r="H83" s="92"/>
      <c r="I83" s="89">
        <v>1</v>
      </c>
      <c r="J83" s="76">
        <v>30.96</v>
      </c>
    </row>
    <row r="84" spans="1:10" x14ac:dyDescent="0.25">
      <c r="A84" s="89">
        <v>83</v>
      </c>
      <c r="B84" s="90">
        <v>43533</v>
      </c>
      <c r="C84" s="91" t="s">
        <v>4313</v>
      </c>
      <c r="D84" s="91" t="s">
        <v>4332</v>
      </c>
      <c r="E84" s="92" t="s">
        <v>2618</v>
      </c>
      <c r="F84" s="93" t="s">
        <v>2619</v>
      </c>
      <c r="G84" s="92"/>
      <c r="H84" s="92"/>
      <c r="I84" s="89">
        <v>1</v>
      </c>
      <c r="J84" s="76">
        <v>30.96</v>
      </c>
    </row>
    <row r="85" spans="1:10" x14ac:dyDescent="0.25">
      <c r="A85" s="89">
        <v>84</v>
      </c>
      <c r="B85" s="90">
        <v>43533</v>
      </c>
      <c r="C85" s="91" t="s">
        <v>4313</v>
      </c>
      <c r="D85" s="91" t="s">
        <v>4332</v>
      </c>
      <c r="E85" s="92" t="s">
        <v>2957</v>
      </c>
      <c r="F85" s="93" t="s">
        <v>2958</v>
      </c>
      <c r="G85" s="92"/>
      <c r="H85" s="92"/>
      <c r="I85" s="89">
        <v>1</v>
      </c>
      <c r="J85" s="76">
        <v>15.54</v>
      </c>
    </row>
    <row r="86" spans="1:10" x14ac:dyDescent="0.25">
      <c r="A86" s="89">
        <v>85</v>
      </c>
      <c r="B86" s="90">
        <v>43533</v>
      </c>
      <c r="C86" s="91" t="s">
        <v>4313</v>
      </c>
      <c r="D86" s="91" t="s">
        <v>4332</v>
      </c>
      <c r="E86" s="92" t="s">
        <v>3513</v>
      </c>
      <c r="F86" s="93" t="s">
        <v>3514</v>
      </c>
      <c r="G86" s="92"/>
      <c r="H86" s="92"/>
      <c r="I86" s="89">
        <v>1</v>
      </c>
      <c r="J86" s="76">
        <v>13.74</v>
      </c>
    </row>
    <row r="87" spans="1:10" x14ac:dyDescent="0.25">
      <c r="A87" s="89">
        <v>86</v>
      </c>
      <c r="B87" s="90">
        <v>43533</v>
      </c>
      <c r="C87" s="91" t="s">
        <v>4313</v>
      </c>
      <c r="D87" s="91" t="s">
        <v>4332</v>
      </c>
      <c r="E87" s="92" t="s">
        <v>3525</v>
      </c>
      <c r="F87" s="93" t="s">
        <v>3526</v>
      </c>
      <c r="G87" s="92"/>
      <c r="H87" s="92"/>
      <c r="I87" s="89">
        <v>1</v>
      </c>
      <c r="J87" s="76">
        <v>9.8000000000000007</v>
      </c>
    </row>
    <row r="88" spans="1:10" x14ac:dyDescent="0.25">
      <c r="A88" s="89">
        <v>87</v>
      </c>
      <c r="B88" s="90">
        <v>43533</v>
      </c>
      <c r="C88" s="91" t="s">
        <v>4313</v>
      </c>
      <c r="D88" s="91" t="s">
        <v>4332</v>
      </c>
      <c r="E88" s="92" t="s">
        <v>3548</v>
      </c>
      <c r="F88" s="93" t="s">
        <v>3549</v>
      </c>
      <c r="G88" s="92"/>
      <c r="H88" s="92"/>
      <c r="I88" s="89">
        <v>1</v>
      </c>
      <c r="J88" s="76">
        <v>24.75</v>
      </c>
    </row>
    <row r="89" spans="1:10" x14ac:dyDescent="0.25">
      <c r="A89" s="89">
        <v>88</v>
      </c>
      <c r="B89" s="90">
        <v>43533</v>
      </c>
      <c r="C89" s="91" t="s">
        <v>4313</v>
      </c>
      <c r="D89" s="91" t="s">
        <v>4335</v>
      </c>
      <c r="E89" s="92" t="s">
        <v>224</v>
      </c>
      <c r="F89" s="93" t="s">
        <v>225</v>
      </c>
      <c r="G89" s="92"/>
      <c r="H89" s="92"/>
      <c r="I89" s="89">
        <v>3</v>
      </c>
      <c r="J89" s="76">
        <v>31.47</v>
      </c>
    </row>
    <row r="90" spans="1:10" x14ac:dyDescent="0.25">
      <c r="A90" s="89">
        <v>89</v>
      </c>
      <c r="B90" s="90">
        <v>43533</v>
      </c>
      <c r="C90" s="91" t="s">
        <v>4313</v>
      </c>
      <c r="D90" s="91" t="s">
        <v>4335</v>
      </c>
      <c r="E90" s="92" t="s">
        <v>230</v>
      </c>
      <c r="F90" s="93" t="s">
        <v>231</v>
      </c>
      <c r="G90" s="92"/>
      <c r="H90" s="92"/>
      <c r="I90" s="89">
        <v>6</v>
      </c>
      <c r="J90" s="76">
        <v>35.94</v>
      </c>
    </row>
    <row r="91" spans="1:10" x14ac:dyDescent="0.25">
      <c r="A91" s="89">
        <v>90</v>
      </c>
      <c r="B91" s="90">
        <v>43533</v>
      </c>
      <c r="C91" s="91" t="s">
        <v>4313</v>
      </c>
      <c r="D91" s="91" t="s">
        <v>4335</v>
      </c>
      <c r="E91" s="92" t="s">
        <v>232</v>
      </c>
      <c r="F91" s="93" t="s">
        <v>233</v>
      </c>
      <c r="G91" s="92"/>
      <c r="H91" s="92"/>
      <c r="I91" s="89">
        <v>4</v>
      </c>
      <c r="J91" s="76">
        <v>43.96</v>
      </c>
    </row>
    <row r="92" spans="1:10" x14ac:dyDescent="0.25">
      <c r="A92" s="89">
        <v>91</v>
      </c>
      <c r="B92" s="90">
        <v>43533</v>
      </c>
      <c r="C92" s="91" t="s">
        <v>4313</v>
      </c>
      <c r="D92" s="91" t="s">
        <v>4335</v>
      </c>
      <c r="E92" s="92" t="s">
        <v>1598</v>
      </c>
      <c r="F92" s="93" t="s">
        <v>1599</v>
      </c>
      <c r="G92" s="92"/>
      <c r="H92" s="92"/>
      <c r="I92" s="89">
        <v>3</v>
      </c>
      <c r="J92" s="76">
        <v>23.700000000000003</v>
      </c>
    </row>
    <row r="93" spans="1:10" x14ac:dyDescent="0.25">
      <c r="A93" s="89">
        <v>92</v>
      </c>
      <c r="B93" s="90">
        <v>43533</v>
      </c>
      <c r="C93" s="91" t="s">
        <v>4313</v>
      </c>
      <c r="D93" s="91" t="s">
        <v>4335</v>
      </c>
      <c r="E93" s="92" t="s">
        <v>267</v>
      </c>
      <c r="F93" s="93" t="s">
        <v>268</v>
      </c>
      <c r="G93" s="92"/>
      <c r="H93" s="92"/>
      <c r="I93" s="89">
        <v>2</v>
      </c>
      <c r="J93" s="76">
        <v>15.8</v>
      </c>
    </row>
    <row r="94" spans="1:10" x14ac:dyDescent="0.25">
      <c r="A94" s="89">
        <v>93</v>
      </c>
      <c r="B94" s="90">
        <v>43533</v>
      </c>
      <c r="C94" s="91" t="s">
        <v>4313</v>
      </c>
      <c r="D94" s="91" t="s">
        <v>4335</v>
      </c>
      <c r="E94" s="92" t="s">
        <v>319</v>
      </c>
      <c r="F94" s="93" t="s">
        <v>320</v>
      </c>
      <c r="G94" s="92"/>
      <c r="H94" s="92"/>
      <c r="I94" s="89">
        <v>2</v>
      </c>
      <c r="J94" s="76">
        <v>15</v>
      </c>
    </row>
    <row r="95" spans="1:10" x14ac:dyDescent="0.25">
      <c r="A95" s="89">
        <v>94</v>
      </c>
      <c r="B95" s="90">
        <v>43533</v>
      </c>
      <c r="C95" s="91" t="s">
        <v>4313</v>
      </c>
      <c r="D95" s="91" t="s">
        <v>4335</v>
      </c>
      <c r="E95" s="92" t="s">
        <v>327</v>
      </c>
      <c r="F95" s="93" t="s">
        <v>328</v>
      </c>
      <c r="G95" s="92"/>
      <c r="H95" s="92"/>
      <c r="I95" s="89">
        <v>2</v>
      </c>
      <c r="J95" s="76">
        <v>25.5</v>
      </c>
    </row>
    <row r="96" spans="1:10" x14ac:dyDescent="0.25">
      <c r="A96" s="89">
        <v>95</v>
      </c>
      <c r="B96" s="90">
        <v>43533</v>
      </c>
      <c r="C96" s="91" t="s">
        <v>4313</v>
      </c>
      <c r="D96" s="91" t="s">
        <v>4335</v>
      </c>
      <c r="E96" s="92" t="s">
        <v>507</v>
      </c>
      <c r="F96" s="93" t="s">
        <v>508</v>
      </c>
      <c r="G96" s="92"/>
      <c r="H96" s="92"/>
      <c r="I96" s="89">
        <v>1</v>
      </c>
      <c r="J96" s="76">
        <v>5.9399999999999995</v>
      </c>
    </row>
    <row r="97" spans="1:10" x14ac:dyDescent="0.25">
      <c r="A97" s="89">
        <v>96</v>
      </c>
      <c r="B97" s="90">
        <v>43533</v>
      </c>
      <c r="C97" s="91" t="s">
        <v>4313</v>
      </c>
      <c r="D97" s="91" t="s">
        <v>4335</v>
      </c>
      <c r="E97" s="92" t="s">
        <v>1942</v>
      </c>
      <c r="F97" s="93" t="s">
        <v>1943</v>
      </c>
      <c r="G97" s="92"/>
      <c r="H97" s="92"/>
      <c r="I97" s="89">
        <v>1</v>
      </c>
      <c r="J97" s="76">
        <v>8.5</v>
      </c>
    </row>
    <row r="98" spans="1:10" x14ac:dyDescent="0.25">
      <c r="A98" s="89">
        <v>97</v>
      </c>
      <c r="B98" s="90">
        <v>43533</v>
      </c>
      <c r="C98" s="91" t="s">
        <v>4313</v>
      </c>
      <c r="D98" s="91" t="s">
        <v>4335</v>
      </c>
      <c r="E98" s="92" t="s">
        <v>1946</v>
      </c>
      <c r="F98" s="93" t="s">
        <v>1947</v>
      </c>
      <c r="G98" s="92"/>
      <c r="H98" s="92"/>
      <c r="I98" s="89">
        <v>3</v>
      </c>
      <c r="J98" s="76">
        <v>25.5</v>
      </c>
    </row>
    <row r="99" spans="1:10" x14ac:dyDescent="0.25">
      <c r="A99" s="89">
        <v>98</v>
      </c>
      <c r="B99" s="90">
        <v>43533</v>
      </c>
      <c r="C99" s="91" t="s">
        <v>4313</v>
      </c>
      <c r="D99" s="91" t="s">
        <v>4335</v>
      </c>
      <c r="E99" s="92" t="s">
        <v>1974</v>
      </c>
      <c r="F99" s="93" t="s">
        <v>1975</v>
      </c>
      <c r="G99" s="92"/>
      <c r="H99" s="92"/>
      <c r="I99" s="89">
        <v>1</v>
      </c>
      <c r="J99" s="76">
        <v>7.08</v>
      </c>
    </row>
    <row r="100" spans="1:10" x14ac:dyDescent="0.25">
      <c r="A100" s="89">
        <v>99</v>
      </c>
      <c r="B100" s="90">
        <v>43533</v>
      </c>
      <c r="C100" s="91" t="s">
        <v>4313</v>
      </c>
      <c r="D100" s="91" t="s">
        <v>4335</v>
      </c>
      <c r="E100" s="92" t="s">
        <v>891</v>
      </c>
      <c r="F100" s="93" t="s">
        <v>892</v>
      </c>
      <c r="G100" s="92"/>
      <c r="H100" s="92"/>
      <c r="I100" s="89">
        <v>2</v>
      </c>
      <c r="J100" s="76">
        <v>67.599999999999994</v>
      </c>
    </row>
    <row r="101" spans="1:10" x14ac:dyDescent="0.25">
      <c r="A101" s="89">
        <v>100</v>
      </c>
      <c r="B101" s="90">
        <v>43533</v>
      </c>
      <c r="C101" s="91" t="s">
        <v>4313</v>
      </c>
      <c r="D101" s="91" t="s">
        <v>4335</v>
      </c>
      <c r="E101" s="92" t="s">
        <v>2126</v>
      </c>
      <c r="F101" s="93" t="s">
        <v>2127</v>
      </c>
      <c r="G101" s="92"/>
      <c r="H101" s="92"/>
      <c r="I101" s="89">
        <v>1</v>
      </c>
      <c r="J101" s="76">
        <v>31.96</v>
      </c>
    </row>
    <row r="102" spans="1:10" x14ac:dyDescent="0.25">
      <c r="A102" s="89">
        <v>101</v>
      </c>
      <c r="B102" s="90">
        <v>43533</v>
      </c>
      <c r="C102" s="91" t="s">
        <v>4313</v>
      </c>
      <c r="D102" s="91" t="s">
        <v>4335</v>
      </c>
      <c r="E102" s="92" t="s">
        <v>897</v>
      </c>
      <c r="F102" s="93" t="s">
        <v>898</v>
      </c>
      <c r="G102" s="92"/>
      <c r="H102" s="92"/>
      <c r="I102" s="89">
        <v>4</v>
      </c>
      <c r="J102" s="76">
        <v>24</v>
      </c>
    </row>
    <row r="103" spans="1:10" x14ac:dyDescent="0.25">
      <c r="A103" s="89">
        <v>102</v>
      </c>
      <c r="B103" s="90">
        <v>43594</v>
      </c>
      <c r="C103" s="91" t="s">
        <v>4313</v>
      </c>
      <c r="D103" s="91" t="s">
        <v>4336</v>
      </c>
      <c r="E103" s="92" t="s">
        <v>2614</v>
      </c>
      <c r="F103" s="93" t="s">
        <v>2615</v>
      </c>
      <c r="G103" s="92"/>
      <c r="H103" s="92"/>
      <c r="I103" s="89">
        <v>1</v>
      </c>
      <c r="J103" s="76">
        <v>31.200000000000003</v>
      </c>
    </row>
    <row r="104" spans="1:10" x14ac:dyDescent="0.25">
      <c r="A104" s="89">
        <v>103</v>
      </c>
      <c r="B104" s="90">
        <v>43594</v>
      </c>
      <c r="C104" s="91" t="s">
        <v>4313</v>
      </c>
      <c r="D104" s="91" t="s">
        <v>4336</v>
      </c>
      <c r="E104" s="92" t="s">
        <v>2616</v>
      </c>
      <c r="F104" s="93" t="s">
        <v>2617</v>
      </c>
      <c r="G104" s="92"/>
      <c r="H104" s="92"/>
      <c r="I104" s="89">
        <v>1</v>
      </c>
      <c r="J104" s="76">
        <v>31.200000000000003</v>
      </c>
    </row>
    <row r="105" spans="1:10" x14ac:dyDescent="0.25">
      <c r="A105" s="89">
        <v>104</v>
      </c>
      <c r="B105" s="90">
        <v>43594</v>
      </c>
      <c r="C105" s="91" t="s">
        <v>4313</v>
      </c>
      <c r="D105" s="91" t="s">
        <v>4336</v>
      </c>
      <c r="E105" s="92" t="s">
        <v>2618</v>
      </c>
      <c r="F105" s="93" t="s">
        <v>2619</v>
      </c>
      <c r="G105" s="92"/>
      <c r="H105" s="92"/>
      <c r="I105" s="89">
        <v>1</v>
      </c>
      <c r="J105" s="76">
        <v>31.200000000000003</v>
      </c>
    </row>
    <row r="106" spans="1:10" x14ac:dyDescent="0.25">
      <c r="A106" s="89">
        <v>105</v>
      </c>
      <c r="B106" s="90">
        <v>43594</v>
      </c>
      <c r="C106" s="91" t="s">
        <v>4313</v>
      </c>
      <c r="D106" s="91" t="s">
        <v>4336</v>
      </c>
      <c r="E106" s="92" t="s">
        <v>2620</v>
      </c>
      <c r="F106" s="93" t="s">
        <v>2621</v>
      </c>
      <c r="G106" s="92"/>
      <c r="H106" s="92"/>
      <c r="I106" s="89">
        <v>1</v>
      </c>
      <c r="J106" s="76">
        <v>21.6</v>
      </c>
    </row>
    <row r="107" spans="1:10" x14ac:dyDescent="0.25">
      <c r="A107" s="89">
        <v>106</v>
      </c>
      <c r="B107" s="90">
        <v>43594</v>
      </c>
      <c r="C107" s="91" t="s">
        <v>4313</v>
      </c>
      <c r="D107" s="91" t="s">
        <v>4336</v>
      </c>
      <c r="E107" s="92" t="s">
        <v>897</v>
      </c>
      <c r="F107" s="93" t="s">
        <v>898</v>
      </c>
      <c r="G107" s="92"/>
      <c r="H107" s="92"/>
      <c r="I107" s="89">
        <v>1</v>
      </c>
      <c r="J107" s="76">
        <v>6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4"/>
  <sheetViews>
    <sheetView showGridLines="0" workbookViewId="0">
      <pane xSplit="10" ySplit="3" topLeftCell="K47" activePane="bottomRight" state="frozen"/>
      <selection pane="topRight" activeCell="K1" sqref="K1"/>
      <selection pane="bottomLeft" activeCell="A4" sqref="A4"/>
      <selection pane="bottomRight" activeCell="C1561" sqref="C1561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hidden="1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>
        <f>IFERROR(StockInData[Expiry],"")</f>
        <v>43554</v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hidden="1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>
        <f>IFERROR(StockInData[Expiry],"")</f>
        <v>43827</v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hidden="1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>
        <f>IFERROR(StockInData[Expiry],"")</f>
        <v>43827</v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hidden="1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>
        <f>IFERROR(StockInData[Expiry],"")</f>
        <v>43827</v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hidden="1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>
        <f>IFERROR(StockInData[Expiry],"")</f>
        <v>43827</v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>
        <f>IFERROR(StockInData[Expiry],"")</f>
        <v>43827</v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hidden="1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>
        <f>IFERROR(StockInData[Expiry],"")</f>
        <v>43827</v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hidden="1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>
        <f>IFERROR(StockInData[Expiry],"")</f>
        <v>43827</v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>
        <f>IFERROR(StockInData[Expiry],"")</f>
        <v>43827</v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hidden="1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>
        <f>IFERROR(StockInData[Expiry],"")</f>
        <v>43827</v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hidden="1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>
        <f>IFERROR(StockInData[Expiry],"")</f>
        <v>43827</v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hidden="1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>
        <f>IFERROR(StockInData[Expiry],"")</f>
        <v>43827</v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hidden="1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>
        <f>IFERROR(StockInData[Expiry],"")</f>
        <v>43827</v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hidden="1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>
        <f>IFERROR(StockInData[Expiry],"")</f>
        <v>43827</v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hidden="1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>
        <f>IFERROR(StockInData[Expiry],"")</f>
        <v>43827</v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hidden="1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>
        <f>IFERROR(StockInData[Expiry],"")</f>
        <v>43827</v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hidden="1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>
        <f>IFERROR(StockInData[Expiry],"")</f>
        <v>43828</v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hidden="1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>
        <f>IFERROR(StockInData[Expiry],"")</f>
        <v>43828</v>
      </c>
      <c r="H19" s="61"/>
      <c r="I19" s="61">
        <f>SUMIFS(StockInData[Quantity],StockInData[Product ID],ProductMaster!$B19)-SUMIFS(StockOutData[Quantity],StockOutData[Product ID],ProductMaster!$B19)</f>
        <v>-1</v>
      </c>
      <c r="J19" s="64">
        <f>SUMIFS(StockInData[Value],StockInData[Product ID],ProductMaster!$B19)-SUMIFS(StockOutData[Value],StockOutData[Product ID],ProductMaster!$B19)</f>
        <v>-65.400000000000006</v>
      </c>
    </row>
    <row r="20" spans="1:10" hidden="1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>
        <f>IFERROR(StockInData[Expiry],"")</f>
        <v>43828</v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>
        <f>IFERROR(StockInData[Expiry],"")</f>
        <v>43828</v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>
        <f>IFERROR(StockInData[Expiry],"")</f>
        <v>43828</v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>
        <f>IFERROR(StockInData[Expiry],"")</f>
        <v>43828</v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>
        <f>IFERROR(StockInData[Expiry],"")</f>
        <v>43828</v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>
        <f>IFERROR(StockInData[Expiry],"")</f>
        <v>43828</v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>
        <f>IFERROR(StockInData[Expiry],"")</f>
        <v>43828</v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hidden="1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>
        <f>IFERROR(StockInData[Expiry],"")</f>
        <v>43828</v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hidden="1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>
        <f>IFERROR(StockInData[Expiry],"")</f>
        <v>43830</v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>
        <f>IFERROR(StockInData[Expiry],"")</f>
        <v>43860</v>
      </c>
      <c r="H29" s="61"/>
      <c r="I29" s="61">
        <f>SUMIFS(StockInData[Quantity],StockInData[Product ID],ProductMaster!$B29)-SUMIFS(StockOutData[Quantity],StockOutData[Product ID],ProductMaster!$B29)</f>
        <v>8</v>
      </c>
      <c r="J29" s="64">
        <f>SUMIFS(StockInData[Value],StockInData[Product ID],ProductMaster!$B29)-SUMIFS(StockOutData[Value],StockOutData[Product ID],ProductMaster!$B29)</f>
        <v>10</v>
      </c>
    </row>
    <row r="30" spans="1:10" hidden="1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>
        <f>IFERROR(StockInData[Expiry],"")</f>
        <v>43860</v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 t="str">
        <f>IFERROR(StockInData[Expiry],"")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 t="str">
        <f>IFERROR(StockInData[Expiry],"")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 t="str">
        <f>IFERROR(StockInData[Expiry],"")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hidden="1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 t="str">
        <f>IFERROR(StockInData[Expiry],"")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hidden="1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 t="str">
        <f>IFERROR(StockInData[Expiry],"")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 t="str">
        <f>IFERROR(StockInData[Expiry],"")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 t="str">
        <f>IFERROR(StockInData[Expiry],"")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 t="str">
        <f>IFERROR(StockInData[Expiry],"")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 t="str">
        <f>IFERROR(StockInData[Expiry],"")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 t="str">
        <f>IFERROR(StockInData[Expiry],"")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 t="str">
        <f>IFERROR(StockInData[Expiry],"")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 t="str">
        <f>IFERROR(StockInData[Expiry],"")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 t="str">
        <f>IFERROR(StockInData[Expiry],"")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hidden="1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 t="str">
        <f>IFERROR(StockInData[Expiry],"")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 t="str">
        <f>IFERROR(StockInData[Expiry],"")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hidden="1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 t="str">
        <f>IFERROR(StockInData[Expiry],"")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 t="str">
        <f>IFERROR(StockInData[Expiry],"")</f>
        <v/>
      </c>
      <c r="H47" s="61"/>
      <c r="I47" s="61">
        <f>SUMIFS(StockInData[Quantity],StockInData[Product ID],ProductMaster!$B47)-SUMIFS(StockOutData[Quantity],StockOutData[Product ID],ProductMaster!$B47)</f>
        <v>10</v>
      </c>
      <c r="J47" s="64">
        <f>SUMIFS(StockInData[Value],StockInData[Product ID],ProductMaster!$B47)-SUMIFS(StockOutData[Value],StockOutData[Product ID],ProductMaster!$B47)</f>
        <v>10</v>
      </c>
    </row>
    <row r="48" spans="1:10" hidden="1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 t="str">
        <f>IFERROR(StockInData[Expiry],"")</f>
        <v/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hidden="1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 t="str">
        <f>IFERROR(StockInData[Expiry],"")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hidden="1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 t="str">
        <f>IFERROR(StockInData[Expiry],"")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hidden="1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 t="str">
        <f>IFERROR(StockInData[Expiry],"")</f>
        <v/>
      </c>
      <c r="H51" s="61"/>
      <c r="I51" s="61">
        <f>SUMIFS(StockInData[Quantity],StockInData[Product ID],ProductMaster!$B51)-SUMIFS(StockOutData[Quantity],StockOutData[Product ID],ProductMaster!$B51)</f>
        <v>-15</v>
      </c>
      <c r="J51" s="64">
        <f>SUMIFS(StockInData[Value],StockInData[Product ID],ProductMaster!$B51)-SUMIFS(StockOutData[Value],StockOutData[Product ID],ProductMaster!$B51)</f>
        <v>-30</v>
      </c>
    </row>
    <row r="52" spans="1:10" hidden="1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 t="str">
        <f>IFERROR(StockInData[Expiry],"")</f>
        <v/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hidden="1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 t="str">
        <f>IFERROR(StockInData[Expiry],"")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hidden="1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 t="str">
        <f>IFERROR(StockInData[Expiry],"")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hidden="1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 t="str">
        <f>IFERROR(StockInData[Expiry],"")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 t="str">
        <f>IFERROR(StockInData[Expiry],"")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 t="str">
        <f>IFERROR(StockInData[Expiry],"")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 t="str">
        <f>IFERROR(StockInData[Expiry],"")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 t="str">
        <f>IFERROR(StockInData[Expiry],"")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 t="str">
        <f>IFERROR(StockInData[Expiry],"")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hidden="1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 t="str">
        <f>IFERROR(StockInData[Expiry],"")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hidden="1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 t="str">
        <f>IFERROR(StockInData[Expiry],"")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hidden="1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 t="str">
        <f>IFERROR(StockInData[Expiry],"")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hidden="1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 t="str">
        <f>IFERROR(StockInData[Expiry],"")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hidden="1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 t="str">
        <f>IFERROR(StockInData[Expiry],"")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hidden="1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 t="str">
        <f>IFERROR(StockInData[Expiry],"")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 t="str">
        <f>IFERROR(StockInData[Expiry],"")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 t="str">
        <f>IFERROR(StockInData[Expiry],"")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 t="str">
        <f>IFERROR(StockInData[Expiry],"")</f>
        <v/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 t="str">
        <f>IFERROR(StockInData[Expiry],"")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 t="str">
        <f>IFERROR(StockInData[Expiry],"")</f>
        <v/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hidden="1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 t="str">
        <f>IFERROR(StockInData[Expiry],"")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hidden="1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 t="str">
        <f>IFERROR(StockInData[Expiry],"")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hidden="1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 t="str">
        <f>IFERROR(StockInData[Expiry],"")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hidden="1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 t="str">
        <f>IFERROR(StockInData[Expiry],"")</f>
        <v/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hidden="1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 t="str">
        <f>IFERROR(StockInData[Expiry],"")</f>
        <v/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hidden="1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 t="str">
        <f>IFERROR(StockInData[Expiry],"")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hidden="1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 t="str">
        <f>IFERROR(StockInData[Expiry],"")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hidden="1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 t="str">
        <f>IFERROR(StockInData[Expiry],"")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hidden="1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 t="str">
        <f>IFERROR(StockInData[Expiry],"")</f>
        <v/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hidden="1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 t="str">
        <f>IFERROR(StockInData[Expiry],"")</f>
        <v/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hidden="1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 t="str">
        <f>IFERROR(StockInData[Expiry],"")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 t="str">
        <f>IFERROR(StockInData[Expiry],"")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 t="str">
        <f>IFERROR(StockInData[Expiry],"")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 t="str">
        <f>IFERROR(StockInData[Expiry],"")</f>
        <v/>
      </c>
      <c r="H85" s="61"/>
      <c r="I85" s="61">
        <f>SUMIFS(StockInData[Quantity],StockInData[Product ID],ProductMaster!$B85)-SUMIFS(StockOutData[Quantity],StockOutData[Product ID],ProductMaster!$B85)</f>
        <v>2.6666666666666701</v>
      </c>
      <c r="J85" s="64">
        <f>SUMIFS(StockInData[Value],StockInData[Product ID],ProductMaster!$B85)-SUMIFS(StockOutData[Value],StockOutData[Product ID],ProductMaster!$B85)</f>
        <v>10</v>
      </c>
    </row>
    <row r="86" spans="1:10" hidden="1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 t="str">
        <f>IFERROR(StockInData[Expiry],"")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hidden="1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 t="str">
        <f>IFERROR(StockInData[Expiry],"")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hidden="1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 t="str">
        <f>IFERROR(StockInData[Expiry],"")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 t="str">
        <f>IFERROR(StockInData[Expiry],"")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hidden="1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 t="str">
        <f>IFERROR(StockInData[Expiry],"")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hidden="1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 t="str">
        <f>IFERROR(StockInData[Expiry],"")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hidden="1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 t="str">
        <f>IFERROR(StockInData[Expiry],"")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 t="str">
        <f>IFERROR(StockInData[Expiry],"")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 t="str">
        <f>IFERROR(StockInData[Expiry],"")</f>
        <v/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hidden="1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 t="str">
        <f>IFERROR(StockInData[Expiry],"")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hidden="1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 t="str">
        <f>IFERROR(StockInData[Expiry],"")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 t="str">
        <f>IFERROR(StockInData[Expiry],"")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 t="str">
        <f>IFERROR(StockInData[Expiry],"")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hidden="1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 t="str">
        <f>IFERROR(StockInData[Expiry],"")</f>
        <v/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hidden="1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 t="str">
        <f>IFERROR(StockInData[Expiry],"")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hidden="1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 t="str">
        <f>IFERROR(StockInData[Expiry],"")</f>
        <v/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hidden="1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 t="str">
        <f>IFERROR(StockInData[Expiry],"")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hidden="1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 t="str">
        <f>IFERROR(StockInData[Expiry],"")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hidden="1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 t="str">
        <f>IFERROR(StockInData[Expiry],"")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hidden="1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 t="str">
        <f>IFERROR(StockInData[Expiry],"")</f>
        <v/>
      </c>
      <c r="H105" s="61"/>
      <c r="I105" s="61">
        <f>SUMIFS(StockInData[Quantity],StockInData[Product ID],ProductMaster!$B105)-SUMIFS(StockOutData[Quantity],StockOutData[Product ID],ProductMaster!$B105)</f>
        <v>-1</v>
      </c>
      <c r="J105" s="64">
        <f>SUMIFS(StockInData[Value],StockInData[Product ID],ProductMaster!$B105)-SUMIFS(StockOutData[Value],StockOutData[Product ID],ProductMaster!$B105)</f>
        <v>-23.04</v>
      </c>
    </row>
    <row r="106" spans="1:10" hidden="1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 t="str">
        <f>IFERROR(StockInData[Expiry],"")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hidden="1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 t="str">
        <f>IFERROR(StockInData[Expiry],"")</f>
        <v/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hidden="1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 t="str">
        <f>IFERROR(StockInData[Expiry],"")</f>
        <v/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hidden="1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 t="str">
        <f>IFERROR(StockInData[Expiry],"")</f>
        <v/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 t="str">
        <f>IFERROR(StockInData[Expiry],"")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 t="str">
        <f>IFERROR(StockInData[Expiry],"")</f>
        <v/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hidden="1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 t="str">
        <f>IFERROR(StockInData[Expiry],"")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hidden="1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 t="str">
        <f>IFERROR(StockInData[Expiry],"")</f>
        <v/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 t="str">
        <f>IFERROR(StockInData[Expiry],"")</f>
        <v/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 t="str">
        <f>IFERROR(StockInData[Expiry],"")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hidden="1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 t="str">
        <f>IFERROR(StockInData[Expiry],"")</f>
        <v/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hidden="1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 t="str">
        <f>IFERROR(StockInData[Expiry],"")</f>
        <v/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hidden="1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 t="str">
        <f>IFERROR(StockInData[Expiry],"")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hidden="1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 t="str">
        <f>IFERROR(StockInData[Expiry],"")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hidden="1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 t="str">
        <f>IFERROR(StockInData[Expiry],"")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hidden="1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 t="str">
        <f>IFERROR(StockInData[Expiry],"")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hidden="1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 t="str">
        <f>IFERROR(StockInData[Expiry],"")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hidden="1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 t="str">
        <f>IFERROR(StockInData[Expiry],"")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hidden="1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 t="str">
        <f>IFERROR(StockInData[Expiry],"")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 t="str">
        <f>IFERROR(StockInData[Expiry],"")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 t="str">
        <f>IFERROR(StockInData[Expiry],"")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 t="str">
        <f>IFERROR(StockInData[Expiry],"")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 t="str">
        <f>IFERROR(StockInData[Expiry],"")</f>
        <v/>
      </c>
      <c r="H128" s="61"/>
      <c r="I128" s="61">
        <f>SUMIFS(StockInData[Quantity],StockInData[Product ID],ProductMaster!$B128)-SUMIFS(StockOutData[Quantity],StockOutData[Product ID],ProductMaster!$B128)</f>
        <v>29</v>
      </c>
      <c r="J128" s="64">
        <f>SUMIFS(StockInData[Value],StockInData[Product ID],ProductMaster!$B128)-SUMIFS(StockOutData[Value],StockOutData[Product ID],ProductMaster!$B128)</f>
        <v>20</v>
      </c>
    </row>
    <row r="129" spans="1:10" hidden="1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 t="str">
        <f>IFERROR(StockInData[Expiry],"")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 t="str">
        <f>IFERROR(StockInData[Expiry],"")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 t="str">
        <f>IFERROR(StockInData[Expiry],"")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 t="str">
        <f>IFERROR(StockInData[Expiry],"")</f>
        <v/>
      </c>
      <c r="H132" s="61"/>
      <c r="I132" s="61">
        <f>SUMIFS(StockInData[Quantity],StockInData[Product ID],ProductMaster!$B132)-SUMIFS(StockOutData[Quantity],StockOutData[Product ID],ProductMaster!$B132)</f>
        <v>16</v>
      </c>
      <c r="J132" s="64">
        <f>SUMIFS(StockInData[Value],StockInData[Product ID],ProductMaster!$B132)-SUMIFS(StockOutData[Value],StockOutData[Product ID],ProductMaster!$B132)</f>
        <v>20</v>
      </c>
    </row>
    <row r="133" spans="1:10" hidden="1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 t="str">
        <f>IFERROR(StockInData[Expiry],"")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hidden="1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 t="str">
        <f>IFERROR(StockInData[Expiry],"")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 t="str">
        <f>IFERROR(StockInData[Expiry],"")</f>
        <v/>
      </c>
      <c r="H135" s="61"/>
      <c r="I135" s="61">
        <f>SUMIFS(StockInData[Quantity],StockInData[Product ID],ProductMaster!$B135)-SUMIFS(StockOutData[Quantity],StockOutData[Product ID],ProductMaster!$B135)</f>
        <v>1</v>
      </c>
      <c r="J135" s="64">
        <f>SUMIFS(StockInData[Value],StockInData[Product ID],ProductMaster!$B135)-SUMIFS(StockOutData[Value],StockOutData[Product ID],ProductMaster!$B135)</f>
        <v>10</v>
      </c>
    </row>
    <row r="136" spans="1:10" hidden="1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 t="str">
        <f>IFERROR(StockInData[Expiry],"")</f>
        <v/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hidden="1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 t="str">
        <f>IFERROR(StockInData[Expiry],"")</f>
        <v/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hidden="1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 t="str">
        <f>IFERROR(StockInData[Expiry],"")</f>
        <v/>
      </c>
      <c r="H138" s="61"/>
      <c r="I138" s="61">
        <f>SUMIFS(StockInData[Quantity],StockInData[Product ID],ProductMaster!$B138)-SUMIFS(StockOutData[Quantity],StockOutData[Product ID],ProductMaster!$B138)</f>
        <v>-1</v>
      </c>
      <c r="J138" s="64">
        <f>SUMIFS(StockInData[Value],StockInData[Product ID],ProductMaster!$B138)-SUMIFS(StockOutData[Value],StockOutData[Product ID],ProductMaster!$B138)</f>
        <v>-19.080000000000002</v>
      </c>
    </row>
    <row r="139" spans="1:10" hidden="1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 t="str">
        <f>IFERROR(StockInData[Expiry],"")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hidden="1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 t="str">
        <f>IFERROR(StockInData[Expiry],"")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 t="str">
        <f>IFERROR(StockInData[Expiry],"")</f>
        <v/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 t="str">
        <f>IFERROR(StockInData[Expiry],"")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hidden="1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 t="str">
        <f>IFERROR(StockInData[Expiry],"")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hidden="1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 t="str">
        <f>IFERROR(StockInData[Expiry],"")</f>
        <v/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hidden="1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 t="str">
        <f>IFERROR(StockInData[Expiry],"")</f>
        <v/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hidden="1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 t="str">
        <f>IFERROR(StockInData[Expiry],"")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 t="str">
        <f>IFERROR(StockInData[Expiry],"")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 t="str">
        <f>IFERROR(StockInData[Expiry],"")</f>
        <v/>
      </c>
      <c r="H148" s="61"/>
      <c r="I148" s="61">
        <f>SUMIFS(StockInData[Quantity],StockInData[Product ID],ProductMaster!$B148)-SUMIFS(StockOutData[Quantity],StockOutData[Product ID],ProductMaster!$B148)</f>
        <v>8</v>
      </c>
      <c r="J148" s="64">
        <f>SUMIFS(StockInData[Value],StockInData[Product ID],ProductMaster!$B148)-SUMIFS(StockOutData[Value],StockOutData[Product ID],ProductMaster!$B148)</f>
        <v>10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 t="str">
        <f>IFERROR(StockInData[Expiry],"")</f>
        <v/>
      </c>
      <c r="H149" s="61"/>
      <c r="I149" s="61">
        <f>SUMIFS(StockInData[Quantity],StockInData[Product ID],ProductMaster!$B149)-SUMIFS(StockOutData[Quantity],StockOutData[Product ID],ProductMaster!$B149)</f>
        <v>67</v>
      </c>
      <c r="J149" s="64">
        <f>SUMIFS(StockInData[Value],StockInData[Product ID],ProductMaster!$B149)-SUMIFS(StockOutData[Value],StockOutData[Product ID],ProductMaster!$B149)</f>
        <v>8.6199999999999992</v>
      </c>
    </row>
    <row r="150" spans="1:10" hidden="1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 t="str">
        <f>IFERROR(StockInData[Expiry],"")</f>
        <v/>
      </c>
      <c r="H150" s="61"/>
      <c r="I150" s="61">
        <f>SUMIFS(StockInData[Quantity],StockInData[Product ID],ProductMaster!$B150)-SUMIFS(StockOutData[Quantity],StockOutData[Product ID],ProductMaster!$B150)</f>
        <v>-1</v>
      </c>
      <c r="J150" s="64">
        <f>SUMIFS(StockInData[Value],StockInData[Product ID],ProductMaster!$B150)-SUMIFS(StockOutData[Value],StockOutData[Product ID],ProductMaster!$B150)</f>
        <v>-2.88</v>
      </c>
    </row>
    <row r="151" spans="1:10" hidden="1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 t="str">
        <f>IFERROR(StockInData[Expiry],"")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 t="str">
        <f>IFERROR(StockInData[Expiry],"")</f>
        <v/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hidden="1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 t="str">
        <f>IFERROR(StockInData[Expiry],"")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hidden="1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 t="str">
        <f>IFERROR(StockInData[Expiry],"")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hidden="1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 t="str">
        <f>IFERROR(StockInData[Expiry],"")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 t="str">
        <f>IFERROR(StockInData[Expiry],"")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 t="str">
        <f>IFERROR(StockInData[Expiry],"")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 t="str">
        <f>IFERROR(StockInData[Expiry],"")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hidden="1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 t="str">
        <f>IFERROR(StockInData[Expiry],"")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hidden="1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 t="str">
        <f>IFERROR(StockInData[Expiry],"")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hidden="1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 t="str">
        <f>IFERROR(StockInData[Expiry],"")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 t="str">
        <f>IFERROR(StockInData[Expiry],"")</f>
        <v/>
      </c>
      <c r="H162" s="61"/>
      <c r="I162" s="61">
        <f>SUMIFS(StockInData[Quantity],StockInData[Product ID],ProductMaster!$B162)-SUMIFS(StockOutData[Quantity],StockOutData[Product ID],ProductMaster!$B162)</f>
        <v>25</v>
      </c>
      <c r="J162" s="64">
        <f>SUMIFS(StockInData[Value],StockInData[Product ID],ProductMaster!$B162)-SUMIFS(StockOutData[Value],StockOutData[Product ID],ProductMaster!$B162)</f>
        <v>10</v>
      </c>
    </row>
    <row r="163" spans="1:10" hidden="1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 t="str">
        <f>IFERROR(StockInData[Expiry],"")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hidden="1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 t="str">
        <f>IFERROR(StockInData[Expiry],"")</f>
        <v/>
      </c>
      <c r="H164" s="61"/>
      <c r="I164" s="61">
        <f>SUMIFS(StockInData[Quantity],StockInData[Product ID],ProductMaster!$B164)-SUMIFS(StockOutData[Quantity],StockOutData[Product ID],ProductMaster!$B164)</f>
        <v>-1</v>
      </c>
      <c r="J164" s="64">
        <f>SUMIFS(StockInData[Value],StockInData[Product ID],ProductMaster!$B164)-SUMIFS(StockOutData[Value],StockOutData[Product ID],ProductMaster!$B164)</f>
        <v>-3.84</v>
      </c>
    </row>
    <row r="165" spans="1:10" hidden="1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 t="str">
        <f>IFERROR(StockInData[Expiry],"")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hidden="1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 t="str">
        <f>IFERROR(StockInData[Expiry],"")</f>
        <v/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 t="str">
        <f>IFERROR(StockInData[Expiry],"")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 t="str">
        <f>IFERROR(StockInData[Expiry],"")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 t="str">
        <f>IFERROR(StockInData[Expiry],"")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 t="str">
        <f>IFERROR(StockInData[Expiry],"")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 t="str">
        <f>IFERROR(StockInData[Expiry],"")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hidden="1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 t="str">
        <f>IFERROR(StockInData[Expiry],"")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hidden="1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 t="str">
        <f>IFERROR(StockInData[Expiry],"")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 t="str">
        <f>IFERROR(StockInData[Expiry],"")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 t="str">
        <f>IFERROR(StockInData[Expiry],"")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hidden="1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 t="str">
        <f>IFERROR(StockInData[Expiry],"")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hidden="1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 t="str">
        <f>IFERROR(StockInData[Expiry],"")</f>
        <v/>
      </c>
      <c r="H177" s="61"/>
      <c r="I177" s="61">
        <f>SUMIFS(StockInData[Quantity],StockInData[Product ID],ProductMaster!$B177)-SUMIFS(StockOutData[Quantity],StockOutData[Product ID],ProductMaster!$B177)</f>
        <v>-1</v>
      </c>
      <c r="J177" s="64">
        <f>SUMIFS(StockInData[Value],StockInData[Product ID],ProductMaster!$B177)-SUMIFS(StockOutData[Value],StockOutData[Product ID],ProductMaster!$B177)</f>
        <v>-10.199999999999999</v>
      </c>
    </row>
    <row r="178" spans="1:10" hidden="1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 t="str">
        <f>IFERROR(StockInData[Expiry],"")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hidden="1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 t="str">
        <f>IFERROR(StockInData[Expiry],"")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hidden="1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 t="str">
        <f>IFERROR(StockInData[Expiry],"")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hidden="1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 t="str">
        <f>IFERROR(StockInData[Expiry],"")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 t="str">
        <f>IFERROR(StockInData[Expiry],"")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 t="str">
        <f>IFERROR(StockInData[Expiry],"")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 t="str">
        <f>IFERROR(StockInData[Expiry],"")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 t="str">
        <f>IFERROR(StockInData[Expiry],"")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 t="str">
        <f>IFERROR(StockInData[Expiry],"")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 t="str">
        <f>IFERROR(StockInData[Expiry],"")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hidden="1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 t="str">
        <f>IFERROR(StockInData[Expiry],"")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hidden="1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 t="str">
        <f>IFERROR(StockInData[Expiry],"")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hidden="1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 t="str">
        <f>IFERROR(StockInData[Expiry],"")</f>
        <v/>
      </c>
      <c r="H190" s="61"/>
      <c r="I190" s="61">
        <f>SUMIFS(StockInData[Quantity],StockInData[Product ID],ProductMaster!$B190)-SUMIFS(StockOutData[Quantity],StockOutData[Product ID],ProductMaster!$B190)</f>
        <v>-2</v>
      </c>
      <c r="J190" s="64">
        <f>SUMIFS(StockInData[Value],StockInData[Product ID],ProductMaster!$B190)-SUMIFS(StockOutData[Value],StockOutData[Product ID],ProductMaster!$B190)</f>
        <v>-29.28</v>
      </c>
    </row>
    <row r="191" spans="1:10" hidden="1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 t="str">
        <f>IFERROR(StockInData[Expiry],"")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hidden="1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 t="str">
        <f>IFERROR(StockInData[Expiry],"")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hidden="1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 t="str">
        <f>IFERROR(StockInData[Expiry],"")</f>
        <v/>
      </c>
      <c r="H193" s="61"/>
      <c r="I193" s="61">
        <f>SUMIFS(StockInData[Quantity],StockInData[Product ID],ProductMaster!$B193)-SUMIFS(StockOutData[Quantity],StockOutData[Product ID],ProductMaster!$B193)</f>
        <v>-1</v>
      </c>
      <c r="J193" s="64">
        <f>SUMIFS(StockInData[Value],StockInData[Product ID],ProductMaster!$B193)-SUMIFS(StockOutData[Value],StockOutData[Product ID],ProductMaster!$B193)</f>
        <v>-14.64</v>
      </c>
    </row>
    <row r="194" spans="1:10" hidden="1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 t="str">
        <f>IFERROR(StockInData[Expiry],"")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hidden="1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 t="str">
        <f>IFERROR(StockInData[Expiry],"")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 t="str">
        <f>IFERROR(StockInData[Expiry],"")</f>
        <v/>
      </c>
      <c r="H196" s="61"/>
      <c r="I196" s="61">
        <f>SUMIFS(StockInData[Quantity],StockInData[Product ID],ProductMaster!$B196)-SUMIFS(StockOutData[Quantity],StockOutData[Product ID],ProductMaster!$B196)</f>
        <v>3</v>
      </c>
      <c r="J196" s="64">
        <f>SUMIFS(StockInData[Value],StockInData[Product ID],ProductMaster!$B196)-SUMIFS(StockOutData[Value],StockOutData[Product ID],ProductMaster!$B196)</f>
        <v>30</v>
      </c>
    </row>
    <row r="197" spans="1:10" hidden="1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 t="str">
        <f>IFERROR(StockInData[Expiry],"")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 t="str">
        <f>IFERROR(StockInData[Expiry],"")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 t="str">
        <f>IFERROR(StockInData[Expiry],"")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 t="str">
        <f>IFERROR(StockInData[Expiry],"")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 t="str">
        <f>IFERROR(StockInData[Expiry],"")</f>
        <v/>
      </c>
      <c r="H201" s="61"/>
      <c r="I201" s="61">
        <f>SUMIFS(StockInData[Quantity],StockInData[Product ID],ProductMaster!$B201)-SUMIFS(StockOutData[Quantity],StockOutData[Product ID],ProductMaster!$B201)</f>
        <v>-1</v>
      </c>
      <c r="J201" s="64">
        <f>SUMIFS(StockInData[Value],StockInData[Product ID],ProductMaster!$B201)-SUMIFS(StockOutData[Value],StockOutData[Product ID],ProductMaster!$B201)</f>
        <v>-10.199999999999999</v>
      </c>
    </row>
    <row r="202" spans="1:10" hidden="1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 t="str">
        <f>IFERROR(StockInData[Expiry],"")</f>
        <v/>
      </c>
      <c r="H202" s="61"/>
      <c r="I202" s="61">
        <f>SUMIFS(StockInData[Quantity],StockInData[Product ID],ProductMaster!$B202)-SUMIFS(StockOutData[Quantity],StockOutData[Product ID],ProductMaster!$B202)</f>
        <v>-1</v>
      </c>
      <c r="J202" s="64">
        <f>SUMIFS(StockInData[Value],StockInData[Product ID],ProductMaster!$B202)-SUMIFS(StockOutData[Value],StockOutData[Product ID],ProductMaster!$B202)</f>
        <v>-10.199999999999999</v>
      </c>
    </row>
    <row r="203" spans="1:10" hidden="1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 t="str">
        <f>IFERROR(StockInData[Expiry],"")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 t="str">
        <f>IFERROR(StockInData[Expiry],"")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 t="str">
        <f>IFERROR(StockInData[Expiry],"")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 t="str">
        <f>IFERROR(StockInData[Expiry],"")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 t="str">
        <f>IFERROR(StockInData[Expiry],"")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hidden="1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 t="str">
        <f>IFERROR(StockInData[Expiry],"")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hidden="1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 t="str">
        <f>IFERROR(StockInData[Expiry],"")</f>
        <v/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 t="str">
        <f>IFERROR(StockInData[Expiry],"")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hidden="1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 t="str">
        <f>IFERROR(StockInData[Expiry],"")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hidden="1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 t="str">
        <f>IFERROR(StockInData[Expiry],"")</f>
        <v/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 t="str">
        <f>IFERROR(StockInData[Expiry],"")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hidden="1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 t="str">
        <f>IFERROR(StockInData[Expiry],"")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hidden="1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 t="str">
        <f>IFERROR(StockInData[Expiry],"")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 t="str">
        <f>IFERROR(StockInData[Expiry],"")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 t="str">
        <f>IFERROR(StockInData[Expiry],"")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 t="str">
        <f>IFERROR(StockInData[Expiry],"")</f>
        <v/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 t="str">
        <f>IFERROR(StockInData[Expiry],"")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 t="str">
        <f>IFERROR(StockInData[Expiry],"")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 t="str">
        <f>IFERROR(StockInData[Expiry],"")</f>
        <v/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 t="str">
        <f>IFERROR(StockInData[Expiry],"")</f>
        <v/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 t="str">
        <f>IFERROR(StockInData[Expiry],"")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 t="str">
        <f>IFERROR(StockInData[Expiry],"")</f>
        <v/>
      </c>
      <c r="H224" s="61"/>
      <c r="I224" s="61">
        <f>SUMIFS(StockInData[Quantity],StockInData[Product ID],ProductMaster!$B224)-SUMIFS(StockOutData[Quantity],StockOutData[Product ID],ProductMaster!$B224)</f>
        <v>1</v>
      </c>
      <c r="J224" s="64">
        <f>SUMIFS(StockInData[Value],StockInData[Product ID],ProductMaster!$B224)-SUMIFS(StockOutData[Value],StockOutData[Product ID],ProductMaster!$B224)</f>
        <v>10</v>
      </c>
    </row>
    <row r="225" spans="1:10" hidden="1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 t="str">
        <f>IFERROR(StockInData[Expiry],"")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hidden="1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 t="str">
        <f>IFERROR(StockInData[Expiry],"")</f>
        <v/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hidden="1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 t="str">
        <f>IFERROR(StockInData[Expiry],"")</f>
        <v/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hidden="1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 t="str">
        <f>IFERROR(StockInData[Expiry],"")</f>
        <v/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hidden="1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 t="str">
        <f>IFERROR(StockInData[Expiry],"")</f>
        <v/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hidden="1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 t="str">
        <f>IFERROR(StockInData[Expiry],"")</f>
        <v/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hidden="1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 t="str">
        <f>IFERROR(StockInData[Expiry],"")</f>
        <v/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hidden="1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 t="str">
        <f>IFERROR(StockInData[Expiry],"")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hidden="1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 t="str">
        <f>IFERROR(StockInData[Expiry],"")</f>
        <v/>
      </c>
      <c r="H233" s="61"/>
      <c r="I233" s="61">
        <f>SUMIFS(StockInData[Quantity],StockInData[Product ID],ProductMaster!$B233)-SUMIFS(StockOutData[Quantity],StockOutData[Product ID],ProductMaster!$B233)</f>
        <v>0</v>
      </c>
      <c r="J233" s="64">
        <f>SUMIFS(StockInData[Value],StockInData[Product ID],ProductMaster!$B233)-SUMIFS(StockOutData[Value],StockOutData[Product ID],ProductMaster!$B233)</f>
        <v>0</v>
      </c>
    </row>
    <row r="234" spans="1:10" hidden="1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 t="str">
        <f>IFERROR(StockInData[Expiry],"")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hidden="1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 t="str">
        <f>IFERROR(StockInData[Expiry],"")</f>
        <v/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-23</v>
      </c>
    </row>
    <row r="236" spans="1:10" hidden="1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 t="str">
        <f>IFERROR(StockInData[Expiry],"")</f>
        <v/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 t="str">
        <f>IFERROR(StockInData[Expiry],"")</f>
        <v/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 t="str">
        <f>IFERROR(StockInData[Expiry],"")</f>
        <v/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 t="str">
        <f>IFERROR(StockInData[Expiry],"")</f>
        <v/>
      </c>
      <c r="H239" s="61"/>
      <c r="I239" s="61">
        <f>SUMIFS(StockInData[Quantity],StockInData[Product ID],ProductMaster!$B239)-SUMIFS(StockOutData[Quantity],StockOutData[Product ID],ProductMaster!$B239)</f>
        <v>0</v>
      </c>
      <c r="J239" s="64">
        <f>SUMIFS(StockInData[Value],StockInData[Product ID],ProductMaster!$B239)-SUMIFS(StockOutData[Value],StockOutData[Product ID],ProductMaster!$B239)</f>
        <v>0</v>
      </c>
    </row>
    <row r="240" spans="1:10" hidden="1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 t="str">
        <f>IFERROR(StockInData[Expiry],"")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hidden="1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 t="str">
        <f>IFERROR(StockInData[Expiry],"")</f>
        <v/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hidden="1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 t="str">
        <f>IFERROR(StockInData[Expiry],"")</f>
        <v/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hidden="1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 t="str">
        <f>IFERROR(StockInData[Expiry],"")</f>
        <v/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hidden="1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 t="str">
        <f>IFERROR(StockInData[Expiry],"")</f>
        <v/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hidden="1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 t="str">
        <f>IFERROR(StockInData[Expiry],"")</f>
        <v/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hidden="1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 t="str">
        <f>IFERROR(StockInData[Expiry],"")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hidden="1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 t="str">
        <f>IFERROR(StockInData[Expiry],"")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hidden="1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 t="str">
        <f>IFERROR(StockInData[Expiry],"")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hidden="1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 t="str">
        <f>IFERROR(StockInData[Expiry],"")</f>
        <v/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hidden="1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 t="str">
        <f>IFERROR(StockInData[Expiry],"")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hidden="1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 t="str">
        <f>IFERROR(StockInData[Expiry],"")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hidden="1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 t="str">
        <f>IFERROR(StockInData[Expiry],"")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hidden="1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 t="str">
        <f>IFERROR(StockInData[Expiry],"")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hidden="1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 t="str">
        <f>IFERROR(StockInData[Expiry],"")</f>
        <v/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hidden="1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 t="str">
        <f>IFERROR(StockInData[Expiry],"")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hidden="1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 t="str">
        <f>IFERROR(StockInData[Expiry],"")</f>
        <v/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hidden="1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 t="str">
        <f>IFERROR(StockInData[Expiry],"")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hidden="1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 t="str">
        <f>IFERROR(StockInData[Expiry],"")</f>
        <v/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hidden="1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 t="str">
        <f>IFERROR(StockInData[Expiry],"")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hidden="1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 t="str">
        <f>IFERROR(StockInData[Expiry],"")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hidden="1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 t="str">
        <f>IFERROR(StockInData[Expiry],"")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 t="str">
        <f>IFERROR(StockInData[Expiry],"")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hidden="1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 t="str">
        <f>IFERROR(StockInData[Expiry],"")</f>
        <v/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hidden="1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 t="str">
        <f>IFERROR(StockInData[Expiry],"")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hidden="1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 t="str">
        <f>IFERROR(StockInData[Expiry],"")</f>
        <v/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hidden="1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 t="str">
        <f>IFERROR(StockInData[Expiry],"")</f>
        <v/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hidden="1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 t="str">
        <f>IFERROR(StockInData[Expiry],"")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 t="str">
        <f>IFERROR(StockInData[Expiry],"")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 t="str">
        <f>IFERROR(StockInData[Expiry],"")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hidden="1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 t="str">
        <f>IFERROR(StockInData[Expiry],"")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hidden="1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 t="str">
        <f>IFERROR(StockInData[Expiry],"")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hidden="1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 t="str">
        <f>IFERROR(StockInData[Expiry],"")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hidden="1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 t="str">
        <f>IFERROR(StockInData[Expiry],"")</f>
        <v/>
      </c>
      <c r="H273" s="61"/>
      <c r="I273" s="61">
        <f>SUMIFS(StockInData[Quantity],StockInData[Product ID],ProductMaster!$B273)-SUMIFS(StockOutData[Quantity],StockOutData[Product ID],ProductMaster!$B273)</f>
        <v>-1</v>
      </c>
      <c r="J273" s="64">
        <f>SUMIFS(StockInData[Value],StockInData[Product ID],ProductMaster!$B273)-SUMIFS(StockOutData[Value],StockOutData[Product ID],ProductMaster!$B273)</f>
        <v>-44.85</v>
      </c>
    </row>
    <row r="274" spans="1:10" hidden="1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 t="str">
        <f>IFERROR(StockInData[Expiry],"")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hidden="1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 t="str">
        <f>IFERROR(StockInData[Expiry],"")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 t="str">
        <f>IFERROR(StockInData[Expiry],"")</f>
        <v/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 t="str">
        <f>IFERROR(StockInData[Expiry],"")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 t="str">
        <f>IFERROR(StockInData[Expiry],"")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hidden="1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 t="str">
        <f>IFERROR(StockInData[Expiry],"")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hidden="1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 t="str">
        <f>IFERROR(StockInData[Expiry],"")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 t="str">
        <f>IFERROR(StockInData[Expiry],"")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 t="str">
        <f>IFERROR(StockInData[Expiry],"")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hidden="1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 t="str">
        <f>IFERROR(StockInData[Expiry],"")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hidden="1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 t="str">
        <f>IFERROR(StockInData[Expiry],"")</f>
        <v/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hidden="1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 t="str">
        <f>IFERROR(StockInData[Expiry],"")</f>
        <v/>
      </c>
      <c r="H285" s="61"/>
      <c r="I285" s="61">
        <f>SUMIFS(StockInData[Quantity],StockInData[Product ID],ProductMaster!$B285)-SUMIFS(StockOutData[Quantity],StockOutData[Product ID],ProductMaster!$B285)</f>
        <v>-1</v>
      </c>
      <c r="J285" s="64">
        <f>SUMIFS(StockInData[Value],StockInData[Product ID],ProductMaster!$B285)-SUMIFS(StockOutData[Value],StockOutData[Product ID],ProductMaster!$B285)</f>
        <v>-30</v>
      </c>
    </row>
    <row r="286" spans="1:10" hidden="1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 t="str">
        <f>IFERROR(StockInData[Expiry],"")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hidden="1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 t="str">
        <f>IFERROR(StockInData[Expiry],"")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hidden="1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 t="str">
        <f>IFERROR(StockInData[Expiry],"")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 t="str">
        <f>IFERROR(StockInData[Expiry],"")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 t="str">
        <f>IFERROR(StockInData[Expiry],"")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hidden="1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 t="str">
        <f>IFERROR(StockInData[Expiry],"")</f>
        <v/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hidden="1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 t="str">
        <f>IFERROR(StockInData[Expiry],"")</f>
        <v/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hidden="1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 t="str">
        <f>IFERROR(StockInData[Expiry],"")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hidden="1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 t="str">
        <f>IFERROR(StockInData[Expiry],"")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hidden="1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 t="str">
        <f>IFERROR(StockInData[Expiry],"")</f>
        <v/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hidden="1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 t="str">
        <f>IFERROR(StockInData[Expiry],"")</f>
        <v/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hidden="1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 t="str">
        <f>IFERROR(StockInData[Expiry],"")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 t="str">
        <f>IFERROR(StockInData[Expiry],"")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 t="str">
        <f>IFERROR(StockInData[Expiry],"")</f>
        <v/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hidden="1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 t="str">
        <f>IFERROR(StockInData[Expiry],"")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hidden="1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 t="str">
        <f>IFERROR(StockInData[Expiry],"")</f>
        <v/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hidden="1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 t="str">
        <f>IFERROR(StockInData[Expiry],"")</f>
        <v/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 t="str">
        <f>IFERROR(StockInData[Expiry],"")</f>
        <v/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 t="str">
        <f>IFERROR(StockInData[Expiry],"")</f>
        <v/>
      </c>
      <c r="H304" s="61"/>
      <c r="I304" s="61">
        <f>SUMIFS(StockInData[Quantity],StockInData[Product ID],ProductMaster!$B304)-SUMIFS(StockOutData[Quantity],StockOutData[Product ID],ProductMaster!$B304)</f>
        <v>0.91666666666666596</v>
      </c>
      <c r="J304" s="64">
        <f>SUMIFS(StockInData[Value],StockInData[Product ID],ProductMaster!$B304)-SUMIFS(StockOutData[Value],StockOutData[Product ID],ProductMaster!$B304)</f>
        <v>10</v>
      </c>
    </row>
    <row r="305" spans="1:10" hidden="1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 t="str">
        <f>IFERROR(StockInData[Expiry],"")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hidden="1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 t="str">
        <f>IFERROR(StockInData[Expiry],"")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 t="str">
        <f>IFERROR(StockInData[Expiry],"")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 t="str">
        <f>IFERROR(StockInData[Expiry],"")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 t="str">
        <f>IFERROR(StockInData[Expiry],"")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 t="str">
        <f>IFERROR(StockInData[Expiry],"")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 t="str">
        <f>IFERROR(StockInData[Expiry],"")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hidden="1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 t="str">
        <f>IFERROR(StockInData[Expiry],"")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hidden="1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 t="str">
        <f>IFERROR(StockInData[Expiry],"")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hidden="1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 t="str">
        <f>IFERROR(StockInData[Expiry],"")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hidden="1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 t="str">
        <f>IFERROR(StockInData[Expiry],"")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hidden="1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 t="str">
        <f>IFERROR(StockInData[Expiry],"")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hidden="1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 t="str">
        <f>IFERROR(StockInData[Expiry],"")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hidden="1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 t="str">
        <f>IFERROR(StockInData[Expiry],"")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hidden="1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 t="str">
        <f>IFERROR(StockInData[Expiry],"")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hidden="1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 t="str">
        <f>IFERROR(StockInData[Expiry],"")</f>
        <v/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-14.899999999999999</v>
      </c>
    </row>
    <row r="321" spans="1:10" hidden="1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 t="str">
        <f>IFERROR(StockInData[Expiry],"")</f>
        <v/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hidden="1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 t="str">
        <f>IFERROR(StockInData[Expiry],"")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hidden="1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 t="str">
        <f>IFERROR(StockInData[Expiry],"")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hidden="1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 t="str">
        <f>IFERROR(StockInData[Expiry],"")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hidden="1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 t="str">
        <f>IFERROR(StockInData[Expiry],"")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hidden="1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 t="str">
        <f>IFERROR(StockInData[Expiry],"")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 t="str">
        <f>IFERROR(StockInData[Expiry],"")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hidden="1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 t="str">
        <f>IFERROR(StockInData[Expiry],"")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hidden="1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 t="str">
        <f>IFERROR(StockInData[Expiry],"")</f>
        <v/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hidden="1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 t="str">
        <f>IFERROR(StockInData[Expiry],"")</f>
        <v/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 t="str">
        <f>IFERROR(StockInData[Expiry],"")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 t="str">
        <f>IFERROR(StockInData[Expiry],"")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 t="str">
        <f>IFERROR(StockInData[Expiry],"")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 t="str">
        <f>IFERROR(StockInData[Expiry],"")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 t="str">
        <f>IFERROR(StockInData[Expiry],"")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 t="str">
        <f>IFERROR(StockInData[Expiry],"")</f>
        <v/>
      </c>
      <c r="H336" s="61"/>
      <c r="I336" s="61">
        <f>SUMIFS(StockInData[Quantity],StockInData[Product ID],ProductMaster!$B336)-SUMIFS(StockOutData[Quantity],StockOutData[Product ID],ProductMaster!$B336)</f>
        <v>170</v>
      </c>
      <c r="J336" s="64">
        <f>SUMIFS(StockInData[Value],StockInData[Product ID],ProductMaster!$B336)-SUMIFS(StockOutData[Value],StockOutData[Product ID],ProductMaster!$B336)</f>
        <v>30</v>
      </c>
    </row>
    <row r="337" spans="1:10" hidden="1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 t="str">
        <f>IFERROR(StockInData[Expiry],"")</f>
        <v/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 t="str">
        <f>IFERROR(StockInData[Expiry],"")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hidden="1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 t="str">
        <f>IFERROR(StockInData[Expiry],"")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hidden="1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 t="str">
        <f>IFERROR(StockInData[Expiry],"")</f>
        <v/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hidden="1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 t="str">
        <f>IFERROR(StockInData[Expiry],"")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hidden="1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 t="str">
        <f>IFERROR(StockInData[Expiry],"")</f>
        <v/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hidden="1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 t="str">
        <f>IFERROR(StockInData[Expiry],"")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hidden="1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 t="str">
        <f>IFERROR(StockInData[Expiry],"")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hidden="1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 t="str">
        <f>IFERROR(StockInData[Expiry],"")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hidden="1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 t="str">
        <f>IFERROR(StockInData[Expiry],"")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hidden="1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 t="str">
        <f>IFERROR(StockInData[Expiry],"")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hidden="1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 t="str">
        <f>IFERROR(StockInData[Expiry],"")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hidden="1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 t="str">
        <f>IFERROR(StockInData[Expiry],"")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hidden="1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 t="str">
        <f>IFERROR(StockInData[Expiry],"")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hidden="1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 t="str">
        <f>IFERROR(StockInData[Expiry],"")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hidden="1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 t="str">
        <f>IFERROR(StockInData[Expiry],"")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hidden="1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 t="str">
        <f>IFERROR(StockInData[Expiry],"")</f>
        <v/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hidden="1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 t="str">
        <f>IFERROR(StockInData[Expiry],"")</f>
        <v/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hidden="1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 t="str">
        <f>IFERROR(StockInData[Expiry],"")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 t="str">
        <f>IFERROR(StockInData[Expiry],"")</f>
        <v/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 t="str">
        <f>IFERROR(StockInData[Expiry],"")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hidden="1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 t="str">
        <f>IFERROR(StockInData[Expiry],"")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hidden="1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 t="str">
        <f>IFERROR(StockInData[Expiry],"")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hidden="1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 t="str">
        <f>IFERROR(StockInData[Expiry],"")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hidden="1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 t="str">
        <f>IFERROR(StockInData[Expiry],"")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hidden="1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 t="str">
        <f>IFERROR(StockInData[Expiry],"")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hidden="1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 t="str">
        <f>IFERROR(StockInData[Expiry],"")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hidden="1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 t="str">
        <f>IFERROR(StockInData[Expiry],"")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 t="str">
        <f>IFERROR(StockInData[Expiry],"")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 t="str">
        <f>IFERROR(StockInData[Expiry],"")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 t="str">
        <f>IFERROR(StockInData[Expiry],"")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 t="str">
        <f>IFERROR(StockInData[Expiry],"")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 t="str">
        <f>IFERROR(StockInData[Expiry],"")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 t="str">
        <f>IFERROR(StockInData[Expiry],"")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 t="str">
        <f>IFERROR(StockInData[Expiry],"")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hidden="1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 t="str">
        <f>IFERROR(StockInData[Expiry],"")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hidden="1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 t="str">
        <f>IFERROR(StockInData[Expiry],"")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hidden="1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 t="str">
        <f>IFERROR(StockInData[Expiry],"")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hidden="1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 t="str">
        <f>IFERROR(StockInData[Expiry],"")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hidden="1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 t="str">
        <f>IFERROR(StockInData[Expiry],"")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hidden="1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 t="str">
        <f>IFERROR(StockInData[Expiry],"")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hidden="1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 t="str">
        <f>IFERROR(StockInData[Expiry],"")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hidden="1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 t="str">
        <f>IFERROR(StockInData[Expiry],"")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hidden="1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 t="str">
        <f>IFERROR(StockInData[Expiry],"")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 t="str">
        <f>IFERROR(StockInData[Expiry],"")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 t="str">
        <f>IFERROR(StockInData[Expiry],"")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 t="str">
        <f>IFERROR(StockInData[Expiry],"")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 t="str">
        <f>IFERROR(StockInData[Expiry],"")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hidden="1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 t="str">
        <f>IFERROR(StockInData[Expiry],"")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hidden="1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 t="str">
        <f>IFERROR(StockInData[Expiry],"")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hidden="1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 t="str">
        <f>IFERROR(StockInData[Expiry],"")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hidden="1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 t="str">
        <f>IFERROR(StockInData[Expiry],"")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hidden="1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 t="str">
        <f>IFERROR(StockInData[Expiry],"")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hidden="1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 t="str">
        <f>IFERROR(StockInData[Expiry],"")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hidden="1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 t="str">
        <f>IFERROR(StockInData[Expiry],"")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hidden="1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 t="str">
        <f>IFERROR(StockInData[Expiry],"")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hidden="1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 t="str">
        <f>IFERROR(StockInData[Expiry],"")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hidden="1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 t="str">
        <f>IFERROR(StockInData[Expiry],"")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hidden="1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 t="str">
        <f>IFERROR(StockInData[Expiry],"")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hidden="1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 t="str">
        <f>IFERROR(StockInData[Expiry],"")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hidden="1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 t="str">
        <f>IFERROR(StockInData[Expiry],"")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 t="str">
        <f>IFERROR(StockInData[Expiry],"")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hidden="1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 t="str">
        <f>IFERROR(StockInData[Expiry],"")</f>
        <v/>
      </c>
      <c r="H399" s="61"/>
      <c r="I399" s="61">
        <f>SUMIFS(StockInData[Quantity],StockInData[Product ID],ProductMaster!$B399)-SUMIFS(StockOutData[Quantity],StockOutData[Product ID],ProductMaster!$B399)</f>
        <v>-1</v>
      </c>
      <c r="J399" s="64">
        <f>SUMIFS(StockInData[Value],StockInData[Product ID],ProductMaster!$B399)-SUMIFS(StockOutData[Value],StockOutData[Product ID],ProductMaster!$B399)</f>
        <v>-13.14</v>
      </c>
    </row>
    <row r="400" spans="1:10" hidden="1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 t="str">
        <f>IFERROR(StockInData[Expiry],"")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 t="str">
        <f>IFERROR(StockInData[Expiry],"")</f>
        <v/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hidden="1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 t="str">
        <f>IFERROR(StockInData[Expiry],"")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hidden="1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 t="str">
        <f>IFERROR(StockInData[Expiry],"")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hidden="1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 t="str">
        <f>IFERROR(StockInData[Expiry],"")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hidden="1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 t="str">
        <f>IFERROR(StockInData[Expiry],"")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hidden="1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 t="str">
        <f>IFERROR(StockInData[Expiry],"")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hidden="1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 t="str">
        <f>IFERROR(StockInData[Expiry],"")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hidden="1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 t="str">
        <f>IFERROR(StockInData[Expiry],"")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hidden="1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 t="str">
        <f>IFERROR(StockInData[Expiry],"")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 t="str">
        <f>IFERROR(StockInData[Expiry],"")</f>
        <v/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 t="str">
        <f>IFERROR(StockInData[Expiry],"")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hidden="1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 t="str">
        <f>IFERROR(StockInData[Expiry],"")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hidden="1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 t="str">
        <f>IFERROR(StockInData[Expiry],"")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hidden="1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 t="str">
        <f>IFERROR(StockInData[Expiry],"")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hidden="1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 t="str">
        <f>IFERROR(StockInData[Expiry],"")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 t="str">
        <f>IFERROR(StockInData[Expiry],"")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 t="str">
        <f>IFERROR(StockInData[Expiry],"")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 t="str">
        <f>IFERROR(StockInData[Expiry],"")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 t="str">
        <f>IFERROR(StockInData[Expiry],"")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hidden="1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 t="str">
        <f>IFERROR(StockInData[Expiry],"")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hidden="1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 t="str">
        <f>IFERROR(StockInData[Expiry],"")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 t="str">
        <f>IFERROR(StockInData[Expiry],"")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 t="str">
        <f>IFERROR(StockInData[Expiry],"")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 t="str">
        <f>IFERROR(StockInData[Expiry],"")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 t="str">
        <f>IFERROR(StockInData[Expiry],"")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 t="str">
        <f>IFERROR(StockInData[Expiry],"")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 t="str">
        <f>IFERROR(StockInData[Expiry],"")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 t="str">
        <f>IFERROR(StockInData[Expiry],"")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 t="str">
        <f>IFERROR(StockInData[Expiry],"")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hidden="1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 t="str">
        <f>IFERROR(StockInData[Expiry],"")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hidden="1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 t="str">
        <f>IFERROR(StockInData[Expiry],"")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hidden="1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 t="str">
        <f>IFERROR(StockInData[Expiry],"")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hidden="1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 t="str">
        <f>IFERROR(StockInData[Expiry],"")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hidden="1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 t="str">
        <f>IFERROR(StockInData[Expiry],"")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hidden="1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 t="str">
        <f>IFERROR(StockInData[Expiry],"")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hidden="1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 t="str">
        <f>IFERROR(StockInData[Expiry],"")</f>
        <v/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 t="str">
        <f>IFERROR(StockInData[Expiry],"")</f>
        <v/>
      </c>
      <c r="H437" s="61"/>
      <c r="I437" s="61">
        <f>SUMIFS(StockInData[Quantity],StockInData[Product ID],ProductMaster!$B437)-SUMIFS(StockOutData[Quantity],StockOutData[Product ID],ProductMaster!$B437)</f>
        <v>-3</v>
      </c>
      <c r="J437" s="64">
        <f>SUMIFS(StockInData[Value],StockInData[Product ID],ProductMaster!$B437)-SUMIFS(StockOutData[Value],StockOutData[Product ID],ProductMaster!$B437)</f>
        <v>-31.47</v>
      </c>
    </row>
    <row r="438" spans="1:10" hidden="1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 t="str">
        <f>IFERROR(StockInData[Expiry],"")</f>
        <v/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hidden="1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 t="str">
        <f>IFERROR(StockInData[Expiry],"")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 t="str">
        <f>IFERROR(StockInData[Expiry],"")</f>
        <v/>
      </c>
      <c r="H440" s="61"/>
      <c r="I440" s="61">
        <f>SUMIFS(StockInData[Quantity],StockInData[Product ID],ProductMaster!$B440)-SUMIFS(StockOutData[Quantity],StockOutData[Product ID],ProductMaster!$B440)</f>
        <v>-6</v>
      </c>
      <c r="J440" s="64">
        <f>SUMIFS(StockInData[Value],StockInData[Product ID],ProductMaster!$B440)-SUMIFS(StockOutData[Value],StockOutData[Product ID],ProductMaster!$B440)</f>
        <v>-35.94</v>
      </c>
    </row>
    <row r="441" spans="1:10" hidden="1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 t="str">
        <f>IFERROR(StockInData[Expiry],"")</f>
        <v/>
      </c>
      <c r="H441" s="61"/>
      <c r="I441" s="61">
        <f>SUMIFS(StockInData[Quantity],StockInData[Product ID],ProductMaster!$B441)-SUMIFS(StockOutData[Quantity],StockOutData[Product ID],ProductMaster!$B441)</f>
        <v>-7</v>
      </c>
      <c r="J441" s="64">
        <f>SUMIFS(StockInData[Value],StockInData[Product ID],ProductMaster!$B441)-SUMIFS(StockOutData[Value],StockOutData[Product ID],ProductMaster!$B441)</f>
        <v>-75.460000000000008</v>
      </c>
    </row>
    <row r="442" spans="1:10" hidden="1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 t="str">
        <f>IFERROR(StockInData[Expiry],"")</f>
        <v/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hidden="1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 t="str">
        <f>IFERROR(StockInData[Expiry],"")</f>
        <v/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 t="str">
        <f>IFERROR(StockInData[Expiry],"")</f>
        <v/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 t="str">
        <f>IFERROR(StockInData[Expiry],"")</f>
        <v/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 t="str">
        <f>IFERROR(StockInData[Expiry],"")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 t="str">
        <f>IFERROR(StockInData[Expiry],"")</f>
        <v/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 t="str">
        <f>IFERROR(StockInData[Expiry],"")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 t="str">
        <f>IFERROR(StockInData[Expiry],"")</f>
        <v/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 t="str">
        <f>IFERROR(StockInData[Expiry],"")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 t="str">
        <f>IFERROR(StockInData[Expiry],"")</f>
        <v/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 t="str">
        <f>IFERROR(StockInData[Expiry],"")</f>
        <v/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 t="str">
        <f>IFERROR(StockInData[Expiry],"")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 t="str">
        <f>IFERROR(StockInData[Expiry],"")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hidden="1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 t="str">
        <f>IFERROR(StockInData[Expiry],"")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hidden="1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 t="str">
        <f>IFERROR(StockInData[Expiry],"")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 t="str">
        <f>IFERROR(StockInData[Expiry],"")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 t="str">
        <f>IFERROR(StockInData[Expiry],"")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hidden="1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 t="str">
        <f>IFERROR(StockInData[Expiry],"")</f>
        <v/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hidden="1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 t="str">
        <f>IFERROR(StockInData[Expiry],"")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 t="str">
        <f>IFERROR(StockInData[Expiry],"")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 t="str">
        <f>IFERROR(StockInData[Expiry],"")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 t="str">
        <f>IFERROR(StockInData[Expiry],"")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 t="str">
        <f>IFERROR(StockInData[Expiry],"")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 t="str">
        <f>IFERROR(StockInData[Expiry],"")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 t="str">
        <f>IFERROR(StockInData[Expiry],"")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hidden="1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 t="str">
        <f>IFERROR(StockInData[Expiry],"")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hidden="1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 t="str">
        <f>IFERROR(StockInData[Expiry],"")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hidden="1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 t="str">
        <f>IFERROR(StockInData[Expiry],"")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hidden="1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 t="str">
        <f>IFERROR(StockInData[Expiry],"")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hidden="1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 t="str">
        <f>IFERROR(StockInData[Expiry],"")</f>
        <v/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hidden="1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 t="str">
        <f>IFERROR(StockInData[Expiry],"")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hidden="1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 t="str">
        <f>IFERROR(StockInData[Expiry],"")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hidden="1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 t="str">
        <f>IFERROR(StockInData[Expiry],"")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 t="str">
        <f>IFERROR(StockInData[Expiry],"")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 t="str">
        <f>IFERROR(StockInData[Expiry],"")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 t="str">
        <f>IFERROR(StockInData[Expiry],"")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hidden="1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 t="str">
        <f>IFERROR(StockInData[Expiry],"")</f>
        <v/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hidden="1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 t="str">
        <f>IFERROR(StockInData[Expiry],"")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hidden="1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 t="str">
        <f>IFERROR(StockInData[Expiry],"")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hidden="1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 t="str">
        <f>IFERROR(StockInData[Expiry],"")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hidden="1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 t="str">
        <f>IFERROR(StockInData[Expiry],"")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hidden="1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 t="str">
        <f>IFERROR(StockInData[Expiry],"")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hidden="1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 t="str">
        <f>IFERROR(StockInData[Expiry],"")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hidden="1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 t="str">
        <f>IFERROR(StockInData[Expiry],"")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hidden="1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 t="str">
        <f>IFERROR(StockInData[Expiry],"")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hidden="1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 t="str">
        <f>IFERROR(StockInData[Expiry],"")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hidden="1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 t="str">
        <f>IFERROR(StockInData[Expiry],"")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hidden="1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 t="str">
        <f>IFERROR(StockInData[Expiry],"")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hidden="1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 t="str">
        <f>IFERROR(StockInData[Expiry],"")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hidden="1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 t="str">
        <f>IFERROR(StockInData[Expiry],"")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 t="str">
        <f>IFERROR(StockInData[Expiry],"")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hidden="1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 t="str">
        <f>IFERROR(StockInData[Expiry],"")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hidden="1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 t="str">
        <f>IFERROR(StockInData[Expiry],"")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hidden="1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 t="str">
        <f>IFERROR(StockInData[Expiry],"")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hidden="1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 t="str">
        <f>IFERROR(StockInData[Expiry],"")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 t="str">
        <f>IFERROR(StockInData[Expiry],"")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 t="str">
        <f>IFERROR(StockInData[Expiry],"")</f>
        <v/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 t="str">
        <f>IFERROR(StockInData[Expiry],"")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 t="str">
        <f>IFERROR(StockInData[Expiry],"")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 t="str">
        <f>IFERROR(StockInData[Expiry],"")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 t="str">
        <f>IFERROR(StockInData[Expiry],"")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 t="str">
        <f>IFERROR(StockInData[Expiry],"")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 t="str">
        <f>IFERROR(StockInData[Expiry],"")</f>
        <v/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 t="str">
        <f>IFERROR(StockInData[Expiry],"")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 t="str">
        <f>IFERROR(StockInData[Expiry],"")</f>
        <v/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 t="str">
        <f>IFERROR(StockInData[Expiry],"")</f>
        <v/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 t="str">
        <f>IFERROR(StockInData[Expiry],"")</f>
        <v/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 t="str">
        <f>IFERROR(StockInData[Expiry],"")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 t="str">
        <f>IFERROR(StockInData[Expiry],"")</f>
        <v/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 t="str">
        <f>IFERROR(StockInData[Expiry],"")</f>
        <v/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 t="str">
        <f>IFERROR(StockInData[Expiry],"")</f>
        <v/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 t="str">
        <f>IFERROR(StockInData[Expiry],"")</f>
        <v/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 t="str">
        <f>IFERROR(StockInData[Expiry],"")</f>
        <v/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 t="str">
        <f>IFERROR(StockInData[Expiry],"")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 t="str">
        <f>IFERROR(StockInData[Expiry],"")</f>
        <v/>
      </c>
      <c r="H516" s="61"/>
      <c r="I516" s="61">
        <f>SUMIFS(StockInData[Quantity],StockInData[Product ID],ProductMaster!$B516)-SUMIFS(StockOutData[Quantity],StockOutData[Product ID],ProductMaster!$B516)</f>
        <v>-3</v>
      </c>
      <c r="J516" s="64">
        <f>SUMIFS(StockInData[Value],StockInData[Product ID],ProductMaster!$B516)-SUMIFS(StockOutData[Value],StockOutData[Product ID],ProductMaster!$B516)</f>
        <v>-23.700000000000003</v>
      </c>
    </row>
    <row r="517" spans="1:10" hidden="1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 t="str">
        <f>IFERROR(StockInData[Expiry],"")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 t="str">
        <f>IFERROR(StockInData[Expiry],"")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 t="str">
        <f>IFERROR(StockInData[Expiry],"")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 t="str">
        <f>IFERROR(StockInData[Expiry],"")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 t="str">
        <f>IFERROR(StockInData[Expiry],"")</f>
        <v/>
      </c>
      <c r="H521" s="61"/>
      <c r="I521" s="61">
        <f>SUMIFS(StockInData[Quantity],StockInData[Product ID],ProductMaster!$B521)-SUMIFS(StockOutData[Quantity],StockOutData[Product ID],ProductMaster!$B521)</f>
        <v>-3</v>
      </c>
      <c r="J521" s="64">
        <f>SUMIFS(StockInData[Value],StockInData[Product ID],ProductMaster!$B521)-SUMIFS(StockOutData[Value],StockOutData[Product ID],ProductMaster!$B521)</f>
        <v>-23.700000000000003</v>
      </c>
    </row>
    <row r="522" spans="1:10" hidden="1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 t="str">
        <f>IFERROR(StockInData[Expiry],"")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 t="str">
        <f>IFERROR(StockInData[Expiry],"")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 t="str">
        <f>IFERROR(StockInData[Expiry],"")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 t="str">
        <f>IFERROR(StockInData[Expiry],"")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 t="str">
        <f>IFERROR(StockInData[Expiry],"")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 t="str">
        <f>IFERROR(StockInData[Expiry],"")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 t="str">
        <f>IFERROR(StockInData[Expiry],"")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 t="str">
        <f>IFERROR(StockInData[Expiry],"")</f>
        <v/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 t="str">
        <f>IFERROR(StockInData[Expiry],"")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 t="str">
        <f>IFERROR(StockInData[Expiry],"")</f>
        <v/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 t="str">
        <f>IFERROR(StockInData[Expiry],"")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hidden="1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 t="str">
        <f>IFERROR(StockInData[Expiry],"")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hidden="1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 t="str">
        <f>IFERROR(StockInData[Expiry],"")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 t="str">
        <f>IFERROR(StockInData[Expiry],"")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 t="str">
        <f>IFERROR(StockInData[Expiry],"")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 t="str">
        <f>IFERROR(StockInData[Expiry],"")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 t="str">
        <f>IFERROR(StockInData[Expiry],"")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 t="str">
        <f>IFERROR(StockInData[Expiry],"")</f>
        <v/>
      </c>
      <c r="H539" s="61"/>
      <c r="I539" s="61">
        <f>SUMIFS(StockInData[Quantity],StockInData[Product ID],ProductMaster!$B539)-SUMIFS(StockOutData[Quantity],StockOutData[Product ID],ProductMaster!$B539)</f>
        <v>-3</v>
      </c>
      <c r="J539" s="64">
        <f>SUMIFS(StockInData[Value],StockInData[Product ID],ProductMaster!$B539)-SUMIFS(StockOutData[Value],StockOutData[Product ID],ProductMaster!$B539)</f>
        <v>-23.3</v>
      </c>
    </row>
    <row r="540" spans="1:10" hidden="1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 t="str">
        <f>IFERROR(StockInData[Expiry],"")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 t="str">
        <f>IFERROR(StockInData[Expiry],"")</f>
        <v/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hidden="1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 t="str">
        <f>IFERROR(StockInData[Expiry],"")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hidden="1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 t="str">
        <f>IFERROR(StockInData[Expiry],"")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 t="str">
        <f>IFERROR(StockInData[Expiry],"")</f>
        <v/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 t="str">
        <f>IFERROR(StockInData[Expiry],"")</f>
        <v/>
      </c>
      <c r="H545" s="61"/>
      <c r="I545" s="61">
        <f>SUMIFS(StockInData[Quantity],StockInData[Product ID],ProductMaster!$B545)-SUMIFS(StockOutData[Quantity],StockOutData[Product ID],ProductMaster!$B545)</f>
        <v>-2</v>
      </c>
      <c r="J545" s="64">
        <f>SUMIFS(StockInData[Value],StockInData[Product ID],ProductMaster!$B545)-SUMIFS(StockOutData[Value],StockOutData[Product ID],ProductMaster!$B545)</f>
        <v>-15</v>
      </c>
    </row>
    <row r="546" spans="1:10" hidden="1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 t="str">
        <f>IFERROR(StockInData[Expiry],"")</f>
        <v/>
      </c>
      <c r="H546" s="61"/>
      <c r="I546" s="61">
        <f>SUMIFS(StockInData[Quantity],StockInData[Product ID],ProductMaster!$B546)-SUMIFS(StockOutData[Quantity],StockOutData[Product ID],ProductMaster!$B546)</f>
        <v>-1</v>
      </c>
      <c r="J546" s="64">
        <f>SUMIFS(StockInData[Value],StockInData[Product ID],ProductMaster!$B546)-SUMIFS(StockOutData[Value],StockOutData[Product ID],ProductMaster!$B546)</f>
        <v>-7.9</v>
      </c>
    </row>
    <row r="547" spans="1:10" hidden="1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 t="str">
        <f>IFERROR(StockInData[Expiry],"")</f>
        <v/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 t="str">
        <f>IFERROR(StockInData[Expiry],"")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hidden="1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 t="str">
        <f>IFERROR(StockInData[Expiry],"")</f>
        <v/>
      </c>
      <c r="H549" s="61"/>
      <c r="I549" s="61">
        <f>SUMIFS(StockInData[Quantity],StockInData[Product ID],ProductMaster!$B549)-SUMIFS(StockOutData[Quantity],StockOutData[Product ID],ProductMaster!$B549)</f>
        <v>-3</v>
      </c>
      <c r="J549" s="64">
        <f>SUMIFS(StockInData[Value],StockInData[Product ID],ProductMaster!$B549)-SUMIFS(StockOutData[Value],StockOutData[Product ID],ProductMaster!$B549)</f>
        <v>-38.25</v>
      </c>
    </row>
    <row r="550" spans="1:10" hidden="1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 t="str">
        <f>IFERROR(StockInData[Expiry],"")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 t="str">
        <f>IFERROR(StockInData[Expiry],"")</f>
        <v/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 t="str">
        <f>IFERROR(StockInData[Expiry],"")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 t="str">
        <f>IFERROR(StockInData[Expiry],"")</f>
        <v/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 t="str">
        <f>IFERROR(StockInData[Expiry],"")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 t="str">
        <f>IFERROR(StockInData[Expiry],"")</f>
        <v/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hidden="1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 t="str">
        <f>IFERROR(StockInData[Expiry],"")</f>
        <v/>
      </c>
      <c r="H556" s="61"/>
      <c r="I556" s="61">
        <f>SUMIFS(StockInData[Quantity],StockInData[Product ID],ProductMaster!$B556)-SUMIFS(StockOutData[Quantity],StockOutData[Product ID],ProductMaster!$B556)</f>
        <v>-1</v>
      </c>
      <c r="J556" s="64">
        <f>SUMIFS(StockInData[Value],StockInData[Product ID],ProductMaster!$B556)-SUMIFS(StockOutData[Value],StockOutData[Product ID],ProductMaster!$B556)</f>
        <v>-29.880000000000003</v>
      </c>
    </row>
    <row r="557" spans="1:10" hidden="1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 t="str">
        <f>IFERROR(StockInData[Expiry],"")</f>
        <v/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hidden="1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 t="str">
        <f>IFERROR(StockInData[Expiry],"")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hidden="1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 t="str">
        <f>IFERROR(StockInData[Expiry],"")</f>
        <v/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hidden="1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 t="str">
        <f>IFERROR(StockInData[Expiry],"")</f>
        <v/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hidden="1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 t="str">
        <f>IFERROR(StockInData[Expiry],"")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hidden="1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 t="str">
        <f>IFERROR(StockInData[Expiry],"")</f>
        <v/>
      </c>
      <c r="H562" s="61"/>
      <c r="I562" s="61">
        <f>SUMIFS(StockInData[Quantity],StockInData[Product ID],ProductMaster!$B562)-SUMIFS(StockOutData[Quantity],StockOutData[Product ID],ProductMaster!$B562)</f>
        <v>-2</v>
      </c>
      <c r="J562" s="64">
        <f>SUMIFS(StockInData[Value],StockInData[Product ID],ProductMaster!$B562)-SUMIFS(StockOutData[Value],StockOutData[Product ID],ProductMaster!$B562)</f>
        <v>-2.4000000000000004</v>
      </c>
    </row>
    <row r="563" spans="1:10" hidden="1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 t="str">
        <f>IFERROR(StockInData[Expiry],"")</f>
        <v/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 t="str">
        <f>IFERROR(StockInData[Expiry],"")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 t="str">
        <f>IFERROR(StockInData[Expiry],"")</f>
        <v/>
      </c>
      <c r="H565" s="61"/>
      <c r="I565" s="61">
        <f>SUMIFS(StockInData[Quantity],StockInData[Product ID],ProductMaster!$B565)-SUMIFS(StockOutData[Quantity],StockOutData[Product ID],ProductMaster!$B565)</f>
        <v>-1</v>
      </c>
      <c r="J565" s="64">
        <f>SUMIFS(StockInData[Value],StockInData[Product ID],ProductMaster!$B565)-SUMIFS(StockOutData[Value],StockOutData[Product ID],ProductMaster!$B565)</f>
        <v>-7.5</v>
      </c>
    </row>
    <row r="566" spans="1:10" hidden="1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 t="str">
        <f>IFERROR(StockInData[Expiry],"")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hidden="1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 t="str">
        <f>IFERROR(StockInData[Expiry],"")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hidden="1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 t="str">
        <f>IFERROR(StockInData[Expiry],"")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hidden="1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 t="str">
        <f>IFERROR(StockInData[Expiry],"")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hidden="1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 t="str">
        <f>IFERROR(StockInData[Expiry],"")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hidden="1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 t="str">
        <f>IFERROR(StockInData[Expiry],"")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hidden="1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 t="str">
        <f>IFERROR(StockInData[Expiry],"")</f>
        <v/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hidden="1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 t="str">
        <f>IFERROR(StockInData[Expiry],"")</f>
        <v/>
      </c>
      <c r="H573" s="61"/>
      <c r="I573" s="61">
        <f>SUMIFS(StockInData[Quantity],StockInData[Product ID],ProductMaster!$B573)-SUMIFS(StockOutData[Quantity],StockOutData[Product ID],ProductMaster!$B573)</f>
        <v>-0.5</v>
      </c>
      <c r="J573" s="64">
        <f>SUMIFS(StockInData[Value],StockInData[Product ID],ProductMaster!$B573)-SUMIFS(StockOutData[Value],StockOutData[Product ID],ProductMaster!$B573)</f>
        <v>-10.399999999999999</v>
      </c>
    </row>
    <row r="574" spans="1:10" hidden="1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 t="str">
        <f>IFERROR(StockInData[Expiry],"")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hidden="1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 t="str">
        <f>IFERROR(StockInData[Expiry],"")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hidden="1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 t="str">
        <f>IFERROR(StockInData[Expiry],"")</f>
        <v/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hidden="1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 t="str">
        <f>IFERROR(StockInData[Expiry],"")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hidden="1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 t="str">
        <f>IFERROR(StockInData[Expiry],"")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hidden="1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 t="str">
        <f>IFERROR(StockInData[Expiry],"")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 t="str">
        <f>IFERROR(StockInData[Expiry],"")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 t="str">
        <f>IFERROR(StockInData[Expiry],"")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 t="str">
        <f>IFERROR(StockInData[Expiry],"")</f>
        <v/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hidden="1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 t="str">
        <f>IFERROR(StockInData[Expiry],"")</f>
        <v/>
      </c>
      <c r="H583" s="61"/>
      <c r="I583" s="61">
        <f>SUMIFS(StockInData[Quantity],StockInData[Product ID],ProductMaster!$B583)-SUMIFS(StockOutData[Quantity],StockOutData[Product ID],ProductMaster!$B583)</f>
        <v>-1</v>
      </c>
      <c r="J583" s="64">
        <f>SUMIFS(StockInData[Value],StockInData[Product ID],ProductMaster!$B583)-SUMIFS(StockOutData[Value],StockOutData[Product ID],ProductMaster!$B583)</f>
        <v>-7.9</v>
      </c>
    </row>
    <row r="584" spans="1:10" hidden="1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 t="str">
        <f>IFERROR(StockInData[Expiry],"")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 t="str">
        <f>IFERROR(StockInData[Expiry],"")</f>
        <v/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 t="str">
        <f>IFERROR(StockInData[Expiry],"")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 t="str">
        <f>IFERROR(StockInData[Expiry],"")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 t="str">
        <f>IFERROR(StockInData[Expiry],"")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 t="str">
        <f>IFERROR(StockInData[Expiry],"")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 t="str">
        <f>IFERROR(StockInData[Expiry],"")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 t="str">
        <f>IFERROR(StockInData[Expiry],"")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 t="str">
        <f>IFERROR(StockInData[Expiry],"")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hidden="1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 t="str">
        <f>IFERROR(StockInData[Expiry],"")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hidden="1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 t="str">
        <f>IFERROR(StockInData[Expiry],"")</f>
        <v/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 t="str">
        <f>IFERROR(StockInData[Expiry],"")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hidden="1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 t="str">
        <f>IFERROR(StockInData[Expiry],"")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hidden="1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 t="str">
        <f>IFERROR(StockInData[Expiry],"")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hidden="1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 t="str">
        <f>IFERROR(StockInData[Expiry],"")</f>
        <v/>
      </c>
      <c r="H598" s="61"/>
      <c r="I598" s="61">
        <f>SUMIFS(StockInData[Quantity],StockInData[Product ID],ProductMaster!$B598)-SUMIFS(StockOutData[Quantity],StockOutData[Product ID],ProductMaster!$B598)</f>
        <v>-2</v>
      </c>
      <c r="J598" s="64">
        <f>SUMIFS(StockInData[Value],StockInData[Product ID],ProductMaster!$B598)-SUMIFS(StockOutData[Value],StockOutData[Product ID],ProductMaster!$B598)</f>
        <v>-15.8</v>
      </c>
    </row>
    <row r="599" spans="1:10" hidden="1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 t="str">
        <f>IFERROR(StockInData[Expiry],"")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 t="str">
        <f>IFERROR(StockInData[Expiry],"")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hidden="1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 t="str">
        <f>IFERROR(StockInData[Expiry],"")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hidden="1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 t="str">
        <f>IFERROR(StockInData[Expiry],"")</f>
        <v/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hidden="1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 t="str">
        <f>IFERROR(StockInData[Expiry],"")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hidden="1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 t="str">
        <f>IFERROR(StockInData[Expiry],"")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hidden="1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 t="str">
        <f>IFERROR(StockInData[Expiry],"")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hidden="1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 t="str">
        <f>IFERROR(StockInData[Expiry],"")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hidden="1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 t="str">
        <f>IFERROR(StockInData[Expiry],"")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hidden="1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 t="str">
        <f>IFERROR(StockInData[Expiry],"")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hidden="1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 t="str">
        <f>IFERROR(StockInData[Expiry],"")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hidden="1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 t="str">
        <f>IFERROR(StockInData[Expiry],"")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 t="str">
        <f>IFERROR(StockInData[Expiry],"")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hidden="1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 t="str">
        <f>IFERROR(StockInData[Expiry],"")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hidden="1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 t="str">
        <f>IFERROR(StockInData[Expiry],"")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hidden="1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 t="str">
        <f>IFERROR(StockInData[Expiry],"")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hidden="1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 t="str">
        <f>IFERROR(StockInData[Expiry],"")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hidden="1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 t="str">
        <f>IFERROR(StockInData[Expiry],"")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hidden="1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 t="str">
        <f>IFERROR(StockInData[Expiry],"")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hidden="1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 t="str">
        <f>IFERROR(StockInData[Expiry],"")</f>
        <v/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hidden="1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 t="str">
        <f>IFERROR(StockInData[Expiry],"")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hidden="1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 t="str">
        <f>IFERROR(StockInData[Expiry],"")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hidden="1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 t="str">
        <f>IFERROR(StockInData[Expiry],"")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hidden="1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 t="str">
        <f>IFERROR(StockInData[Expiry],"")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hidden="1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 t="str">
        <f>IFERROR(StockInData[Expiry],"")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hidden="1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 t="str">
        <f>IFERROR(StockInData[Expiry],"")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hidden="1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 t="str">
        <f>IFERROR(StockInData[Expiry],"")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hidden="1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 t="str">
        <f>IFERROR(StockInData[Expiry],"")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hidden="1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 t="str">
        <f>IFERROR(StockInData[Expiry],"")</f>
        <v/>
      </c>
      <c r="H627" s="61"/>
      <c r="I627" s="61">
        <f>SUMIFS(StockInData[Quantity],StockInData[Product ID],ProductMaster!$B627)-SUMIFS(StockOutData[Quantity],StockOutData[Product ID],ProductMaster!$B627)</f>
        <v>0</v>
      </c>
      <c r="J627" s="64">
        <f>SUMIFS(StockInData[Value],StockInData[Product ID],ProductMaster!$B627)-SUMIFS(StockOutData[Value],StockOutData[Product ID],ProductMaster!$B627)</f>
        <v>0</v>
      </c>
    </row>
    <row r="628" spans="1:10" hidden="1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 t="str">
        <f>IFERROR(StockInData[Expiry],"")</f>
        <v/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 t="str">
        <f>IFERROR(StockInData[Expiry],"")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 t="str">
        <f>IFERROR(StockInData[Expiry],"")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 t="str">
        <f>IFERROR(StockInData[Expiry],"")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hidden="1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 t="str">
        <f>IFERROR(StockInData[Expiry],"")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hidden="1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 t="str">
        <f>IFERROR(StockInData[Expiry],"")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hidden="1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 t="str">
        <f>IFERROR(StockInData[Expiry],"")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hidden="1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 t="str">
        <f>IFERROR(StockInData[Expiry],"")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hidden="1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 t="str">
        <f>IFERROR(StockInData[Expiry],"")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hidden="1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 t="str">
        <f>IFERROR(StockInData[Expiry],"")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hidden="1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 t="str">
        <f>IFERROR(StockInData[Expiry],"")</f>
        <v/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hidden="1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 t="str">
        <f>IFERROR(StockInData[Expiry],"")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hidden="1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 t="str">
        <f>IFERROR(StockInData[Expiry],"")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hidden="1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 t="str">
        <f>IFERROR(StockInData[Expiry],"")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hidden="1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 t="str">
        <f>IFERROR(StockInData[Expiry],"")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hidden="1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 t="str">
        <f>IFERROR(StockInData[Expiry],"")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hidden="1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 t="str">
        <f>IFERROR(StockInData[Expiry],"")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hidden="1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 t="str">
        <f>IFERROR(StockInData[Expiry],"")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hidden="1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 t="str">
        <f>IFERROR(StockInData[Expiry],"")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hidden="1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 t="str">
        <f>IFERROR(StockInData[Expiry],"")</f>
        <v/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hidden="1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 t="str">
        <f>IFERROR(StockInData[Expiry],"")</f>
        <v/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 t="str">
        <f>IFERROR(StockInData[Expiry],"")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 t="str">
        <f>IFERROR(StockInData[Expiry],"")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 t="str">
        <f>IFERROR(StockInData[Expiry],"")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 t="str">
        <f>IFERROR(StockInData[Expiry],"")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 t="str">
        <f>IFERROR(StockInData[Expiry],"")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 t="str">
        <f>IFERROR(StockInData[Expiry],"")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 t="str">
        <f>IFERROR(StockInData[Expiry],"")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 t="str">
        <f>IFERROR(StockInData[Expiry],"")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 t="str">
        <f>IFERROR(StockInData[Expiry],"")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 t="str">
        <f>IFERROR(StockInData[Expiry],"")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 t="str">
        <f>IFERROR(StockInData[Expiry],"")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hidden="1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 t="str">
        <f>IFERROR(StockInData[Expiry],"")</f>
        <v/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hidden="1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 t="str">
        <f>IFERROR(StockInData[Expiry],"")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 t="str">
        <f>IFERROR(StockInData[Expiry],"")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 t="str">
        <f>IFERROR(StockInData[Expiry],"")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hidden="1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 t="str">
        <f>IFERROR(StockInData[Expiry],"")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hidden="1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 t="str">
        <f>IFERROR(StockInData[Expiry],"")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 t="str">
        <f>IFERROR(StockInData[Expiry],"")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 t="str">
        <f>IFERROR(StockInData[Expiry],"")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 t="str">
        <f>IFERROR(StockInData[Expiry],"")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hidden="1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 t="str">
        <f>IFERROR(StockInData[Expiry],"")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hidden="1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 t="str">
        <f>IFERROR(StockInData[Expiry],"")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 t="str">
        <f>IFERROR(StockInData[Expiry],"")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 t="str">
        <f>IFERROR(StockInData[Expiry],"")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 t="str">
        <f>IFERROR(StockInData[Expiry],"")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 t="str">
        <f>IFERROR(StockInData[Expiry],"")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 t="str">
        <f>IFERROR(StockInData[Expiry],"")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hidden="1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 t="str">
        <f>IFERROR(StockInData[Expiry],"")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hidden="1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 t="str">
        <f>IFERROR(StockInData[Expiry],"")</f>
        <v/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 t="str">
        <f>IFERROR(StockInData[Expiry],"")</f>
        <v/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 t="str">
        <f>IFERROR(StockInData[Expiry],"")</f>
        <v/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 t="str">
        <f>IFERROR(StockInData[Expiry],"")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hidden="1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 t="str">
        <f>IFERROR(StockInData[Expiry],"")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hidden="1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 t="str">
        <f>IFERROR(StockInData[Expiry],"")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hidden="1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 t="str">
        <f>IFERROR(StockInData[Expiry],"")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hidden="1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 t="str">
        <f>IFERROR(StockInData[Expiry],"")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hidden="1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 t="str">
        <f>IFERROR(StockInData[Expiry],"")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hidden="1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 t="str">
        <f>IFERROR(StockInData[Expiry],"")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hidden="1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 t="str">
        <f>IFERROR(StockInData[Expiry],"")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hidden="1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 t="str">
        <f>IFERROR(StockInData[Expiry],"")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hidden="1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 t="str">
        <f>IFERROR(StockInData[Expiry],"")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 t="str">
        <f>IFERROR(StockInData[Expiry],"")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hidden="1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 t="str">
        <f>IFERROR(StockInData[Expiry],"")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hidden="1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 t="str">
        <f>IFERROR(StockInData[Expiry],"")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 t="str">
        <f>IFERROR(StockInData[Expiry],"")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 t="str">
        <f>IFERROR(StockInData[Expiry],"")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 t="str">
        <f>IFERROR(StockInData[Expiry],"")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hidden="1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 t="str">
        <f>IFERROR(StockInData[Expiry],"")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hidden="1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 t="str">
        <f>IFERROR(StockInData[Expiry],"")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hidden="1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 t="str">
        <f>IFERROR(StockInData[Expiry],"")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hidden="1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 t="str">
        <f>IFERROR(StockInData[Expiry],"")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hidden="1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 t="str">
        <f>IFERROR(StockInData[Expiry],"")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hidden="1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 t="str">
        <f>IFERROR(StockInData[Expiry],"")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hidden="1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 t="str">
        <f>IFERROR(StockInData[Expiry],"")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hidden="1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 t="str">
        <f>IFERROR(StockInData[Expiry],"")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 t="str">
        <f>IFERROR(StockInData[Expiry],"")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 t="str">
        <f>IFERROR(StockInData[Expiry],"")</f>
        <v/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hidden="1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 t="str">
        <f>IFERROR(StockInData[Expiry],"")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hidden="1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 t="str">
        <f>IFERROR(StockInData[Expiry],"")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 t="str">
        <f>IFERROR(StockInData[Expiry],"")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 t="str">
        <f>IFERROR(StockInData[Expiry],"")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hidden="1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 t="str">
        <f>IFERROR(StockInData[Expiry],"")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hidden="1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 t="str">
        <f>IFERROR(StockInData[Expiry],"")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hidden="1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 t="str">
        <f>IFERROR(StockInData[Expiry],"")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 t="str">
        <f>IFERROR(StockInData[Expiry],"")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 t="str">
        <f>IFERROR(StockInData[Expiry],"")</f>
        <v/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 t="str">
        <f>IFERROR(StockInData[Expiry],"")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 t="str">
        <f>IFERROR(StockInData[Expiry],"")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 t="str">
        <f>IFERROR(StockInData[Expiry],"")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 t="str">
        <f>IFERROR(StockInData[Expiry],"")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 t="str">
        <f>IFERROR(StockInData[Expiry],"")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hidden="1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 t="str">
        <f>IFERROR(StockInData[Expiry],"")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hidden="1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 t="str">
        <f>IFERROR(StockInData[Expiry],"")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hidden="1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 t="str">
        <f>IFERROR(StockInData[Expiry],"")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hidden="1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 t="str">
        <f>IFERROR(StockInData[Expiry],"")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hidden="1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 t="str">
        <f>IFERROR(StockInData[Expiry],"")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 t="str">
        <f>IFERROR(StockInData[Expiry],"")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 t="str">
        <f>IFERROR(StockInData[Expiry],"")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 t="str">
        <f>IFERROR(StockInData[Expiry],"")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 t="str">
        <f>IFERROR(StockInData[Expiry],"")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 t="str">
        <f>IFERROR(StockInData[Expiry],"")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 t="str">
        <f>IFERROR(StockInData[Expiry],"")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 t="str">
        <f>IFERROR(StockInData[Expiry],"")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 t="str">
        <f>IFERROR(StockInData[Expiry],"")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 t="str">
        <f>IFERROR(StockInData[Expiry],"")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 t="str">
        <f>IFERROR(StockInData[Expiry],"")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 t="str">
        <f>IFERROR(StockInData[Expiry],"")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 t="str">
        <f>IFERROR(StockInData[Expiry],"")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hidden="1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 t="str">
        <f>IFERROR(StockInData[Expiry],"")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hidden="1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 t="str">
        <f>IFERROR(StockInData[Expiry],"")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 t="str">
        <f>IFERROR(StockInData[Expiry],"")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 t="str">
        <f>IFERROR(StockInData[Expiry],"")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 t="str">
        <f>IFERROR(StockInData[Expiry],"")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 t="str">
        <f>IFERROR(StockInData[Expiry],"")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 t="str">
        <f>IFERROR(StockInData[Expiry],"")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 t="str">
        <f>IFERROR(StockInData[Expiry],"")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 t="str">
        <f>IFERROR(StockInData[Expiry],"")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 t="str">
        <f>IFERROR(StockInData[Expiry],"")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 t="str">
        <f>IFERROR(StockInData[Expiry],"")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 t="str">
        <f>IFERROR(StockInData[Expiry],"")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 t="str">
        <f>IFERROR(StockInData[Expiry],"")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 t="str">
        <f>IFERROR(StockInData[Expiry],"")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 t="str">
        <f>IFERROR(StockInData[Expiry],"")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 t="str">
        <f>IFERROR(StockInData[Expiry],"")</f>
        <v/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 t="str">
        <f>IFERROR(StockInData[Expiry],"")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hidden="1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 t="str">
        <f>IFERROR(StockInData[Expiry],"")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hidden="1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 t="str">
        <f>IFERROR(StockInData[Expiry],"")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hidden="1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 t="str">
        <f>IFERROR(StockInData[Expiry],"")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hidden="1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 t="str">
        <f>IFERROR(StockInData[Expiry],"")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hidden="1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 t="str">
        <f>IFERROR(StockInData[Expiry],"")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hidden="1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 t="str">
        <f>IFERROR(StockInData[Expiry],"")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hidden="1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 t="str">
        <f>IFERROR(StockInData[Expiry],"")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 t="str">
        <f>IFERROR(StockInData[Expiry],"")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hidden="1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 t="str">
        <f>IFERROR(StockInData[Expiry],"")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 t="str">
        <f>IFERROR(StockInData[Expiry],"")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 t="str">
        <f>IFERROR(StockInData[Expiry],"")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 t="str">
        <f>IFERROR(StockInData[Expiry],"")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hidden="1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 t="str">
        <f>IFERROR(StockInData[Expiry],"")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hidden="1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 t="str">
        <f>IFERROR(StockInData[Expiry],"")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hidden="1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 t="str">
        <f>IFERROR(StockInData[Expiry],"")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hidden="1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 t="str">
        <f>IFERROR(StockInData[Expiry],"")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 t="str">
        <f>IFERROR(StockInData[Expiry],"")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 t="str">
        <f>IFERROR(StockInData[Expiry],"")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hidden="1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 t="str">
        <f>IFERROR(StockInData[Expiry],"")</f>
        <v/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 t="str">
        <f>IFERROR(StockInData[Expiry],"")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hidden="1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 t="str">
        <f>IFERROR(StockInData[Expiry],"")</f>
        <v/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hidden="1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 t="str">
        <f>IFERROR(StockInData[Expiry],"")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 t="str">
        <f>IFERROR(StockInData[Expiry],"")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 t="str">
        <f>IFERROR(StockInData[Expiry],"")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 t="str">
        <f>IFERROR(StockInData[Expiry],"")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hidden="1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 t="str">
        <f>IFERROR(StockInData[Expiry],"")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 t="str">
        <f>IFERROR(StockInData[Expiry],"")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 t="str">
        <f>IFERROR(StockInData[Expiry],"")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 t="str">
        <f>IFERROR(StockInData[Expiry],"")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 t="str">
        <f>IFERROR(StockInData[Expiry],"")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hidden="1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 t="str">
        <f>IFERROR(StockInData[Expiry],"")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 t="str">
        <f>IFERROR(StockInData[Expiry],"")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 t="str">
        <f>IFERROR(StockInData[Expiry],"")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 t="str">
        <f>IFERROR(StockInData[Expiry],"")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 t="str">
        <f>IFERROR(StockInData[Expiry],"")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 t="str">
        <f>IFERROR(StockInData[Expiry],"")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 t="str">
        <f>IFERROR(StockInData[Expiry],"")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 t="str">
        <f>IFERROR(StockInData[Expiry],"")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 t="str">
        <f>IFERROR(StockInData[Expiry],"")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 t="str">
        <f>IFERROR(StockInData[Expiry],"")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 t="str">
        <f>IFERROR(StockInData[Expiry],"")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 t="str">
        <f>IFERROR(StockInData[Expiry],"")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 t="str">
        <f>IFERROR(StockInData[Expiry],"")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 t="str">
        <f>IFERROR(StockInData[Expiry],"")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 t="str">
        <f>IFERROR(StockInData[Expiry],"")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 t="str">
        <f>IFERROR(StockInData[Expiry],"")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 t="str">
        <f>IFERROR(StockInData[Expiry],"")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 t="str">
        <f>IFERROR(StockInData[Expiry],"")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 t="str">
        <f>IFERROR(StockInData[Expiry],"")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 t="str">
        <f>IFERROR(StockInData[Expiry],"")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 t="str">
        <f>IFERROR(StockInData[Expiry],"")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 t="str">
        <f>IFERROR(StockInData[Expiry],"")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 t="str">
        <f>IFERROR(StockInData[Expiry],"")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 t="str">
        <f>IFERROR(StockInData[Expiry],"")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 t="str">
        <f>IFERROR(StockInData[Expiry],"")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 t="str">
        <f>IFERROR(StockInData[Expiry],"")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 t="str">
        <f>IFERROR(StockInData[Expiry],"")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 t="str">
        <f>IFERROR(StockInData[Expiry],"")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 t="str">
        <f>IFERROR(StockInData[Expiry],"")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hidden="1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 t="str">
        <f>IFERROR(StockInData[Expiry],"")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hidden="1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 t="str">
        <f>IFERROR(StockInData[Expiry],"")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hidden="1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 t="str">
        <f>IFERROR(StockInData[Expiry],"")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 t="str">
        <f>IFERROR(StockInData[Expiry],"")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 t="str">
        <f>IFERROR(StockInData[Expiry],"")</f>
        <v/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 t="str">
        <f>IFERROR(StockInData[Expiry],"")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 t="str">
        <f>IFERROR(StockInData[Expiry],"")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 t="str">
        <f>IFERROR(StockInData[Expiry],"")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 t="str">
        <f>IFERROR(StockInData[Expiry],"")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 t="str">
        <f>IFERROR(StockInData[Expiry],"")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 t="str">
        <f>IFERROR(StockInData[Expiry],"")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 t="str">
        <f>IFERROR(StockInData[Expiry],"")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 t="str">
        <f>IFERROR(StockInData[Expiry],"")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 t="str">
        <f>IFERROR(StockInData[Expiry],"")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 t="str">
        <f>IFERROR(StockInData[Expiry],"")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 t="str">
        <f>IFERROR(StockInData[Expiry],"")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 t="str">
        <f>IFERROR(StockInData[Expiry],"")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 t="str">
        <f>IFERROR(StockInData[Expiry],"")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 t="str">
        <f>IFERROR(StockInData[Expiry],"")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 t="str">
        <f>IFERROR(StockInData[Expiry],"")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 t="str">
        <f>IFERROR(StockInData[Expiry],"")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 t="str">
        <f>IFERROR(StockInData[Expiry],"")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 t="str">
        <f>IFERROR(StockInData[Expiry],"")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 t="str">
        <f>IFERROR(StockInData[Expiry],"")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 t="str">
        <f>IFERROR(StockInData[Expiry],"")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 t="str">
        <f>IFERROR(StockInData[Expiry],"")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 t="str">
        <f>IFERROR(StockInData[Expiry],"")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 t="str">
        <f>IFERROR(StockInData[Expiry],"")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 t="str">
        <f>IFERROR(StockInData[Expiry],"")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 t="str">
        <f>IFERROR(StockInData[Expiry],"")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 t="str">
        <f>IFERROR(StockInData[Expiry],"")</f>
        <v/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 t="str">
        <f>IFERROR(StockInData[Expiry],"")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 t="str">
        <f>IFERROR(StockInData[Expiry],"")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 t="str">
        <f>IFERROR(StockInData[Expiry],"")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 t="str">
        <f>IFERROR(StockInData[Expiry],"")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 t="str">
        <f>IFERROR(StockInData[Expiry],"")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 t="str">
        <f>IFERROR(StockInData[Expiry],"")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hidden="1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 t="str">
        <f>IFERROR(StockInData[Expiry],"")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hidden="1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 t="str">
        <f>IFERROR(StockInData[Expiry],"")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 t="str">
        <f>IFERROR(StockInData[Expiry],"")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 t="str">
        <f>IFERROR(StockInData[Expiry],"")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 t="str">
        <f>IFERROR(StockInData[Expiry],"")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 t="str">
        <f>IFERROR(StockInData[Expiry],"")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 t="str">
        <f>IFERROR(StockInData[Expiry],"")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hidden="1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 t="str">
        <f>IFERROR(StockInData[Expiry],"")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hidden="1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 t="str">
        <f>IFERROR(StockInData[Expiry],"")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 t="str">
        <f>IFERROR(StockInData[Expiry],"")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 t="str">
        <f>IFERROR(StockInData[Expiry],"")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 t="str">
        <f>IFERROR(StockInData[Expiry],"")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 t="str">
        <f>IFERROR(StockInData[Expiry],"")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 t="str">
        <f>IFERROR(StockInData[Expiry],"")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 t="str">
        <f>IFERROR(StockInData[Expiry],"")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 t="str">
        <f>IFERROR(StockInData[Expiry],"")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 t="str">
        <f>IFERROR(StockInData[Expiry],"")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 t="str">
        <f>IFERROR(StockInData[Expiry],"")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hidden="1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 t="str">
        <f>IFERROR(StockInData[Expiry],"")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hidden="1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 t="str">
        <f>IFERROR(StockInData[Expiry],"")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 t="str">
        <f>IFERROR(StockInData[Expiry],"")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 t="str">
        <f>IFERROR(StockInData[Expiry],"")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 t="str">
        <f>IFERROR(StockInData[Expiry],"")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 t="str">
        <f>IFERROR(StockInData[Expiry],"")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hidden="1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 t="str">
        <f>IFERROR(StockInData[Expiry],"")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hidden="1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 t="str">
        <f>IFERROR(StockInData[Expiry],"")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hidden="1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 t="str">
        <f>IFERROR(StockInData[Expiry],"")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hidden="1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 t="str">
        <f>IFERROR(StockInData[Expiry],"")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hidden="1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 t="str">
        <f>IFERROR(StockInData[Expiry],"")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 t="str">
        <f>IFERROR(StockInData[Expiry],"")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 t="str">
        <f>IFERROR(StockInData[Expiry],"")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 t="str">
        <f>IFERROR(StockInData[Expiry],"")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 t="str">
        <f>IFERROR(StockInData[Expiry],"")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 t="str">
        <f>IFERROR(StockInData[Expiry],"")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 t="str">
        <f>IFERROR(StockInData[Expiry],"")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 t="str">
        <f>IFERROR(StockInData[Expiry],"")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 t="str">
        <f>IFERROR(StockInData[Expiry],"")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 t="str">
        <f>IFERROR(StockInData[Expiry],"")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 t="str">
        <f>IFERROR(StockInData[Expiry],"")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 t="str">
        <f>IFERROR(StockInData[Expiry],"")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 t="str">
        <f>IFERROR(StockInData[Expiry],"")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 t="str">
        <f>IFERROR(StockInData[Expiry],"")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 t="str">
        <f>IFERROR(StockInData[Expiry],"")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 t="str">
        <f>IFERROR(StockInData[Expiry],"")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 t="str">
        <f>IFERROR(StockInData[Expiry],"")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 t="str">
        <f>IFERROR(StockInData[Expiry],"")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 t="str">
        <f>IFERROR(StockInData[Expiry],"")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 t="str">
        <f>IFERROR(StockInData[Expiry],"")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 t="str">
        <f>IFERROR(StockInData[Expiry],"")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 t="str">
        <f>IFERROR(StockInData[Expiry],"")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 t="str">
        <f>IFERROR(StockInData[Expiry],"")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 t="str">
        <f>IFERROR(StockInData[Expiry],"")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 t="str">
        <f>IFERROR(StockInData[Expiry],"")</f>
        <v/>
      </c>
      <c r="H902" s="61"/>
      <c r="I902" s="61">
        <f>SUMIFS(StockInData[Quantity],StockInData[Product ID],ProductMaster!$B902)-SUMIFS(StockOutData[Quantity],StockOutData[Product ID],ProductMaster!$B902)</f>
        <v>41</v>
      </c>
      <c r="J902" s="64">
        <f>SUMIFS(StockInData[Value],StockInData[Product ID],ProductMaster!$B902)-SUMIFS(StockOutData[Value],StockOutData[Product ID],ProductMaster!$B902)</f>
        <v>10</v>
      </c>
    </row>
    <row r="903" spans="1:10" hidden="1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 t="str">
        <f>IFERROR(StockInData[Expiry],"")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 t="str">
        <f>IFERROR(StockInData[Expiry],"")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hidden="1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 t="str">
        <f>IFERROR(StockInData[Expiry],"")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 t="str">
        <f>IFERROR(StockInData[Expiry],"")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 t="str">
        <f>IFERROR(StockInData[Expiry],"")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 t="str">
        <f>IFERROR(StockInData[Expiry],"")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 t="str">
        <f>IFERROR(StockInData[Expiry],"")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 t="str">
        <f>IFERROR(StockInData[Expiry],"")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 t="str">
        <f>IFERROR(StockInData[Expiry],"")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 t="str">
        <f>IFERROR(StockInData[Expiry],"")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 t="str">
        <f>IFERROR(StockInData[Expiry],"")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 t="str">
        <f>IFERROR(StockInData[Expiry],"")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 t="str">
        <f>IFERROR(StockInData[Expiry],"")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 t="str">
        <f>IFERROR(StockInData[Expiry],"")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 t="str">
        <f>IFERROR(StockInData[Expiry],"")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 t="str">
        <f>IFERROR(StockInData[Expiry],"")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 t="str">
        <f>IFERROR(StockInData[Expiry],"")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 t="str">
        <f>IFERROR(StockInData[Expiry],"")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 t="str">
        <f>IFERROR(StockInData[Expiry],"")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 t="str">
        <f>IFERROR(StockInData[Expiry],"")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 t="str">
        <f>IFERROR(StockInData[Expiry],"")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 t="str">
        <f>IFERROR(StockInData[Expiry],"")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 t="str">
        <f>IFERROR(StockInData[Expiry],"")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 t="str">
        <f>IFERROR(StockInData[Expiry],"")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 t="str">
        <f>IFERROR(StockInData[Expiry],"")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 t="str">
        <f>IFERROR(StockInData[Expiry],"")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 t="str">
        <f>IFERROR(StockInData[Expiry],"")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 t="str">
        <f>IFERROR(StockInData[Expiry],"")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 t="str">
        <f>IFERROR(StockInData[Expiry],"")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 t="str">
        <f>IFERROR(StockInData[Expiry],"")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 t="str">
        <f>IFERROR(StockInData[Expiry],"")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 t="str">
        <f>IFERROR(StockInData[Expiry],"")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 t="str">
        <f>IFERROR(StockInData[Expiry],"")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 t="str">
        <f>IFERROR(StockInData[Expiry],"")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 t="str">
        <f>IFERROR(StockInData[Expiry],"")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 t="str">
        <f>IFERROR(StockInData[Expiry],"")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hidden="1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 t="str">
        <f>IFERROR(StockInData[Expiry],"")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hidden="1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 t="str">
        <f>IFERROR(StockInData[Expiry],"")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 t="str">
        <f>IFERROR(StockInData[Expiry],"")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 t="str">
        <f>IFERROR(StockInData[Expiry],"")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 t="str">
        <f>IFERROR(StockInData[Expiry],"")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hidden="1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 t="str">
        <f>IFERROR(StockInData[Expiry],"")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hidden="1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 t="str">
        <f>IFERROR(StockInData[Expiry],"")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 t="str">
        <f>IFERROR(StockInData[Expiry],"")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hidden="1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 t="str">
        <f>IFERROR(StockInData[Expiry],"")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hidden="1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 t="str">
        <f>IFERROR(StockInData[Expiry],"")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 t="str">
        <f>IFERROR(StockInData[Expiry],"")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 t="str">
        <f>IFERROR(StockInData[Expiry],"")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 t="str">
        <f>IFERROR(StockInData[Expiry],"")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hidden="1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 t="str">
        <f>IFERROR(StockInData[Expiry],"")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hidden="1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 t="str">
        <f>IFERROR(StockInData[Expiry],"")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 t="str">
        <f>IFERROR(StockInData[Expiry],"")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 t="str">
        <f>IFERROR(StockInData[Expiry],"")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 t="str">
        <f>IFERROR(StockInData[Expiry],"")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 t="str">
        <f>IFERROR(StockInData[Expiry],"")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 t="str">
        <f>IFERROR(StockInData[Expiry],"")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 t="str">
        <f>IFERROR(StockInData[Expiry],"")</f>
        <v/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 t="str">
        <f>IFERROR(StockInData[Expiry],"")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 t="str">
        <f>IFERROR(StockInData[Expiry],"")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 t="str">
        <f>IFERROR(StockInData[Expiry],"")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 t="str">
        <f>IFERROR(StockInData[Expiry],"")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 t="str">
        <f>IFERROR(StockInData[Expiry],"")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 t="str">
        <f>IFERROR(StockInData[Expiry],"")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 t="str">
        <f>IFERROR(StockInData[Expiry],"")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 t="str">
        <f>IFERROR(StockInData[Expiry],"")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 t="str">
        <f>IFERROR(StockInData[Expiry],"")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 t="str">
        <f>IFERROR(StockInData[Expiry],"")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 t="str">
        <f>IFERROR(StockInData[Expiry],"")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 t="str">
        <f>IFERROR(StockInData[Expiry],"")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 t="str">
        <f>IFERROR(StockInData[Expiry],"")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 t="str">
        <f>IFERROR(StockInData[Expiry],"")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 t="str">
        <f>IFERROR(StockInData[Expiry],"")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 t="str">
        <f>IFERROR(StockInData[Expiry],"")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 t="str">
        <f>IFERROR(StockInData[Expiry],"")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 t="str">
        <f>IFERROR(StockInData[Expiry],"")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 t="str">
        <f>IFERROR(StockInData[Expiry],"")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 t="str">
        <f>IFERROR(StockInData[Expiry],"")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 t="str">
        <f>IFERROR(StockInData[Expiry],"")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 t="str">
        <f>IFERROR(StockInData[Expiry],"")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 t="str">
        <f>IFERROR(StockInData[Expiry],"")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 t="str">
        <f>IFERROR(StockInData[Expiry],"")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 t="str">
        <f>IFERROR(StockInData[Expiry],"")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 t="str">
        <f>IFERROR(StockInData[Expiry],"")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 t="str">
        <f>IFERROR(StockInData[Expiry],"")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 t="str">
        <f>IFERROR(StockInData[Expiry],"")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 t="str">
        <f>IFERROR(StockInData[Expiry],"")</f>
        <v/>
      </c>
      <c r="H988" s="61"/>
      <c r="I988" s="61">
        <f>SUMIFS(StockInData[Quantity],StockInData[Product ID],ProductMaster!$B988)-SUMIFS(StockOutData[Quantity],StockOutData[Product ID],ProductMaster!$B988)</f>
        <v>-1</v>
      </c>
      <c r="J988" s="64">
        <f>SUMIFS(StockInData[Value],StockInData[Product ID],ProductMaster!$B988)-SUMIFS(StockOutData[Value],StockOutData[Product ID],ProductMaster!$B988)</f>
        <v>-8.2799999999999994</v>
      </c>
    </row>
    <row r="989" spans="1:10" hidden="1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 t="str">
        <f>IFERROR(StockInData[Expiry],"")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 t="str">
        <f>IFERROR(StockInData[Expiry],"")</f>
        <v/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 t="str">
        <f>IFERROR(StockInData[Expiry],"")</f>
        <v/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 t="str">
        <f>IFERROR(StockInData[Expiry],"")</f>
        <v/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 t="str">
        <f>IFERROR(StockInData[Expiry],"")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 t="str">
        <f>IFERROR(StockInData[Expiry],"")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 t="str">
        <f>IFERROR(StockInData[Expiry],"")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 t="str">
        <f>IFERROR(StockInData[Expiry],"")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hidden="1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 t="str">
        <f>IFERROR(StockInData[Expiry],"")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hidden="1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 t="str">
        <f>IFERROR(StockInData[Expiry],"")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 t="str">
        <f>IFERROR(StockInData[Expiry],"")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 t="str">
        <f>IFERROR(StockInData[Expiry],"")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 t="str">
        <f>IFERROR(StockInData[Expiry],"")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 t="str">
        <f>IFERROR(StockInData[Expiry],"")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 t="str">
        <f>IFERROR(StockInData[Expiry],"")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 t="str">
        <f>IFERROR(StockInData[Expiry],"")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 t="str">
        <f>IFERROR(StockInData[Expiry],"")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 t="str">
        <f>IFERROR(StockInData[Expiry],"")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 t="str">
        <f>IFERROR(StockInData[Expiry],"")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hidden="1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 t="str">
        <f>IFERROR(StockInData[Expiry],"")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hidden="1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 t="str">
        <f>IFERROR(StockInData[Expiry],"")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hidden="1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 t="str">
        <f>IFERROR(StockInData[Expiry],"")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hidden="1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 t="str">
        <f>IFERROR(StockInData[Expiry],"")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hidden="1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 t="str">
        <f>IFERROR(StockInData[Expiry],"")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 t="str">
        <f>IFERROR(StockInData[Expiry],"")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hidden="1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 t="str">
        <f>IFERROR(StockInData[Expiry],"")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 t="str">
        <f>IFERROR(StockInData[Expiry],"")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 t="str">
        <f>IFERROR(StockInData[Expiry],"")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 t="str">
        <f>IFERROR(StockInData[Expiry],"")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 t="str">
        <f>IFERROR(StockInData[Expiry],"")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 t="str">
        <f>IFERROR(StockInData[Expiry],"")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 t="str">
        <f>IFERROR(StockInData[Expiry],"")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 t="str">
        <f>IFERROR(StockInData[Expiry],"")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hidden="1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 t="str">
        <f>IFERROR(StockInData[Expiry],"")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hidden="1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 t="str">
        <f>IFERROR(StockInData[Expiry],"")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hidden="1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 t="str">
        <f>IFERROR(StockInData[Expiry],"")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 t="str">
        <f>IFERROR(StockInData[Expiry],"")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 t="str">
        <f>IFERROR(StockInData[Expiry],"")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 t="str">
        <f>IFERROR(StockInData[Expiry],"")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 t="str">
        <f>IFERROR(StockInData[Expiry],"")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 t="str">
        <f>IFERROR(StockInData[Expiry],"")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 t="str">
        <f>IFERROR(StockInData[Expiry],"")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 t="str">
        <f>IFERROR(StockInData[Expiry],"")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 t="str">
        <f>IFERROR(StockInData[Expiry],"")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 t="str">
        <f>IFERROR(StockInData[Expiry],"")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 t="str">
        <f>IFERROR(StockInData[Expiry],"")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 t="str">
        <f>IFERROR(StockInData[Expiry],"")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 t="str">
        <f>IFERROR(StockInData[Expiry],"")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 t="str">
        <f>IFERROR(StockInData[Expiry],"")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 t="str">
        <f>IFERROR(StockInData[Expiry],"")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hidden="1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 t="str">
        <f>IFERROR(StockInData[Expiry],"")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 t="str">
        <f>IFERROR(StockInData[Expiry],"")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 t="str">
        <f>IFERROR(StockInData[Expiry],"")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 t="str">
        <f>IFERROR(StockInData[Expiry],"")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 t="str">
        <f>IFERROR(StockInData[Expiry],"")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 t="str">
        <f>IFERROR(StockInData[Expiry],"")</f>
        <v/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 t="str">
        <f>IFERROR(StockInData[Expiry],"")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 t="str">
        <f>IFERROR(StockInData[Expiry],"")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 t="str">
        <f>IFERROR(StockInData[Expiry],"")</f>
        <v/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 t="str">
        <f>IFERROR(StockInData[Expiry],"")</f>
        <v/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 t="str">
        <f>IFERROR(StockInData[Expiry],"")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 t="str">
        <f>IFERROR(StockInData[Expiry],"")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 t="str">
        <f>IFERROR(StockInData[Expiry],"")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 t="str">
        <f>IFERROR(StockInData[Expiry],"")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 t="str">
        <f>IFERROR(StockInData[Expiry],"")</f>
        <v/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 t="str">
        <f>IFERROR(StockInData[Expiry],"")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 t="str">
        <f>IFERROR(StockInData[Expiry],"")</f>
        <v/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 t="str">
        <f>IFERROR(StockInData[Expiry],"")</f>
        <v/>
      </c>
      <c r="H1056" s="61"/>
      <c r="I1056" s="61">
        <f>SUMIFS(StockInData[Quantity],StockInData[Product ID],ProductMaster!$B1056)-SUMIFS(StockOutData[Quantity],StockOutData[Product ID],ProductMaster!$B1056)</f>
        <v>-1</v>
      </c>
      <c r="J1056" s="64">
        <f>SUMIFS(StockInData[Value],StockInData[Product ID],ProductMaster!$B1056)-SUMIFS(StockOutData[Value],StockOutData[Product ID],ProductMaster!$B1056)</f>
        <v>-10.68</v>
      </c>
    </row>
    <row r="1057" spans="1:10" hidden="1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 t="str">
        <f>IFERROR(StockInData[Expiry],"")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 t="str">
        <f>IFERROR(StockInData[Expiry],"")</f>
        <v/>
      </c>
      <c r="H1058" s="61"/>
      <c r="I1058" s="61">
        <f>SUMIFS(StockInData[Quantity],StockInData[Product ID],ProductMaster!$B1058)-SUMIFS(StockOutData[Quantity],StockOutData[Product ID],ProductMaster!$B1058)</f>
        <v>-1</v>
      </c>
      <c r="J1058" s="64">
        <f>SUMIFS(StockInData[Value],StockInData[Product ID],ProductMaster!$B1058)-SUMIFS(StockOutData[Value],StockOutData[Product ID],ProductMaster!$B1058)</f>
        <v>-17.399999999999999</v>
      </c>
    </row>
    <row r="1059" spans="1:10" hidden="1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 t="str">
        <f>IFERROR(StockInData[Expiry],"")</f>
        <v/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 t="str">
        <f>IFERROR(StockInData[Expiry],"")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 t="str">
        <f>IFERROR(StockInData[Expiry],"")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 t="str">
        <f>IFERROR(StockInData[Expiry],"")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 t="str">
        <f>IFERROR(StockInData[Expiry],"")</f>
        <v/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 t="str">
        <f>IFERROR(StockInData[Expiry],"")</f>
        <v/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 t="str">
        <f>IFERROR(StockInData[Expiry],"")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 t="str">
        <f>IFERROR(StockInData[Expiry],"")</f>
        <v/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 t="str">
        <f>IFERROR(StockInData[Expiry],"")</f>
        <v/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 t="str">
        <f>IFERROR(StockInData[Expiry],"")</f>
        <v/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 t="str">
        <f>IFERROR(StockInData[Expiry],"")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 t="str">
        <f>IFERROR(StockInData[Expiry],"")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 t="str">
        <f>IFERROR(StockInData[Expiry],"")</f>
        <v/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hidden="1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 t="str">
        <f>IFERROR(StockInData[Expiry],"")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hidden="1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 t="str">
        <f>IFERROR(StockInData[Expiry],"")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hidden="1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 t="str">
        <f>IFERROR(StockInData[Expiry],"")</f>
        <v/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hidden="1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 t="str">
        <f>IFERROR(StockInData[Expiry],"")</f>
        <v/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 t="str">
        <f>IFERROR(StockInData[Expiry],"")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 t="str">
        <f>IFERROR(StockInData[Expiry],"")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 t="str">
        <f>IFERROR(StockInData[Expiry],"")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 t="str">
        <f>IFERROR(StockInData[Expiry],"")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hidden="1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 t="str">
        <f>IFERROR(StockInData[Expiry],"")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hidden="1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 t="str">
        <f>IFERROR(StockInData[Expiry],"")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hidden="1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 t="str">
        <f>IFERROR(StockInData[Expiry],"")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hidden="1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 t="str">
        <f>IFERROR(StockInData[Expiry],"")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hidden="1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 t="str">
        <f>IFERROR(StockInData[Expiry],"")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hidden="1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 t="str">
        <f>IFERROR(StockInData[Expiry],"")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hidden="1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 t="str">
        <f>IFERROR(StockInData[Expiry],"")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 t="str">
        <f>IFERROR(StockInData[Expiry],"")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hidden="1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 t="str">
        <f>IFERROR(StockInData[Expiry],"")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hidden="1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 t="str">
        <f>IFERROR(StockInData[Expiry],"")</f>
        <v/>
      </c>
      <c r="H1089" s="61"/>
      <c r="I1089" s="61">
        <f>SUMIFS(StockInData[Quantity],StockInData[Product ID],ProductMaster!$B1089)-SUMIFS(StockOutData[Quantity],StockOutData[Product ID],ProductMaster!$B1089)</f>
        <v>-1</v>
      </c>
      <c r="J1089" s="64">
        <f>SUMIFS(StockInData[Value],StockInData[Product ID],ProductMaster!$B1089)-SUMIFS(StockOutData[Value],StockOutData[Product ID],ProductMaster!$B1089)</f>
        <v>-3</v>
      </c>
    </row>
    <row r="1090" spans="1:10" hidden="1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 t="str">
        <f>IFERROR(StockInData[Expiry],"")</f>
        <v/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hidden="1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 t="str">
        <f>IFERROR(StockInData[Expiry],"")</f>
        <v/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hidden="1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 t="str">
        <f>IFERROR(StockInData[Expiry],"")</f>
        <v/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 t="str">
        <f>IFERROR(StockInData[Expiry],"")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 t="str">
        <f>IFERROR(StockInData[Expiry],"")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 t="str">
        <f>IFERROR(StockInData[Expiry],"")</f>
        <v/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 t="str">
        <f>IFERROR(StockInData[Expiry],"")</f>
        <v/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 t="str">
        <f>IFERROR(StockInData[Expiry],"")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hidden="1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 t="str">
        <f>IFERROR(StockInData[Expiry],"")</f>
        <v/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hidden="1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 t="str">
        <f>IFERROR(StockInData[Expiry],"")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hidden="1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 t="str">
        <f>IFERROR(StockInData[Expiry],"")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hidden="1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 t="str">
        <f>IFERROR(StockInData[Expiry],"")</f>
        <v/>
      </c>
      <c r="H1101" s="61"/>
      <c r="I1101" s="61">
        <f>SUMIFS(StockInData[Quantity],StockInData[Product ID],ProductMaster!$B1101)-SUMIFS(StockOutData[Quantity],StockOutData[Product ID],ProductMaster!$B1101)</f>
        <v>-2</v>
      </c>
      <c r="J1101" s="64">
        <f>SUMIFS(StockInData[Value],StockInData[Product ID],ProductMaster!$B1101)-SUMIFS(StockOutData[Value],StockOutData[Product ID],ProductMaster!$B1101)</f>
        <v>-11.879999999999999</v>
      </c>
    </row>
    <row r="1102" spans="1:10" hidden="1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 t="str">
        <f>IFERROR(StockInData[Expiry],"")</f>
        <v/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hidden="1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 t="str">
        <f>IFERROR(StockInData[Expiry],"")</f>
        <v/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hidden="1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 t="str">
        <f>IFERROR(StockInData[Expiry],"")</f>
        <v/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hidden="1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 t="str">
        <f>IFERROR(StockInData[Expiry],"")</f>
        <v/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hidden="1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 t="str">
        <f>IFERROR(StockInData[Expiry],"")</f>
        <v/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hidden="1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 t="str">
        <f>IFERROR(StockInData[Expiry],"")</f>
        <v/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hidden="1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 t="str">
        <f>IFERROR(StockInData[Expiry],"")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hidden="1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 t="str">
        <f>IFERROR(StockInData[Expiry],"")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 t="str">
        <f>IFERROR(StockInData[Expiry],"")</f>
        <v/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 t="str">
        <f>IFERROR(StockInData[Expiry],"")</f>
        <v/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hidden="1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 t="str">
        <f>IFERROR(StockInData[Expiry],"")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hidden="1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 t="str">
        <f>IFERROR(StockInData[Expiry],"")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 t="str">
        <f>IFERROR(StockInData[Expiry],"")</f>
        <v/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 t="str">
        <f>IFERROR(StockInData[Expiry],"")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 t="str">
        <f>IFERROR(StockInData[Expiry],"")</f>
        <v/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 t="str">
        <f>IFERROR(StockInData[Expiry],"")</f>
        <v/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 t="str">
        <f>IFERROR(StockInData[Expiry],"")</f>
        <v/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hidden="1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 t="str">
        <f>IFERROR(StockInData[Expiry],"")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hidden="1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 t="str">
        <f>IFERROR(StockInData[Expiry],"")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hidden="1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 t="str">
        <f>IFERROR(StockInData[Expiry],"")</f>
        <v/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hidden="1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 t="str">
        <f>IFERROR(StockInData[Expiry],"")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hidden="1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 t="str">
        <f>IFERROR(StockInData[Expiry],"")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hidden="1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 t="str">
        <f>IFERROR(StockInData[Expiry],"")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hidden="1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 t="str">
        <f>IFERROR(StockInData[Expiry],"")</f>
        <v/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hidden="1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 t="str">
        <f>IFERROR(StockInData[Expiry],"")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 t="str">
        <f>IFERROR(StockInData[Expiry],"")</f>
        <v/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hidden="1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 t="str">
        <f>IFERROR(StockInData[Expiry],"")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hidden="1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 t="str">
        <f>IFERROR(StockInData[Expiry],"")</f>
        <v/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 t="str">
        <f>IFERROR(StockInData[Expiry],"")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 t="str">
        <f>IFERROR(StockInData[Expiry],"")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 t="str">
        <f>IFERROR(StockInData[Expiry],"")</f>
        <v/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 t="str">
        <f>IFERROR(StockInData[Expiry],"")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 t="str">
        <f>IFERROR(StockInData[Expiry],"")</f>
        <v/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hidden="1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 t="str">
        <f>IFERROR(StockInData[Expiry],"")</f>
        <v/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hidden="1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 t="str">
        <f>IFERROR(StockInData[Expiry],"")</f>
        <v/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hidden="1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 t="str">
        <f>IFERROR(StockInData[Expiry],"")</f>
        <v/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hidden="1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 t="str">
        <f>IFERROR(StockInData[Expiry],"")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 t="str">
        <f>IFERROR(StockInData[Expiry],"")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 t="str">
        <f>IFERROR(StockInData[Expiry],"")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 t="str">
        <f>IFERROR(StockInData[Expiry],"")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 t="str">
        <f>IFERROR(StockInData[Expiry],"")</f>
        <v/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 t="str">
        <f>IFERROR(StockInData[Expiry],"")</f>
        <v/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 t="str">
        <f>IFERROR(StockInData[Expiry],"")</f>
        <v/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 t="str">
        <f>IFERROR(StockInData[Expiry],"")</f>
        <v/>
      </c>
      <c r="H1145" s="61"/>
      <c r="I1145" s="61">
        <f>SUMIFS(StockInData[Quantity],StockInData[Product ID],ProductMaster!$B1145)-SUMIFS(StockOutData[Quantity],StockOutData[Product ID],ProductMaster!$B1145)</f>
        <v>-1</v>
      </c>
      <c r="J1145" s="64">
        <f>SUMIFS(StockInData[Value],StockInData[Product ID],ProductMaster!$B1145)-SUMIFS(StockOutData[Value],StockOutData[Product ID],ProductMaster!$B1145)</f>
        <v>-3</v>
      </c>
    </row>
    <row r="1146" spans="1:10" hidden="1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 t="str">
        <f>IFERROR(StockInData[Expiry],"")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 t="str">
        <f>IFERROR(StockInData[Expiry],"")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 t="str">
        <f>IFERROR(StockInData[Expiry],"")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 t="str">
        <f>IFERROR(StockInData[Expiry],"")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 t="str">
        <f>IFERROR(StockInData[Expiry],"")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 t="str">
        <f>IFERROR(StockInData[Expiry],"")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 t="str">
        <f>IFERROR(StockInData[Expiry],"")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 t="str">
        <f>IFERROR(StockInData[Expiry],"")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 t="str">
        <f>IFERROR(StockInData[Expiry],"")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 t="str">
        <f>IFERROR(StockInData[Expiry],"")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 t="str">
        <f>IFERROR(StockInData[Expiry],"")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 t="str">
        <f>IFERROR(StockInData[Expiry],"")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 t="str">
        <f>IFERROR(StockInData[Expiry],"")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 t="str">
        <f>IFERROR(StockInData[Expiry],"")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hidden="1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 t="str">
        <f>IFERROR(StockInData[Expiry],"")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hidden="1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 t="str">
        <f>IFERROR(StockInData[Expiry],"")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hidden="1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 t="str">
        <f>IFERROR(StockInData[Expiry],"")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hidden="1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 t="str">
        <f>IFERROR(StockInData[Expiry],"")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hidden="1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 t="str">
        <f>IFERROR(StockInData[Expiry],"")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hidden="1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 t="str">
        <f>IFERROR(StockInData[Expiry],"")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 t="str">
        <f>IFERROR(StockInData[Expiry],"")</f>
        <v/>
      </c>
      <c r="H1166" s="61"/>
      <c r="I1166" s="61">
        <f>SUMIFS(StockInData[Quantity],StockInData[Product ID],ProductMaster!$B1166)-SUMIFS(StockOutData[Quantity],StockOutData[Product ID],ProductMaster!$B1166)</f>
        <v>0</v>
      </c>
      <c r="J1166" s="64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 t="str">
        <f>IFERROR(StockInData[Expiry],"")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 t="str">
        <f>IFERROR(StockInData[Expiry],"")</f>
        <v/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hidden="1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 t="str">
        <f>IFERROR(StockInData[Expiry],"")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hidden="1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 t="str">
        <f>IFERROR(StockInData[Expiry],"")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hidden="1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 t="str">
        <f>IFERROR(StockInData[Expiry],"")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hidden="1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 t="str">
        <f>IFERROR(StockInData[Expiry],"")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hidden="1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 t="str">
        <f>IFERROR(StockInData[Expiry],"")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hidden="1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 t="str">
        <f>IFERROR(StockInData[Expiry],"")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hidden="1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 t="str">
        <f>IFERROR(StockInData[Expiry],"")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hidden="1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 t="str">
        <f>IFERROR(StockInData[Expiry],"")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hidden="1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 t="str">
        <f>IFERROR(StockInData[Expiry],"")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 t="str">
        <f>IFERROR(StockInData[Expiry],"")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hidden="1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 t="str">
        <f>IFERROR(StockInData[Expiry],"")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hidden="1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 t="str">
        <f>IFERROR(StockInData[Expiry],"")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hidden="1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 t="str">
        <f>IFERROR(StockInData[Expiry],"")</f>
        <v/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hidden="1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 t="str">
        <f>IFERROR(StockInData[Expiry],"")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hidden="1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 t="str">
        <f>IFERROR(StockInData[Expiry],"")</f>
        <v/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 t="str">
        <f>IFERROR(StockInData[Expiry],"")</f>
        <v/>
      </c>
      <c r="H1184" s="61"/>
      <c r="I1184" s="61">
        <f>SUMIFS(StockInData[Quantity],StockInData[Product ID],ProductMaster!$B1184)-SUMIFS(StockOutData[Quantity],StockOutData[Product ID],ProductMaster!$B1184)</f>
        <v>-1</v>
      </c>
      <c r="J1184" s="64">
        <f>SUMIFS(StockInData[Value],StockInData[Product ID],ProductMaster!$B1184)-SUMIFS(StockOutData[Value],StockOutData[Product ID],ProductMaster!$B1184)</f>
        <v>-9.9</v>
      </c>
    </row>
    <row r="1185" spans="1:10" hidden="1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 t="str">
        <f>IFERROR(StockInData[Expiry],"")</f>
        <v/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hidden="1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 t="str">
        <f>IFERROR(StockInData[Expiry],"")</f>
        <v/>
      </c>
      <c r="H1186" s="61"/>
      <c r="I1186" s="61">
        <f>SUMIFS(StockInData[Quantity],StockInData[Product ID],ProductMaster!$B1186)-SUMIFS(StockOutData[Quantity],StockOutData[Product ID],ProductMaster!$B1186)</f>
        <v>-1</v>
      </c>
      <c r="J1186" s="64">
        <f>SUMIFS(StockInData[Value],StockInData[Product ID],ProductMaster!$B1186)-SUMIFS(StockOutData[Value],StockOutData[Product ID],ProductMaster!$B1186)</f>
        <v>-8.5</v>
      </c>
    </row>
    <row r="1187" spans="1:10" hidden="1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 t="str">
        <f>IFERROR(StockInData[Expiry],"")</f>
        <v/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 t="str">
        <f>IFERROR(StockInData[Expiry],"")</f>
        <v/>
      </c>
      <c r="H1188" s="61"/>
      <c r="I1188" s="61">
        <f>SUMIFS(StockInData[Quantity],StockInData[Product ID],ProductMaster!$B1188)-SUMIFS(StockOutData[Quantity],StockOutData[Product ID],ProductMaster!$B1188)</f>
        <v>-3</v>
      </c>
      <c r="J1188" s="64">
        <f>SUMIFS(StockInData[Value],StockInData[Product ID],ProductMaster!$B1188)-SUMIFS(StockOutData[Value],StockOutData[Product ID],ProductMaster!$B1188)</f>
        <v>-25.5</v>
      </c>
    </row>
    <row r="1189" spans="1:10" hidden="1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 t="str">
        <f>IFERROR(StockInData[Expiry],"")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hidden="1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 t="str">
        <f>IFERROR(StockInData[Expiry],"")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 t="str">
        <f>IFERROR(StockInData[Expiry],"")</f>
        <v/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hidden="1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 t="str">
        <f>IFERROR(StockInData[Expiry],"")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hidden="1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 t="str">
        <f>IFERROR(StockInData[Expiry],"")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hidden="1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 t="str">
        <f>IFERROR(StockInData[Expiry],"")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hidden="1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 t="str">
        <f>IFERROR(StockInData[Expiry],"")</f>
        <v/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hidden="1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 t="str">
        <f>IFERROR(StockInData[Expiry],"")</f>
        <v/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 t="str">
        <f>IFERROR(StockInData[Expiry],"")</f>
        <v/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 t="str">
        <f>IFERROR(StockInData[Expiry],"")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 t="str">
        <f>IFERROR(StockInData[Expiry],"")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 t="str">
        <f>IFERROR(StockInData[Expiry],"")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 t="str">
        <f>IFERROR(StockInData[Expiry],"")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 t="str">
        <f>IFERROR(StockInData[Expiry],"")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 t="str">
        <f>IFERROR(StockInData[Expiry],"")</f>
        <v/>
      </c>
      <c r="H1203" s="61"/>
      <c r="I1203" s="61">
        <f>SUMIFS(StockInData[Quantity],StockInData[Product ID],ProductMaster!$B1203)-SUMIFS(StockOutData[Quantity],StockOutData[Product ID],ProductMaster!$B1203)</f>
        <v>-2</v>
      </c>
      <c r="J1203" s="64">
        <f>SUMIFS(StockInData[Value],StockInData[Product ID],ProductMaster!$B1203)-SUMIFS(StockOutData[Value],StockOutData[Product ID],ProductMaster!$B1203)</f>
        <v>-14.16</v>
      </c>
    </row>
    <row r="1204" spans="1:10" hidden="1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 t="str">
        <f>IFERROR(StockInData[Expiry],"")</f>
        <v/>
      </c>
      <c r="H1204" s="61"/>
      <c r="I1204" s="61">
        <f>SUMIFS(StockInData[Quantity],StockInData[Product ID],ProductMaster!$B1204)-SUMIFS(StockOutData[Quantity],StockOutData[Product ID],ProductMaster!$B1204)</f>
        <v>-2</v>
      </c>
      <c r="J1204" s="64">
        <f>SUMIFS(StockInData[Value],StockInData[Product ID],ProductMaster!$B1204)-SUMIFS(StockOutData[Value],StockOutData[Product ID],ProductMaster!$B1204)</f>
        <v>-8.2799999999999994</v>
      </c>
    </row>
    <row r="1205" spans="1:10" hidden="1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 t="str">
        <f>IFERROR(StockInData[Expiry],"")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hidden="1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 t="str">
        <f>IFERROR(StockInData[Expiry],"")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hidden="1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 t="str">
        <f>IFERROR(StockInData[Expiry],"")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hidden="1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 t="str">
        <f>IFERROR(StockInData[Expiry],"")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hidden="1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 t="str">
        <f>IFERROR(StockInData[Expiry],"")</f>
        <v/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hidden="1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 t="str">
        <f>IFERROR(StockInData[Expiry],"")</f>
        <v/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hidden="1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 t="str">
        <f>IFERROR(StockInData[Expiry],"")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 t="str">
        <f>IFERROR(StockInData[Expiry],"")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hidden="1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 t="str">
        <f>IFERROR(StockInData[Expiry],"")</f>
        <v/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hidden="1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 t="str">
        <f>IFERROR(StockInData[Expiry],"")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hidden="1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 t="str">
        <f>IFERROR(StockInData[Expiry],"")</f>
        <v/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hidden="1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 t="str">
        <f>IFERROR(StockInData[Expiry],"")</f>
        <v/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hidden="1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 t="str">
        <f>IFERROR(StockInData[Expiry],"")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hidden="1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 t="str">
        <f>IFERROR(StockInData[Expiry],"")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hidden="1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 t="str">
        <f>IFERROR(StockInData[Expiry],"")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hidden="1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 t="str">
        <f>IFERROR(StockInData[Expiry],"")</f>
        <v/>
      </c>
      <c r="H1220" s="61"/>
      <c r="I1220" s="61">
        <f>SUMIFS(StockInData[Quantity],StockInData[Product ID],ProductMaster!$B1220)-SUMIFS(StockOutData[Quantity],StockOutData[Product ID],ProductMaster!$B1220)</f>
        <v>-1</v>
      </c>
      <c r="J1220" s="64">
        <f>SUMIFS(StockInData[Value],StockInData[Product ID],ProductMaster!$B1220)-SUMIFS(StockOutData[Value],StockOutData[Product ID],ProductMaster!$B1220)</f>
        <v>-7.08</v>
      </c>
    </row>
    <row r="1221" spans="1:10" hidden="1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 t="str">
        <f>IFERROR(StockInData[Expiry],"")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hidden="1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 t="str">
        <f>IFERROR(StockInData[Expiry],"")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hidden="1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 t="str">
        <f>IFERROR(StockInData[Expiry],"")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hidden="1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 t="str">
        <f>IFERROR(StockInData[Expiry],"")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hidden="1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 t="str">
        <f>IFERROR(StockInData[Expiry],"")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hidden="1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 t="str">
        <f>IFERROR(StockInData[Expiry],"")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hidden="1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 t="str">
        <f>IFERROR(StockInData[Expiry],"")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hidden="1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 t="str">
        <f>IFERROR(StockInData[Expiry],"")</f>
        <v/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hidden="1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 t="str">
        <f>IFERROR(StockInData[Expiry],"")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hidden="1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 t="str">
        <f>IFERROR(StockInData[Expiry],"")</f>
        <v/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hidden="1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 t="str">
        <f>IFERROR(StockInData[Expiry],"")</f>
        <v/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hidden="1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 t="str">
        <f>IFERROR(StockInData[Expiry],"")</f>
        <v/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hidden="1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 t="str">
        <f>IFERROR(StockInData[Expiry],"")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hidden="1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 t="str">
        <f>IFERROR(StockInData[Expiry],"")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hidden="1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 t="str">
        <f>IFERROR(StockInData[Expiry],"")</f>
        <v/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hidden="1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 t="str">
        <f>IFERROR(StockInData[Expiry],"")</f>
        <v/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hidden="1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 t="str">
        <f>IFERROR(StockInData[Expiry],"")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hidden="1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 t="str">
        <f>IFERROR(StockInData[Expiry],"")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hidden="1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 t="str">
        <f>IFERROR(StockInData[Expiry],"")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hidden="1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 t="str">
        <f>IFERROR(StockInData[Expiry],"")</f>
        <v/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hidden="1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 t="str">
        <f>IFERROR(StockInData[Expiry],"")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hidden="1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 t="str">
        <f>IFERROR(StockInData[Expiry],"")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hidden="1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 t="str">
        <f>IFERROR(StockInData[Expiry],"")</f>
        <v/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hidden="1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 t="str">
        <f>IFERROR(StockInData[Expiry],"")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hidden="1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 t="str">
        <f>IFERROR(StockInData[Expiry],"")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hidden="1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 t="str">
        <f>IFERROR(StockInData[Expiry],"")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hidden="1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 t="str">
        <f>IFERROR(StockInData[Expiry],"")</f>
        <v/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hidden="1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 t="str">
        <f>IFERROR(StockInData[Expiry],"")</f>
        <v/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hidden="1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 t="str">
        <f>IFERROR(StockInData[Expiry],"")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hidden="1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 t="str">
        <f>IFERROR(StockInData[Expiry],"")</f>
        <v/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hidden="1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 t="str">
        <f>IFERROR(StockInData[Expiry],"")</f>
        <v/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hidden="1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 t="str">
        <f>IFERROR(StockInData[Expiry],"")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hidden="1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 t="str">
        <f>IFERROR(StockInData[Expiry],"")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hidden="1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 t="str">
        <f>IFERROR(StockInData[Expiry],"")</f>
        <v/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hidden="1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 t="str">
        <f>IFERROR(StockInData[Expiry],"")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hidden="1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 t="str">
        <f>IFERROR(StockInData[Expiry],"")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hidden="1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 t="str">
        <f>IFERROR(StockInData[Expiry],"")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hidden="1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 t="str">
        <f>IFERROR(StockInData[Expiry],"")</f>
        <v/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hidden="1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 t="str">
        <f>IFERROR(StockInData[Expiry],"")</f>
        <v/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hidden="1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 t="str">
        <f>IFERROR(StockInData[Expiry],"")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hidden="1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 t="str">
        <f>IFERROR(StockInData[Expiry],"")</f>
        <v/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hidden="1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 t="str">
        <f>IFERROR(StockInData[Expiry],"")</f>
        <v/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 t="str">
        <f>IFERROR(StockInData[Expiry],"")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 t="str">
        <f>IFERROR(StockInData[Expiry],"")</f>
        <v/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hidden="1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 t="str">
        <f>IFERROR(StockInData[Expiry],"")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hidden="1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 t="str">
        <f>IFERROR(StockInData[Expiry],"")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hidden="1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 t="str">
        <f>IFERROR(StockInData[Expiry],"")</f>
        <v/>
      </c>
      <c r="H1267" s="61"/>
      <c r="I1267" s="61">
        <f>SUMIFS(StockInData[Quantity],StockInData[Product ID],ProductMaster!$B1267)-SUMIFS(StockOutData[Quantity],StockOutData[Product ID],ProductMaster!$B1267)</f>
        <v>-1</v>
      </c>
      <c r="J1267" s="64">
        <f>SUMIFS(StockInData[Value],StockInData[Product ID],ProductMaster!$B1267)-SUMIFS(StockOutData[Value],StockOutData[Product ID],ProductMaster!$B1267)</f>
        <v>-16.32</v>
      </c>
    </row>
    <row r="1268" spans="1:10" hidden="1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 t="str">
        <f>IFERROR(StockInData[Expiry],"")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hidden="1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 t="str">
        <f>IFERROR(StockInData[Expiry],"")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hidden="1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 t="str">
        <f>IFERROR(StockInData[Expiry],"")</f>
        <v/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 t="str">
        <f>IFERROR(StockInData[Expiry],"")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 t="str">
        <f>IFERROR(StockInData[Expiry],"")</f>
        <v/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 t="str">
        <f>IFERROR(StockInData[Expiry],"")</f>
        <v/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hidden="1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 t="str">
        <f>IFERROR(StockInData[Expiry],"")</f>
        <v/>
      </c>
      <c r="H1274" s="61"/>
      <c r="I1274" s="61">
        <f>SUMIFS(StockInData[Quantity],StockInData[Product ID],ProductMaster!$B1274)-SUMIFS(StockOutData[Quantity],StockOutData[Product ID],ProductMaster!$B1274)</f>
        <v>-1</v>
      </c>
      <c r="J1274" s="64">
        <f>SUMIFS(StockInData[Value],StockInData[Product ID],ProductMaster!$B1274)-SUMIFS(StockOutData[Value],StockOutData[Product ID],ProductMaster!$B1274)</f>
        <v>-31.96</v>
      </c>
    </row>
    <row r="1275" spans="1:10" hidden="1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 t="str">
        <f>IFERROR(StockInData[Expiry],"")</f>
        <v/>
      </c>
      <c r="H1275" s="61"/>
      <c r="I1275" s="61">
        <f>SUMIFS(StockInData[Quantity],StockInData[Product ID],ProductMaster!$B1275)-SUMIFS(StockOutData[Quantity],StockOutData[Product ID],ProductMaster!$B1275)</f>
        <v>-1</v>
      </c>
      <c r="J1275" s="64">
        <f>SUMIFS(StockInData[Value],StockInData[Product ID],ProductMaster!$B1275)-SUMIFS(StockOutData[Value],StockOutData[Product ID],ProductMaster!$B1275)</f>
        <v>-31.28</v>
      </c>
    </row>
    <row r="1276" spans="1:10" hidden="1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 t="str">
        <f>IFERROR(StockInData[Expiry],"")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hidden="1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 t="str">
        <f>IFERROR(StockInData[Expiry],"")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 t="str">
        <f>IFERROR(StockInData[Expiry],"")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 t="str">
        <f>IFERROR(StockInData[Expiry],"")</f>
        <v/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 t="str">
        <f>IFERROR(StockInData[Expiry],"")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 t="str">
        <f>IFERROR(StockInData[Expiry],"")</f>
        <v/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 t="str">
        <f>IFERROR(StockInData[Expiry],"")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 t="str">
        <f>IFERROR(StockInData[Expiry],"")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 t="str">
        <f>IFERROR(StockInData[Expiry],"")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 t="str">
        <f>IFERROR(StockInData[Expiry],"")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 t="str">
        <f>IFERROR(StockInData[Expiry],"")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 t="str">
        <f>IFERROR(StockInData[Expiry],"")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hidden="1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 t="str">
        <f>IFERROR(StockInData[Expiry],"")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hidden="1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 t="str">
        <f>IFERROR(StockInData[Expiry],"")</f>
        <v/>
      </c>
      <c r="H1289" s="61"/>
      <c r="I1289" s="61">
        <f>SUMIFS(StockInData[Quantity],StockInData[Product ID],ProductMaster!$B1289)-SUMIFS(StockOutData[Quantity],StockOutData[Product ID],ProductMaster!$B1289)</f>
        <v>0</v>
      </c>
      <c r="J1289" s="64">
        <f>SUMIFS(StockInData[Value],StockInData[Product ID],ProductMaster!$B1289)-SUMIFS(StockOutData[Value],StockOutData[Product ID],ProductMaster!$B1289)</f>
        <v>0</v>
      </c>
    </row>
    <row r="1290" spans="1:10" hidden="1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 t="str">
        <f>IFERROR(StockInData[Expiry],"")</f>
        <v/>
      </c>
      <c r="H1290" s="61"/>
      <c r="I1290" s="61">
        <f>SUMIFS(StockInData[Quantity],StockInData[Product ID],ProductMaster!$B1290)-SUMIFS(StockOutData[Quantity],StockOutData[Product ID],ProductMaster!$B1290)</f>
        <v>0</v>
      </c>
      <c r="J1290" s="64">
        <f>SUMIFS(StockInData[Value],StockInData[Product ID],ProductMaster!$B1290)-SUMIFS(StockOutData[Value],StockOutData[Product ID],ProductMaster!$B1290)</f>
        <v>0</v>
      </c>
    </row>
    <row r="1291" spans="1:10" hidden="1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 t="str">
        <f>IFERROR(StockInData[Expiry],"")</f>
        <v/>
      </c>
      <c r="H1291" s="61"/>
      <c r="I1291" s="61">
        <f>SUMIFS(StockInData[Quantity],StockInData[Product ID],ProductMaster!$B1291)-SUMIFS(StockOutData[Quantity],StockOutData[Product ID],ProductMaster!$B1291)</f>
        <v>0</v>
      </c>
      <c r="J1291" s="64">
        <f>SUMIFS(StockInData[Value],StockInData[Product ID],ProductMaster!$B1291)-SUMIFS(StockOutData[Value],StockOutData[Product ID],ProductMaster!$B1291)</f>
        <v>0</v>
      </c>
    </row>
    <row r="1292" spans="1:10" hidden="1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 t="str">
        <f>IFERROR(StockInData[Expiry],"")</f>
        <v/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hidden="1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 t="str">
        <f>IFERROR(StockInData[Expiry],"")</f>
        <v/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 t="str">
        <f>IFERROR(StockInData[Expiry],"")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 t="str">
        <f>IFERROR(StockInData[Expiry],"")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 t="str">
        <f>IFERROR(StockInData[Expiry],"")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 t="str">
        <f>IFERROR(StockInData[Expiry],"")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 t="str">
        <f>IFERROR(StockInData[Expiry],"")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 t="str">
        <f>IFERROR(StockInData[Expiry],"")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 t="str">
        <f>IFERROR(StockInData[Expiry],"")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 t="str">
        <f>IFERROR(StockInData[Expiry],"")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 t="str">
        <f>IFERROR(StockInData[Expiry],"")</f>
        <v/>
      </c>
      <c r="H1302" s="61"/>
      <c r="I1302" s="61">
        <f>SUMIFS(StockInData[Quantity],StockInData[Product ID],ProductMaster!$B1302)-SUMIFS(StockOutData[Quantity],StockOutData[Product ID],ProductMaster!$B1302)</f>
        <v>0</v>
      </c>
      <c r="J1302" s="64">
        <f>SUMIFS(StockInData[Value],StockInData[Product ID],ProductMaster!$B1302)-SUMIFS(StockOutData[Value],StockOutData[Product ID],ProductMaster!$B1302)</f>
        <v>-9.9</v>
      </c>
    </row>
    <row r="1303" spans="1:10" hidden="1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 t="str">
        <f>IFERROR(StockInData[Expiry],"")</f>
        <v/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hidden="1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 t="str">
        <f>IFERROR(StockInData[Expiry],"")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hidden="1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 t="str">
        <f>IFERROR(StockInData[Expiry],"")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hidden="1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 t="str">
        <f>IFERROR(StockInData[Expiry],"")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hidden="1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 t="str">
        <f>IFERROR(StockInData[Expiry],"")</f>
        <v/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 t="str">
        <f>IFERROR(StockInData[Expiry],"")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hidden="1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 t="str">
        <f>IFERROR(StockInData[Expiry],"")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hidden="1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 t="str">
        <f>IFERROR(StockInData[Expiry],"")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hidden="1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 t="str">
        <f>IFERROR(StockInData[Expiry],"")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hidden="1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 t="str">
        <f>IFERROR(StockInData[Expiry],"")</f>
        <v/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hidden="1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 t="str">
        <f>IFERROR(StockInData[Expiry],"")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hidden="1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 t="str">
        <f>IFERROR(StockInData[Expiry],"")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hidden="1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 t="str">
        <f>IFERROR(StockInData[Expiry],"")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hidden="1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 t="str">
        <f>IFERROR(StockInData[Expiry],"")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hidden="1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 t="str">
        <f>IFERROR(StockInData[Expiry],"")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hidden="1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 t="str">
        <f>IFERROR(StockInData[Expiry],"")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 t="str">
        <f>IFERROR(StockInData[Expiry],"")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hidden="1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 t="str">
        <f>IFERROR(StockInData[Expiry],"")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hidden="1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 t="str">
        <f>IFERROR(StockInData[Expiry],"")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hidden="1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 t="str">
        <f>IFERROR(StockInData[Expiry],"")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hidden="1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 t="str">
        <f>IFERROR(StockInData[Expiry],"")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hidden="1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 t="str">
        <f>IFERROR(StockInData[Expiry],"")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 t="str">
        <f>IFERROR(StockInData[Expiry],"")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 t="str">
        <f>IFERROR(StockInData[Expiry],"")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 t="str">
        <f>IFERROR(StockInData[Expiry],"")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 t="str">
        <f>IFERROR(StockInData[Expiry],"")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 t="str">
        <f>IFERROR(StockInData[Expiry],"")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hidden="1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 t="str">
        <f>IFERROR(StockInData[Expiry],"")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hidden="1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 t="str">
        <f>IFERROR(StockInData[Expiry],"")</f>
        <v/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 t="str">
        <f>IFERROR(StockInData[Expiry],"")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 t="str">
        <f>IFERROR(StockInData[Expiry],"")</f>
        <v/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hidden="1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 t="str">
        <f>IFERROR(StockInData[Expiry],"")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hidden="1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 t="str">
        <f>IFERROR(StockInData[Expiry],"")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hidden="1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 t="str">
        <f>IFERROR(StockInData[Expiry],"")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hidden="1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 t="str">
        <f>IFERROR(StockInData[Expiry],"")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 t="str">
        <f>IFERROR(StockInData[Expiry],"")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hidden="1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 t="str">
        <f>IFERROR(StockInData[Expiry],"")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hidden="1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 t="str">
        <f>IFERROR(StockInData[Expiry],"")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 t="str">
        <f>IFERROR(StockInData[Expiry],"")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 t="str">
        <f>IFERROR(StockInData[Expiry],"")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hidden="1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 t="str">
        <f>IFERROR(StockInData[Expiry],"")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hidden="1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 t="str">
        <f>IFERROR(StockInData[Expiry],"")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 t="str">
        <f>IFERROR(StockInData[Expiry],"")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 t="str">
        <f>IFERROR(StockInData[Expiry],"")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 t="str">
        <f>IFERROR(StockInData[Expiry],"")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 t="str">
        <f>IFERROR(StockInData[Expiry],"")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 t="str">
        <f>IFERROR(StockInData[Expiry],"")</f>
        <v/>
      </c>
      <c r="H1349" s="61"/>
      <c r="I1349" s="61">
        <f>SUMIFS(StockInData[Quantity],StockInData[Product ID],ProductMaster!$B1349)-SUMIFS(StockOutData[Quantity],StockOutData[Product ID],ProductMaster!$B1349)</f>
        <v>-1</v>
      </c>
      <c r="J1349" s="64">
        <f>SUMIFS(StockInData[Value],StockInData[Product ID],ProductMaster!$B1349)-SUMIFS(StockOutData[Value],StockOutData[Product ID],ProductMaster!$B1349)</f>
        <v>-23.88</v>
      </c>
    </row>
    <row r="1350" spans="1:10" hidden="1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 t="str">
        <f>IFERROR(StockInData[Expiry],"")</f>
        <v/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 t="str">
        <f>IFERROR(StockInData[Expiry],"")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 t="str">
        <f>IFERROR(StockInData[Expiry],"")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 t="str">
        <f>IFERROR(StockInData[Expiry],"")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hidden="1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 t="str">
        <f>IFERROR(StockInData[Expiry],"")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hidden="1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 t="str">
        <f>IFERROR(StockInData[Expiry],"")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hidden="1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 t="str">
        <f>IFERROR(StockInData[Expiry],"")</f>
        <v/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hidden="1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 t="str">
        <f>IFERROR(StockInData[Expiry],"")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hidden="1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 t="str">
        <f>IFERROR(StockInData[Expiry],"")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 t="str">
        <f>IFERROR(StockInData[Expiry],"")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 t="str">
        <f>IFERROR(StockInData[Expiry],"")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hidden="1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 t="str">
        <f>IFERROR(StockInData[Expiry],"")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hidden="1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 t="str">
        <f>IFERROR(StockInData[Expiry],"")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 t="str">
        <f>IFERROR(StockInData[Expiry],"")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 t="str">
        <f>IFERROR(StockInData[Expiry],"")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 t="str">
        <f>IFERROR(StockInData[Expiry],"")</f>
        <v/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hidden="1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 t="str">
        <f>IFERROR(StockInData[Expiry],"")</f>
        <v/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hidden="1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 t="str">
        <f>IFERROR(StockInData[Expiry],"")</f>
        <v/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 t="str">
        <f>IFERROR(StockInData[Expiry],"")</f>
        <v/>
      </c>
      <c r="H1368" s="61"/>
      <c r="I1368" s="61">
        <f>SUMIFS(StockInData[Quantity],StockInData[Product ID],ProductMaster!$B1368)-SUMIFS(StockOutData[Quantity],StockOutData[Product ID],ProductMaster!$B1368)</f>
        <v>-6</v>
      </c>
      <c r="J1368" s="64">
        <f>SUMIFS(StockInData[Value],StockInData[Product ID],ProductMaster!$B1368)-SUMIFS(StockOutData[Value],StockOutData[Product ID],ProductMaster!$B1368)</f>
        <v>-203.44</v>
      </c>
    </row>
    <row r="1369" spans="1:10" hidden="1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 t="str">
        <f>IFERROR(StockInData[Expiry],"")</f>
        <v/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hidden="1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 t="str">
        <f>IFERROR(StockInData[Expiry],"")</f>
        <v/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hidden="1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 t="str">
        <f>IFERROR(StockInData[Expiry],"")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hidden="1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 t="str">
        <f>IFERROR(StockInData[Expiry],"")</f>
        <v/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hidden="1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 t="str">
        <f>IFERROR(StockInData[Expiry],"")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hidden="1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 t="str">
        <f>IFERROR(StockInData[Expiry],"")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 t="str">
        <f>IFERROR(StockInData[Expiry],"")</f>
        <v/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 t="str">
        <f>IFERROR(StockInData[Expiry],"")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hidden="1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 t="str">
        <f>IFERROR(StockInData[Expiry],"")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 t="str">
        <f>IFERROR(StockInData[Expiry],"")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hidden="1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 t="str">
        <f>IFERROR(StockInData[Expiry],"")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hidden="1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 t="str">
        <f>IFERROR(StockInData[Expiry],"")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hidden="1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 t="str">
        <f>IFERROR(StockInData[Expiry],"")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hidden="1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 t="str">
        <f>IFERROR(StockInData[Expiry],"")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 t="str">
        <f>IFERROR(StockInData[Expiry],"")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 t="str">
        <f>IFERROR(StockInData[Expiry],"")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hidden="1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 t="str">
        <f>IFERROR(StockInData[Expiry],"")</f>
        <v/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hidden="1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 t="str">
        <f>IFERROR(StockInData[Expiry],"")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hidden="1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 t="str">
        <f>IFERROR(StockInData[Expiry],"")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hidden="1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 t="str">
        <f>IFERROR(StockInData[Expiry],"")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hidden="1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 t="str">
        <f>IFERROR(StockInData[Expiry],"")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hidden="1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 t="str">
        <f>IFERROR(StockInData[Expiry],"")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hidden="1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 t="str">
        <f>IFERROR(StockInData[Expiry],"")</f>
        <v/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 t="str">
        <f>IFERROR(StockInData[Expiry],"")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hidden="1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 t="str">
        <f>IFERROR(StockInData[Expiry],"")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hidden="1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 t="str">
        <f>IFERROR(StockInData[Expiry],"")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hidden="1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 t="str">
        <f>IFERROR(StockInData[Expiry],"")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 t="str">
        <f>IFERROR(StockInData[Expiry],"")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hidden="1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 t="str">
        <f>IFERROR(StockInData[Expiry],"")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hidden="1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 t="str">
        <f>IFERROR(StockInData[Expiry],"")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hidden="1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 t="str">
        <f>IFERROR(StockInData[Expiry],"")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hidden="1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 t="str">
        <f>IFERROR(StockInData[Expiry],"")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hidden="1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 t="str">
        <f>IFERROR(StockInData[Expiry],"")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hidden="1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 t="str">
        <f>IFERROR(StockInData[Expiry],"")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hidden="1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 t="str">
        <f>IFERROR(StockInData[Expiry],"")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hidden="1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 t="str">
        <f>IFERROR(StockInData[Expiry],"")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hidden="1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 t="str">
        <f>IFERROR(StockInData[Expiry],"")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hidden="1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 t="str">
        <f>IFERROR(StockInData[Expiry],"")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hidden="1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 t="str">
        <f>IFERROR(StockInData[Expiry],"")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 t="str">
        <f>IFERROR(StockInData[Expiry],"")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 t="str">
        <f>IFERROR(StockInData[Expiry],"")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 t="str">
        <f>IFERROR(StockInData[Expiry],"")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 t="str">
        <f>IFERROR(StockInData[Expiry],"")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 t="str">
        <f>IFERROR(StockInData[Expiry],"")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 t="str">
        <f>IFERROR(StockInData[Expiry],"")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hidden="1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 t="str">
        <f>IFERROR(StockInData[Expiry],"")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hidden="1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 t="str">
        <f>IFERROR(StockInData[Expiry],"")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hidden="1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 t="str">
        <f>IFERROR(StockInData[Expiry],"")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hidden="1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 t="str">
        <f>IFERROR(StockInData[Expiry],"")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 t="str">
        <f>IFERROR(StockInData[Expiry],"")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 t="str">
        <f>IFERROR(StockInData[Expiry],"")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 t="str">
        <f>IFERROR(StockInData[Expiry],"")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 t="str">
        <f>IFERROR(StockInData[Expiry],"")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 t="str">
        <f>IFERROR(StockInData[Expiry],"")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 t="str">
        <f>IFERROR(StockInData[Expiry],"")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 t="str">
        <f>IFERROR(StockInData[Expiry],"")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 t="str">
        <f>IFERROR(StockInData[Expiry],"")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 t="str">
        <f>IFERROR(StockInData[Expiry],"")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hidden="1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 t="str">
        <f>IFERROR(StockInData[Expiry],"")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hidden="1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 t="str">
        <f>IFERROR(StockInData[Expiry],"")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hidden="1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 t="str">
        <f>IFERROR(StockInData[Expiry],"")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 t="str">
        <f>IFERROR(StockInData[Expiry],"")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hidden="1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 t="str">
        <f>IFERROR(StockInData[Expiry],"")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hidden="1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 t="str">
        <f>IFERROR(StockInData[Expiry],"")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 t="str">
        <f>IFERROR(StockInData[Expiry],"")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 t="str">
        <f>IFERROR(StockInData[Expiry],"")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 t="str">
        <f>IFERROR(StockInData[Expiry],"")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 t="str">
        <f>IFERROR(StockInData[Expiry],"")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hidden="1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 t="str">
        <f>IFERROR(StockInData[Expiry],"")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hidden="1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 t="str">
        <f>IFERROR(StockInData[Expiry],"")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 t="str">
        <f>IFERROR(StockInData[Expiry],"")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 t="str">
        <f>IFERROR(StockInData[Expiry],"")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 t="str">
        <f>IFERROR(StockInData[Expiry],"")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hidden="1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 t="str">
        <f>IFERROR(StockInData[Expiry],"")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hidden="1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 t="str">
        <f>IFERROR(StockInData[Expiry],"")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hidden="1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 t="str">
        <f>IFERROR(StockInData[Expiry],"")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 t="str">
        <f>IFERROR(StockInData[Expiry],"")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hidden="1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 t="str">
        <f>IFERROR(StockInData[Expiry],"")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hidden="1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 t="str">
        <f>IFERROR(StockInData[Expiry],"")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 t="str">
        <f>IFERROR(StockInData[Expiry],"")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hidden="1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 t="str">
        <f>IFERROR(StockInData[Expiry],"")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hidden="1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 t="str">
        <f>IFERROR(StockInData[Expiry],"")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hidden="1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 t="str">
        <f>IFERROR(StockInData[Expiry],"")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hidden="1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 t="str">
        <f>IFERROR(StockInData[Expiry],"")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hidden="1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 t="str">
        <f>IFERROR(StockInData[Expiry],"")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hidden="1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 t="str">
        <f>IFERROR(StockInData[Expiry],"")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hidden="1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 t="str">
        <f>IFERROR(StockInData[Expiry],"")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 t="str">
        <f>IFERROR(StockInData[Expiry],"")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 t="str">
        <f>IFERROR(StockInData[Expiry],"")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 t="str">
        <f>IFERROR(StockInData[Expiry],"")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 t="str">
        <f>IFERROR(StockInData[Expiry],"")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hidden="1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 t="str">
        <f>IFERROR(StockInData[Expiry],"")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hidden="1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 t="str">
        <f>IFERROR(StockInData[Expiry],"")</f>
        <v/>
      </c>
      <c r="H1461" s="61"/>
      <c r="I1461" s="61">
        <f>SUMIFS(StockInData[Quantity],StockInData[Product ID],ProductMaster!$B1461)-SUMIFS(StockOutData[Quantity],StockOutData[Product ID],ProductMaster!$B1461)</f>
        <v>-1</v>
      </c>
      <c r="J1461" s="64">
        <f>SUMIFS(StockInData[Value],StockInData[Product ID],ProductMaster!$B1461)-SUMIFS(StockOutData[Value],StockOutData[Product ID],ProductMaster!$B1461)</f>
        <v>-15.48</v>
      </c>
    </row>
    <row r="1462" spans="1:10" hidden="1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 t="str">
        <f>IFERROR(StockInData[Expiry],"")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 t="str">
        <f>IFERROR(StockInData[Expiry],"")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 t="str">
        <f>IFERROR(StockInData[Expiry],"")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 t="str">
        <f>IFERROR(StockInData[Expiry],"")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 t="str">
        <f>IFERROR(StockInData[Expiry],"")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hidden="1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 t="str">
        <f>IFERROR(StockInData[Expiry],"")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hidden="1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 t="str">
        <f>IFERROR(StockInData[Expiry],"")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hidden="1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 t="str">
        <f>IFERROR(StockInData[Expiry],"")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hidden="1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 t="str">
        <f>IFERROR(StockInData[Expiry],"")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 t="str">
        <f>IFERROR(StockInData[Expiry],"")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hidden="1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 t="str">
        <f>IFERROR(StockInData[Expiry],"")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hidden="1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 t="str">
        <f>IFERROR(StockInData[Expiry],"")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 t="str">
        <f>IFERROR(StockInData[Expiry],"")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hidden="1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 t="str">
        <f>IFERROR(StockInData[Expiry],"")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hidden="1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 t="str">
        <f>IFERROR(StockInData[Expiry],"")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hidden="1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 t="str">
        <f>IFERROR(StockInData[Expiry],"")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 t="str">
        <f>IFERROR(StockInData[Expiry],"")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 t="str">
        <f>IFERROR(StockInData[Expiry],"")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 t="str">
        <f>IFERROR(StockInData[Expiry],"")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hidden="1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 t="str">
        <f>IFERROR(StockInData[Expiry],"")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 t="str">
        <f>IFERROR(StockInData[Expiry],"")</f>
        <v/>
      </c>
      <c r="H1482" s="61"/>
      <c r="I1482" s="61">
        <f>SUMIFS(StockInData[Quantity],StockInData[Product ID],ProductMaster!$B1482)-SUMIFS(StockOutData[Quantity],StockOutData[Product ID],ProductMaster!$B1482)</f>
        <v>-1</v>
      </c>
      <c r="J1482" s="64">
        <f>SUMIFS(StockInData[Value],StockInData[Product ID],ProductMaster!$B1482)-SUMIFS(StockOutData[Value],StockOutData[Product ID],ProductMaster!$B1482)</f>
        <v>-10</v>
      </c>
    </row>
    <row r="1483" spans="1:10" hidden="1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 t="str">
        <f>IFERROR(StockInData[Expiry],"")</f>
        <v/>
      </c>
      <c r="H1483" s="61"/>
      <c r="I1483" s="61">
        <f>SUMIFS(StockInData[Quantity],StockInData[Product ID],ProductMaster!$B1483)-SUMIFS(StockOutData[Quantity],StockOutData[Product ID],ProductMaster!$B1483)</f>
        <v>-1</v>
      </c>
      <c r="J1483" s="64">
        <f>SUMIFS(StockInData[Value],StockInData[Product ID],ProductMaster!$B1483)-SUMIFS(StockOutData[Value],StockOutData[Product ID],ProductMaster!$B1483)</f>
        <v>-10</v>
      </c>
    </row>
    <row r="1484" spans="1:10" hidden="1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 t="str">
        <f>IFERROR(StockInData[Expiry],"")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 t="str">
        <f>IFERROR(StockInData[Expiry],"")</f>
        <v/>
      </c>
      <c r="H1485" s="61"/>
      <c r="I1485" s="61">
        <f>SUMIFS(StockInData[Quantity],StockInData[Product ID],ProductMaster!$B1485)-SUMIFS(StockOutData[Quantity],StockOutData[Product ID],ProductMaster!$B1485)</f>
        <v>-2</v>
      </c>
      <c r="J1485" s="64">
        <f>SUMIFS(StockInData[Value],StockInData[Product ID],ProductMaster!$B1485)-SUMIFS(StockOutData[Value],StockOutData[Product ID],ProductMaster!$B1485)</f>
        <v>-23.88</v>
      </c>
    </row>
    <row r="1486" spans="1:10" hidden="1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 t="str">
        <f>IFERROR(StockInData[Expiry],"")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 t="str">
        <f>IFERROR(StockInData[Expiry],"")</f>
        <v/>
      </c>
      <c r="H1487" s="61"/>
      <c r="I1487" s="61">
        <f>SUMIFS(StockInData[Quantity],StockInData[Product ID],ProductMaster!$B1487)-SUMIFS(StockOutData[Quantity],StockOutData[Product ID],ProductMaster!$B1487)</f>
        <v>-1</v>
      </c>
      <c r="J1487" s="64">
        <f>SUMIFS(StockInData[Value],StockInData[Product ID],ProductMaster!$B1487)-SUMIFS(StockOutData[Value],StockOutData[Product ID],ProductMaster!$B1487)</f>
        <v>-11.94</v>
      </c>
    </row>
    <row r="1488" spans="1:10" hidden="1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 t="str">
        <f>IFERROR(StockInData[Expiry],"")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hidden="1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 t="str">
        <f>IFERROR(StockInData[Expiry],"")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 t="str">
        <f>IFERROR(StockInData[Expiry],"")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 t="str">
        <f>IFERROR(StockInData[Expiry],"")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hidden="1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 t="str">
        <f>IFERROR(StockInData[Expiry],"")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hidden="1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 t="str">
        <f>IFERROR(StockInData[Expiry],"")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hidden="1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 t="str">
        <f>IFERROR(StockInData[Expiry],"")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hidden="1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 t="str">
        <f>IFERROR(StockInData[Expiry],"")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hidden="1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 t="str">
        <f>IFERROR(StockInData[Expiry],"")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 t="str">
        <f>IFERROR(StockInData[Expiry],"")</f>
        <v/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hidden="1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 t="str">
        <f>IFERROR(StockInData[Expiry],"")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hidden="1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 t="str">
        <f>IFERROR(StockInData[Expiry],"")</f>
        <v/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hidden="1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 t="str">
        <f>IFERROR(StockInData[Expiry],"")</f>
        <v/>
      </c>
      <c r="H1500" s="61"/>
      <c r="I1500" s="61">
        <f>SUMIFS(StockInData[Quantity],StockInData[Product ID],ProductMaster!$B1500)-SUMIFS(StockOutData[Quantity],StockOutData[Product ID],ProductMaster!$B1500)</f>
        <v>-1</v>
      </c>
      <c r="J1500" s="64">
        <f>SUMIFS(StockInData[Value],StockInData[Product ID],ProductMaster!$B1500)-SUMIFS(StockOutData[Value],StockOutData[Product ID],ProductMaster!$B1500)</f>
        <v>-10</v>
      </c>
    </row>
    <row r="1501" spans="1:10" hidden="1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 t="str">
        <f>IFERROR(StockInData[Expiry],"")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hidden="1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 t="str">
        <f>IFERROR(StockInData[Expiry],"")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hidden="1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 t="str">
        <f>IFERROR(StockInData[Expiry],"")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hidden="1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 t="str">
        <f>IFERROR(StockInData[Expiry],"")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hidden="1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 t="str">
        <f>IFERROR(StockInData[Expiry],"")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hidden="1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 t="str">
        <f>IFERROR(StockInData[Expiry],"")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hidden="1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 t="str">
        <f>IFERROR(StockInData[Expiry],"")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hidden="1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 t="str">
        <f>IFERROR(StockInData[Expiry],"")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hidden="1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 t="str">
        <f>IFERROR(StockInData[Expiry],"")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hidden="1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 t="str">
        <f>IFERROR(StockInData[Expiry],"")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 t="str">
        <f>IFERROR(StockInData[Expiry],"")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hidden="1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 t="str">
        <f>IFERROR(StockInData[Expiry],"")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hidden="1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 t="str">
        <f>IFERROR(StockInData[Expiry],"")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hidden="1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 t="str">
        <f>IFERROR(StockInData[Expiry],"")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hidden="1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 t="str">
        <f>IFERROR(StockInData[Expiry],"")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hidden="1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 t="str">
        <f>IFERROR(StockInData[Expiry],"")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hidden="1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 t="str">
        <f>IFERROR(StockInData[Expiry],"")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 t="str">
        <f>IFERROR(StockInData[Expiry],"")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 t="str">
        <f>IFERROR(StockInData[Expiry],"")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hidden="1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 t="str">
        <f>IFERROR(StockInData[Expiry],"")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hidden="1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 t="str">
        <f>IFERROR(StockInData[Expiry],"")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hidden="1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 t="str">
        <f>IFERROR(StockInData[Expiry],"")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hidden="1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 t="str">
        <f>IFERROR(StockInData[Expiry],"")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hidden="1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 t="str">
        <f>IFERROR(StockInData[Expiry],"")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hidden="1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 t="str">
        <f>IFERROR(StockInData[Expiry],"")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hidden="1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 t="str">
        <f>IFERROR(StockInData[Expiry],"")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 t="str">
        <f>IFERROR(StockInData[Expiry],"")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hidden="1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 t="str">
        <f>IFERROR(StockInData[Expiry],"")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hidden="1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 t="str">
        <f>IFERROR(StockInData[Expiry],"")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hidden="1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 t="str">
        <f>IFERROR(StockInData[Expiry],"")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hidden="1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 t="str">
        <f>IFERROR(StockInData[Expiry],"")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hidden="1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 t="str">
        <f>IFERROR(StockInData[Expiry],"")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hidden="1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 t="str">
        <f>IFERROR(StockInData[Expiry],"")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 t="str">
        <f>IFERROR(StockInData[Expiry],"")</f>
        <v/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 t="str">
        <f>IFERROR(StockInData[Expiry],"")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hidden="1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 t="str">
        <f>IFERROR(StockInData[Expiry],"")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 t="str">
        <f>IFERROR(StockInData[Expiry],"")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 t="str">
        <f>IFERROR(StockInData[Expiry],"")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 t="str">
        <f>IFERROR(StockInData[Expiry],"")</f>
        <v/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hidden="1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 t="str">
        <f>IFERROR(StockInData[Expiry],"")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hidden="1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 t="str">
        <f>IFERROR(StockInData[Expiry],"")</f>
        <v/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 t="str">
        <f>IFERROR(StockInData[Expiry],"")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 t="str">
        <f>IFERROR(StockInData[Expiry],"")</f>
        <v/>
      </c>
      <c r="H1543" s="61"/>
      <c r="I1543" s="61">
        <f>SUMIFS(StockInData[Quantity],StockInData[Product ID],ProductMaster!$B1543)-SUMIFS(StockOutData[Quantity],StockOutData[Product ID],ProductMaster!$B1543)</f>
        <v>13</v>
      </c>
      <c r="J1543" s="64">
        <f>SUMIFS(StockInData[Value],StockInData[Product ID],ProductMaster!$B1543)-SUMIFS(StockOutData[Value],StockOutData[Product ID],ProductMaster!$B1543)</f>
        <v>10</v>
      </c>
    </row>
    <row r="1544" spans="1:10" hidden="1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 t="str">
        <f>IFERROR(StockInData[Expiry],"")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hidden="1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 t="str">
        <f>IFERROR(StockInData[Expiry],"")</f>
        <v/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 t="str">
        <f>IFERROR(StockInData[Expiry],"")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hidden="1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 t="str">
        <f>IFERROR(StockInData[Expiry],"")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hidden="1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 t="str">
        <f>IFERROR(StockInData[Expiry],"")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 t="str">
        <f>IFERROR(StockInData[Expiry],"")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 t="str">
        <f>IFERROR(StockInData[Expiry],"")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 t="str">
        <f>IFERROR(StockInData[Expiry],"")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 t="str">
        <f>IFERROR(StockInData[Expiry],"")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hidden="1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 t="str">
        <f>IFERROR(StockInData[Expiry],"")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hidden="1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 t="str">
        <f>IFERROR(StockInData[Expiry],"")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hidden="1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 t="str">
        <f>IFERROR(StockInData[Expiry],"")</f>
        <v/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hidden="1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 t="str">
        <f>IFERROR(StockInData[Expiry],"")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 t="str">
        <f>IFERROR(StockInData[Expiry],"")</f>
        <v/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 t="str">
        <f>IFERROR(StockInData[Expiry],"")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hidden="1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 t="str">
        <f>IFERROR(StockInData[Expiry],"")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hidden="1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 t="str">
        <f>IFERROR(StockInData[Expiry],"")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 t="str">
        <f>IFERROR(StockInData[Expiry],"")</f>
        <v/>
      </c>
      <c r="H1561" s="61"/>
      <c r="I1561" s="61">
        <f>SUMIFS(StockInData[Quantity],StockInData[Product ID],ProductMaster!$B1561)-SUMIFS(StockOutData[Quantity],StockOutData[Product ID],ProductMaster!$B1561)</f>
        <v>46</v>
      </c>
      <c r="J1561" s="64">
        <f>SUMIFS(StockInData[Value],StockInData[Product ID],ProductMaster!$B1561)-SUMIFS(StockOutData[Value],StockOutData[Product ID],ProductMaster!$B1561)</f>
        <v>-20</v>
      </c>
    </row>
    <row r="1562" spans="1:10" hidden="1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 t="str">
        <f>IFERROR(StockInData[Expiry],"")</f>
        <v/>
      </c>
      <c r="H1562" s="61"/>
      <c r="I1562" s="61">
        <f>SUMIFS(StockInData[Quantity],StockInData[Product ID],ProductMaster!$B1562)-SUMIFS(StockOutData[Quantity],StockOutData[Product ID],ProductMaster!$B1562)</f>
        <v>-2</v>
      </c>
      <c r="J1562" s="64">
        <f>SUMIFS(StockInData[Value],StockInData[Product ID],ProductMaster!$B1562)-SUMIFS(StockOutData[Value],StockOutData[Product ID],ProductMaster!$B1562)</f>
        <v>-62.160000000000004</v>
      </c>
    </row>
    <row r="1563" spans="1:10" hidden="1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 t="str">
        <f>IFERROR(StockInData[Expiry],"")</f>
        <v/>
      </c>
      <c r="H1563" s="61"/>
      <c r="I1563" s="61">
        <f>SUMIFS(StockInData[Quantity],StockInData[Product ID],ProductMaster!$B1563)-SUMIFS(StockOutData[Quantity],StockOutData[Product ID],ProductMaster!$B1563)</f>
        <v>-2</v>
      </c>
      <c r="J1563" s="64">
        <f>SUMIFS(StockInData[Value],StockInData[Product ID],ProductMaster!$B1563)-SUMIFS(StockOutData[Value],StockOutData[Product ID],ProductMaster!$B1563)</f>
        <v>-62.160000000000004</v>
      </c>
    </row>
    <row r="1564" spans="1:10" hidden="1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 t="str">
        <f>IFERROR(StockInData[Expiry],"")</f>
        <v/>
      </c>
      <c r="H1564" s="61"/>
      <c r="I1564" s="61">
        <f>SUMIFS(StockInData[Quantity],StockInData[Product ID],ProductMaster!$B1564)-SUMIFS(StockOutData[Quantity],StockOutData[Product ID],ProductMaster!$B1564)</f>
        <v>-2</v>
      </c>
      <c r="J1564" s="64">
        <f>SUMIFS(StockInData[Value],StockInData[Product ID],ProductMaster!$B1564)-SUMIFS(StockOutData[Value],StockOutData[Product ID],ProductMaster!$B1564)</f>
        <v>-62.160000000000004</v>
      </c>
    </row>
    <row r="1565" spans="1:10" hidden="1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 t="str">
        <f>IFERROR(StockInData[Expiry],"")</f>
        <v/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hidden="1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 t="str">
        <f>IFERROR(StockInData[Expiry],"")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hidden="1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 t="str">
        <f>IFERROR(StockInData[Expiry],"")</f>
        <v/>
      </c>
      <c r="H1567" s="61"/>
      <c r="I1567" s="61">
        <f>SUMIFS(StockInData[Quantity],StockInData[Product ID],ProductMaster!$B1567)-SUMIFS(StockOutData[Quantity],StockOutData[Product ID],ProductMaster!$B1567)</f>
        <v>-1</v>
      </c>
      <c r="J1567" s="64">
        <f>SUMIFS(StockInData[Value],StockInData[Product ID],ProductMaster!$B1567)-SUMIFS(StockOutData[Value],StockOutData[Product ID],ProductMaster!$B1567)</f>
        <v>-21.6</v>
      </c>
    </row>
    <row r="1568" spans="1:10" hidden="1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 t="str">
        <f>IFERROR(StockInData[Expiry],"")</f>
        <v/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hidden="1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 t="str">
        <f>IFERROR(StockInData[Expiry],"")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hidden="1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 t="str">
        <f>IFERROR(StockInData[Expiry],"")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hidden="1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 t="str">
        <f>IFERROR(StockInData[Expiry],"")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hidden="1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 t="str">
        <f>IFERROR(StockInData[Expiry],"")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hidden="1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 t="str">
        <f>IFERROR(StockInData[Expiry],"")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hidden="1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 t="str">
        <f>IFERROR(StockInData[Expiry],"")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 t="str">
        <f>IFERROR(StockInData[Expiry],"")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hidden="1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 t="str">
        <f>IFERROR(StockInData[Expiry],"")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hidden="1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 t="str">
        <f>IFERROR(StockInData[Expiry],"")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hidden="1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 t="str">
        <f>IFERROR(StockInData[Expiry],"")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 t="str">
        <f>IFERROR(StockInData[Expiry],"")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hidden="1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 t="str">
        <f>IFERROR(StockInData[Expiry],"")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hidden="1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 t="str">
        <f>IFERROR(StockInData[Expiry],"")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hidden="1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 t="str">
        <f>IFERROR(StockInData[Expiry],"")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 t="str">
        <f>IFERROR(StockInData[Expiry],"")</f>
        <v/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 t="str">
        <f>IFERROR(StockInData[Expiry],"")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hidden="1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 t="str">
        <f>IFERROR(StockInData[Expiry],"")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hidden="1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 t="str">
        <f>IFERROR(StockInData[Expiry],"")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hidden="1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 t="str">
        <f>IFERROR(StockInData[Expiry],"")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hidden="1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 t="str">
        <f>IFERROR(StockInData[Expiry],"")</f>
        <v/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hidden="1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 t="str">
        <f>IFERROR(StockInData[Expiry],"")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hidden="1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 t="str">
        <f>IFERROR(StockInData[Expiry],"")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hidden="1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 t="str">
        <f>IFERROR(StockInData[Expiry],"")</f>
        <v/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hidden="1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 t="str">
        <f>IFERROR(StockInData[Expiry],"")</f>
        <v/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hidden="1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 t="str">
        <f>IFERROR(StockInData[Expiry],"")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hidden="1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 t="str">
        <f>IFERROR(StockInData[Expiry],"")</f>
        <v/>
      </c>
      <c r="H1594" s="61"/>
      <c r="I1594" s="61">
        <f>SUMIFS(StockInData[Quantity],StockInData[Product ID],ProductMaster!$B1594)-SUMIFS(StockOutData[Quantity],StockOutData[Product ID],ProductMaster!$B1594)</f>
        <v>-1</v>
      </c>
      <c r="J1594" s="64">
        <f>SUMIFS(StockInData[Value],StockInData[Product ID],ProductMaster!$B1594)-SUMIFS(StockOutData[Value],StockOutData[Product ID],ProductMaster!$B1594)</f>
        <v>-7.8000000000000007</v>
      </c>
    </row>
    <row r="1595" spans="1:10" hidden="1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 t="str">
        <f>IFERROR(StockInData[Expiry],"")</f>
        <v/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hidden="1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 t="str">
        <f>IFERROR(StockInData[Expiry],"")</f>
        <v/>
      </c>
      <c r="H1596" s="61"/>
      <c r="I1596" s="61">
        <f>SUMIFS(StockInData[Quantity],StockInData[Product ID],ProductMaster!$B1596)-SUMIFS(StockOutData[Quantity],StockOutData[Product ID],ProductMaster!$B1596)</f>
        <v>-1</v>
      </c>
      <c r="J1596" s="64">
        <f>SUMIFS(StockInData[Value],StockInData[Product ID],ProductMaster!$B1596)-SUMIFS(StockOutData[Value],StockOutData[Product ID],ProductMaster!$B1596)</f>
        <v>-12.3</v>
      </c>
    </row>
    <row r="1597" spans="1:10" hidden="1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 t="str">
        <f>IFERROR(StockInData[Expiry],"")</f>
        <v/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 t="str">
        <f>IFERROR(StockInData[Expiry],"")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 t="str">
        <f>IFERROR(StockInData[Expiry],"")</f>
        <v/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hidden="1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 t="str">
        <f>IFERROR(StockInData[Expiry],"")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hidden="1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 t="str">
        <f>IFERROR(StockInData[Expiry],"")</f>
        <v/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hidden="1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 t="str">
        <f>IFERROR(StockInData[Expiry],"")</f>
        <v/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hidden="1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 t="str">
        <f>IFERROR(StockInData[Expiry],"")</f>
        <v/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hidden="1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 t="str">
        <f>IFERROR(StockInData[Expiry],"")</f>
        <v/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hidden="1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 t="str">
        <f>IFERROR(StockInData[Expiry],"")</f>
        <v/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hidden="1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 t="str">
        <f>IFERROR(StockInData[Expiry],"")</f>
        <v/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 t="str">
        <f>IFERROR(StockInData[Expiry],"")</f>
        <v/>
      </c>
      <c r="H1607" s="61"/>
      <c r="I1607" s="61">
        <f>SUMIFS(StockInData[Quantity],StockInData[Product ID],ProductMaster!$B1607)-SUMIFS(StockOutData[Quantity],StockOutData[Product ID],ProductMaster!$B1607)</f>
        <v>-1</v>
      </c>
      <c r="J1607" s="64">
        <f>SUMIFS(StockInData[Value],StockInData[Product ID],ProductMaster!$B1607)-SUMIFS(StockOutData[Value],StockOutData[Product ID],ProductMaster!$B1607)</f>
        <v>-20.099999999999998</v>
      </c>
    </row>
    <row r="1608" spans="1:10" hidden="1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 t="str">
        <f>IFERROR(StockInData[Expiry],"")</f>
        <v/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hidden="1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 t="str">
        <f>IFERROR(StockInData[Expiry],"")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hidden="1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 t="str">
        <f>IFERROR(StockInData[Expiry],"")</f>
        <v/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 t="str">
        <f>IFERROR(StockInData[Expiry],"")</f>
        <v/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 t="str">
        <f>IFERROR(StockInData[Expiry],"")</f>
        <v/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 t="str">
        <f>IFERROR(StockInData[Expiry],"")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 t="str">
        <f>IFERROR(StockInData[Expiry],"")</f>
        <v/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 t="str">
        <f>IFERROR(StockInData[Expiry],"")</f>
        <v/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 t="str">
        <f>IFERROR(StockInData[Expiry],"")</f>
        <v/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 t="str">
        <f>IFERROR(StockInData[Expiry],"")</f>
        <v/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 t="str">
        <f>IFERROR(StockInData[Expiry],"")</f>
        <v/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 t="str">
        <f>IFERROR(StockInData[Expiry],"")</f>
        <v/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 t="str">
        <f>IFERROR(StockInData[Expiry],"")</f>
        <v/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 t="str">
        <f>IFERROR(StockInData[Expiry],"")</f>
        <v/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 t="str">
        <f>IFERROR(StockInData[Expiry],"")</f>
        <v/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 t="str">
        <f>IFERROR(StockInData[Expiry],"")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 t="str">
        <f>IFERROR(StockInData[Expiry],"")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 t="str">
        <f>IFERROR(StockInData[Expiry],"")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 t="str">
        <f>IFERROR(StockInData[Expiry],"")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 t="str">
        <f>IFERROR(StockInData[Expiry],"")</f>
        <v/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 t="str">
        <f>IFERROR(StockInData[Expiry],"")</f>
        <v/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 t="str">
        <f>IFERROR(StockInData[Expiry],"")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 t="str">
        <f>IFERROR(StockInData[Expiry],"")</f>
        <v/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 t="str">
        <f>IFERROR(StockInData[Expiry],"")</f>
        <v/>
      </c>
      <c r="H1631" s="61"/>
      <c r="I1631" s="61">
        <f>SUMIFS(StockInData[Quantity],StockInData[Product ID],ProductMaster!$B1631)-SUMIFS(StockOutData[Quantity],StockOutData[Product ID],ProductMaster!$B1631)</f>
        <v>13</v>
      </c>
      <c r="J1631" s="64">
        <f>SUMIFS(StockInData[Value],StockInData[Product ID],ProductMaster!$B1631)-SUMIFS(StockOutData[Value],StockOutData[Product ID],ProductMaster!$B1631)</f>
        <v>10</v>
      </c>
    </row>
    <row r="1632" spans="1:10" hidden="1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 t="str">
        <f>IFERROR(StockInData[Expiry],"")</f>
        <v/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 t="str">
        <f>IFERROR(StockInData[Expiry],"")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 t="str">
        <f>IFERROR(StockInData[Expiry],"")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 t="str">
        <f>IFERROR(StockInData[Expiry],"")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 t="str">
        <f>IFERROR(StockInData[Expiry],"")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 t="str">
        <f>IFERROR(StockInData[Expiry],"")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 t="str">
        <f>IFERROR(StockInData[Expiry],"")</f>
        <v/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hidden="1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 t="str">
        <f>IFERROR(StockInData[Expiry],"")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hidden="1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 t="str">
        <f>IFERROR(StockInData[Expiry],"")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 t="str">
        <f>IFERROR(StockInData[Expiry],"")</f>
        <v/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 t="str">
        <f>IFERROR(StockInData[Expiry],"")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 t="str">
        <f>IFERROR(StockInData[Expiry],"")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 t="str">
        <f>IFERROR(StockInData[Expiry],"")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 t="str">
        <f>IFERROR(StockInData[Expiry],"")</f>
        <v/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 t="str">
        <f>IFERROR(StockInData[Expiry],"")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 t="str">
        <f>IFERROR(StockInData[Expiry],"")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 t="str">
        <f>IFERROR(StockInData[Expiry],"")</f>
        <v/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 t="str">
        <f>IFERROR(StockInData[Expiry],"")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 t="str">
        <f>IFERROR(StockInData[Expiry],"")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 t="str">
        <f>IFERROR(StockInData[Expiry],"")</f>
        <v/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 t="str">
        <f>IFERROR(StockInData[Expiry],"")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 t="str">
        <f>IFERROR(StockInData[Expiry],"")</f>
        <v/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 t="str">
        <f>IFERROR(StockInData[Expiry],"")</f>
        <v/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 t="str">
        <f>IFERROR(StockInData[Expiry],"")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 t="str">
        <f>IFERROR(StockInData[Expiry],"")</f>
        <v/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 t="str">
        <f>IFERROR(StockInData[Expiry],"")</f>
        <v/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 t="str">
        <f>IFERROR(StockInData[Expiry],"")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hidden="1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 t="str">
        <f>IFERROR(StockInData[Expiry],"")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hidden="1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 t="str">
        <f>IFERROR(StockInData[Expiry],"")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 t="str">
        <f>IFERROR(StockInData[Expiry],"")</f>
        <v/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 t="str">
        <f>IFERROR(StockInData[Expiry],"")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 t="str">
        <f>IFERROR(StockInData[Expiry],"")</f>
        <v/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hidden="1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 t="str">
        <f>IFERROR(StockInData[Expiry],"")</f>
        <v/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hidden="1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 t="str">
        <f>IFERROR(StockInData[Expiry],"")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 t="str">
        <f>IFERROR(StockInData[Expiry],"")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hidden="1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 t="str">
        <f>IFERROR(StockInData[Expiry],"")</f>
        <v/>
      </c>
      <c r="H1667" s="61"/>
      <c r="I1667" s="61">
        <f>SUMIFS(StockInData[Quantity],StockInData[Product ID],ProductMaster!$B1667)-SUMIFS(StockOutData[Quantity],StockOutData[Product ID],ProductMaster!$B1667)</f>
        <v>-1</v>
      </c>
      <c r="J1667" s="64">
        <f>SUMIFS(StockInData[Value],StockInData[Product ID],ProductMaster!$B1667)-SUMIFS(StockOutData[Value],StockOutData[Product ID],ProductMaster!$B1667)</f>
        <v>-14.399999999999999</v>
      </c>
    </row>
    <row r="1668" spans="1:10" hidden="1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 t="str">
        <f>IFERROR(StockInData[Expiry],"")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hidden="1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 t="str">
        <f>IFERROR(StockInData[Expiry],"")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hidden="1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 t="str">
        <f>IFERROR(StockInData[Expiry],"")</f>
        <v/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hidden="1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 t="str">
        <f>IFERROR(StockInData[Expiry],"")</f>
        <v/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hidden="1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 t="str">
        <f>IFERROR(StockInData[Expiry],"")</f>
        <v/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hidden="1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 t="str">
        <f>IFERROR(StockInData[Expiry],"")</f>
        <v/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hidden="1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 t="str">
        <f>IFERROR(StockInData[Expiry],"")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hidden="1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 t="str">
        <f>IFERROR(StockInData[Expiry],"")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hidden="1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 t="str">
        <f>IFERROR(StockInData[Expiry],"")</f>
        <v/>
      </c>
      <c r="H1676" s="61"/>
      <c r="I1676" s="61">
        <f>SUMIFS(StockInData[Quantity],StockInData[Product ID],ProductMaster!$B1676)-SUMIFS(StockOutData[Quantity],StockOutData[Product ID],ProductMaster!$B1676)</f>
        <v>-10</v>
      </c>
      <c r="J1676" s="64">
        <f>SUMIFS(StockInData[Value],StockInData[Product ID],ProductMaster!$B1676)-SUMIFS(StockOutData[Value],StockOutData[Product ID],ProductMaster!$B1676)</f>
        <v>-63.6</v>
      </c>
    </row>
    <row r="1677" spans="1:10" hidden="1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 t="str">
        <f>IFERROR(StockInData[Expiry],"")</f>
        <v/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 t="str">
        <f>IFERROR(StockInData[Expiry],"")</f>
        <v/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 t="str">
        <f>IFERROR(StockInData[Expiry],"")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 t="str">
        <f>IFERROR(StockInData[Expiry],"")</f>
        <v/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 t="str">
        <f>IFERROR(StockInData[Expiry],"")</f>
        <v/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 t="str">
        <f>IFERROR(StockInData[Expiry],"")</f>
        <v/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 t="str">
        <f>IFERROR(StockInData[Expiry],"")</f>
        <v/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hidden="1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 t="str">
        <f>IFERROR(StockInData[Expiry],"")</f>
        <v/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hidden="1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 t="str">
        <f>IFERROR(StockInData[Expiry],"")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hidden="1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 t="str">
        <f>IFERROR(StockInData[Expiry],"")</f>
        <v/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hidden="1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 t="str">
        <f>IFERROR(StockInData[Expiry],"")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hidden="1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 t="str">
        <f>IFERROR(StockInData[Expiry],"")</f>
        <v/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hidden="1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 t="str">
        <f>IFERROR(StockInData[Expiry],"")</f>
        <v/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hidden="1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 t="str">
        <f>IFERROR(StockInData[Expiry],"")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 t="str">
        <f>IFERROR(StockInData[Expiry],"")</f>
        <v/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hidden="1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 t="str">
        <f>IFERROR(StockInData[Expiry],"")</f>
        <v/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hidden="1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 t="str">
        <f>IFERROR(StockInData[Expiry],"")</f>
        <v/>
      </c>
      <c r="H1693" s="61"/>
      <c r="I1693" s="61">
        <f>SUMIFS(StockInData[Quantity],StockInData[Product ID],ProductMaster!$B1693)-SUMIFS(StockOutData[Quantity],StockOutData[Product ID],ProductMaster!$B1693)</f>
        <v>-1</v>
      </c>
      <c r="J1693" s="64">
        <f>SUMIFS(StockInData[Value],StockInData[Product ID],ProductMaster!$B1693)-SUMIFS(StockOutData[Value],StockOutData[Product ID],ProductMaster!$B1693)</f>
        <v>-10.74</v>
      </c>
    </row>
    <row r="1694" spans="1:10" hidden="1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 t="str">
        <f>IFERROR(StockInData[Expiry],"")</f>
        <v/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hidden="1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 t="str">
        <f>IFERROR(StockInData[Expiry],"")</f>
        <v/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hidden="1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 t="str">
        <f>IFERROR(StockInData[Expiry],"")</f>
        <v/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hidden="1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 t="str">
        <f>IFERROR(StockInData[Expiry],"")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hidden="1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 t="str">
        <f>IFERROR(StockInData[Expiry],"")</f>
        <v/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hidden="1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 t="str">
        <f>IFERROR(StockInData[Expiry],"")</f>
        <v/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 t="str">
        <f>IFERROR(StockInData[Expiry],"")</f>
        <v/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hidden="1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 t="str">
        <f>IFERROR(StockInData[Expiry],"")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hidden="1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 t="str">
        <f>IFERROR(StockInData[Expiry],"")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hidden="1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 t="str">
        <f>IFERROR(StockInData[Expiry],"")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hidden="1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 t="str">
        <f>IFERROR(StockInData[Expiry],"")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hidden="1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 t="str">
        <f>IFERROR(StockInData[Expiry],"")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hidden="1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 t="str">
        <f>IFERROR(StockInData[Expiry],"")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hidden="1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 t="str">
        <f>IFERROR(StockInData[Expiry],"")</f>
        <v/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hidden="1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 t="str">
        <f>IFERROR(StockInData[Expiry],"")</f>
        <v/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hidden="1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 t="str">
        <f>IFERROR(StockInData[Expiry],"")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hidden="1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 t="str">
        <f>IFERROR(StockInData[Expiry],"")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hidden="1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 t="str">
        <f>IFERROR(StockInData[Expiry],"")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 t="str">
        <f>IFERROR(StockInData[Expiry],"")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hidden="1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 t="str">
        <f>IFERROR(StockInData[Expiry],"")</f>
        <v/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hidden="1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 t="str">
        <f>IFERROR(StockInData[Expiry],"")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 t="str">
        <f>IFERROR(StockInData[Expiry],"")</f>
        <v/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 t="str">
        <f>IFERROR(StockInData[Expiry],"")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hidden="1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 t="str">
        <f>IFERROR(StockInData[Expiry],"")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 t="str">
        <f>IFERROR(StockInData[Expiry],"")</f>
        <v/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 t="str">
        <f>IFERROR(StockInData[Expiry],"")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 t="str">
        <f>IFERROR(StockInData[Expiry],"")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 t="str">
        <f>IFERROR(StockInData[Expiry],"")</f>
        <v/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 t="str">
        <f>IFERROR(StockInData[Expiry],"")</f>
        <v/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 t="str">
        <f>IFERROR(StockInData[Expiry],"")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 t="str">
        <f>IFERROR(StockInData[Expiry],"")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 t="str">
        <f>IFERROR(StockInData[Expiry],"")</f>
        <v/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 t="str">
        <f>IFERROR(StockInData[Expiry],"")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 t="str">
        <f>IFERROR(StockInData[Expiry],"")</f>
        <v/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 t="str">
        <f>IFERROR(StockInData[Expiry],"")</f>
        <v/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 t="str">
        <f>IFERROR(StockInData[Expiry],"")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 t="str">
        <f>IFERROR(StockInData[Expiry],"")</f>
        <v/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hidden="1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 t="str">
        <f>IFERROR(StockInData[Expiry],"")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hidden="1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 t="str">
        <f>IFERROR(StockInData[Expiry],"")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hidden="1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 t="str">
        <f>IFERROR(StockInData[Expiry],"")</f>
        <v/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hidden="1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 t="str">
        <f>IFERROR(StockInData[Expiry],"")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hidden="1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 t="str">
        <f>IFERROR(StockInData[Expiry],"")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hidden="1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 t="str">
        <f>IFERROR(StockInData[Expiry],"")</f>
        <v/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hidden="1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 t="str">
        <f>IFERROR(StockInData[Expiry],"")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hidden="1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 t="str">
        <f>IFERROR(StockInData[Expiry],"")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hidden="1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 t="str">
        <f>IFERROR(StockInData[Expiry],"")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hidden="1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 t="str">
        <f>IFERROR(StockInData[Expiry],"")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 t="str">
        <f>IFERROR(StockInData[Expiry],"")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 t="str">
        <f>IFERROR(StockInData[Expiry],"")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 t="str">
        <f>IFERROR(StockInData[Expiry],"")</f>
        <v/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 t="str">
        <f>IFERROR(StockInData[Expiry],"")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 t="str">
        <f>IFERROR(StockInData[Expiry],"")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 t="str">
        <f>IFERROR(StockInData[Expiry],"")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hidden="1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 t="str">
        <f>IFERROR(StockInData[Expiry],"")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hidden="1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 t="str">
        <f>IFERROR(StockInData[Expiry],"")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hidden="1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 t="str">
        <f>IFERROR(StockInData[Expiry],"")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hidden="1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 t="str">
        <f>IFERROR(StockInData[Expiry],"")</f>
        <v/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0</v>
      </c>
    </row>
    <row r="1751" spans="1:10" hidden="1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 t="str">
        <f>IFERROR(StockInData[Expiry],"")</f>
        <v/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hidden="1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 t="str">
        <f>IFERROR(StockInData[Expiry],"")</f>
        <v/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hidden="1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 t="str">
        <f>IFERROR(StockInData[Expiry],"")</f>
        <v/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hidden="1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 t="str">
        <f>IFERROR(StockInData[Expiry],"")</f>
        <v/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hidden="1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 t="str">
        <f>IFERROR(StockInData[Expiry],"")</f>
        <v/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 t="str">
        <f>IFERROR(StockInData[Expiry],"")</f>
        <v/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hidden="1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 t="str">
        <f>IFERROR(StockInData[Expiry],"")</f>
        <v/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hidden="1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 t="str">
        <f>IFERROR(StockInData[Expiry],"")</f>
        <v/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hidden="1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 t="str">
        <f>IFERROR(StockInData[Expiry],"")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hidden="1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 t="str">
        <f>IFERROR(StockInData[Expiry],"")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hidden="1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 t="str">
        <f>IFERROR(StockInData[Expiry],"")</f>
        <v/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hidden="1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 t="str">
        <f>IFERROR(StockInData[Expiry],"")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hidden="1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 t="str">
        <f>IFERROR(StockInData[Expiry],"")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hidden="1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 t="str">
        <f>IFERROR(StockInData[Expiry],"")</f>
        <v/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hidden="1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 t="str">
        <f>IFERROR(StockInData[Expiry],"")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hidden="1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 t="str">
        <f>IFERROR(StockInData[Expiry],"")</f>
        <v/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hidden="1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 t="str">
        <f>IFERROR(StockInData[Expiry],"")</f>
        <v/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hidden="1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 t="str">
        <f>IFERROR(StockInData[Expiry],"")</f>
        <v/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hidden="1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 t="str">
        <f>IFERROR(StockInData[Expiry],"")</f>
        <v/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hidden="1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 t="str">
        <f>IFERROR(StockInData[Expiry],"")</f>
        <v/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hidden="1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 t="str">
        <f>IFERROR(StockInData[Expiry],"")</f>
        <v/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hidden="1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 t="str">
        <f>IFERROR(StockInData[Expiry],"")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hidden="1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 t="str">
        <f>IFERROR(StockInData[Expiry],"")</f>
        <v/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hidden="1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 t="str">
        <f>IFERROR(StockInData[Expiry],"")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 t="str">
        <f>IFERROR(StockInData[Expiry],"")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 t="str">
        <f>IFERROR(StockInData[Expiry],"")</f>
        <v/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hidden="1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 t="str">
        <f>IFERROR(StockInData[Expiry],"")</f>
        <v/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hidden="1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 t="str">
        <f>IFERROR(StockInData[Expiry],"")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hidden="1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 t="str">
        <f>IFERROR(StockInData[Expiry],"")</f>
        <v/>
      </c>
      <c r="H1779" s="61"/>
      <c r="I1779" s="61">
        <f>SUMIFS(StockInData[Quantity],StockInData[Product ID],ProductMaster!$B1779)-SUMIFS(StockOutData[Quantity],StockOutData[Product ID],ProductMaster!$B1779)</f>
        <v>-1</v>
      </c>
      <c r="J1779" s="64">
        <f>SUMIFS(StockInData[Value],StockInData[Product ID],ProductMaster!$B1779)-SUMIFS(StockOutData[Value],StockOutData[Product ID],ProductMaster!$B1779)</f>
        <v>-17</v>
      </c>
    </row>
    <row r="1780" spans="1:10" hidden="1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 t="str">
        <f>IFERROR(StockInData[Expiry],"")</f>
        <v/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hidden="1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 t="str">
        <f>IFERROR(StockInData[Expiry],"")</f>
        <v/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hidden="1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 t="str">
        <f>IFERROR(StockInData[Expiry],"")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hidden="1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 t="str">
        <f>IFERROR(StockInData[Expiry],"")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hidden="1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 t="str">
        <f>IFERROR(StockInData[Expiry],"")</f>
        <v/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hidden="1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 t="str">
        <f>IFERROR(StockInData[Expiry],"")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hidden="1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 t="str">
        <f>IFERROR(StockInData[Expiry],"")</f>
        <v/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hidden="1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 t="str">
        <f>IFERROR(StockInData[Expiry],"")</f>
        <v/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hidden="1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 t="str">
        <f>IFERROR(StockInData[Expiry],"")</f>
        <v/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hidden="1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 t="str">
        <f>IFERROR(StockInData[Expiry],"")</f>
        <v/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hidden="1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 t="str">
        <f>IFERROR(StockInData[Expiry],"")</f>
        <v/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hidden="1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 t="str">
        <f>IFERROR(StockInData[Expiry],"")</f>
        <v/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hidden="1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 t="str">
        <f>IFERROR(StockInData[Expiry],"")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 t="str">
        <f>IFERROR(StockInData[Expiry],"")</f>
        <v/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 t="str">
        <f>IFERROR(StockInData[Expiry],"")</f>
        <v/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hidden="1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 t="str">
        <f>IFERROR(StockInData[Expiry],"")</f>
        <v/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hidden="1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 t="str">
        <f>IFERROR(StockInData[Expiry],"")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hidden="1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 t="str">
        <f>IFERROR(StockInData[Expiry],"")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hidden="1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 t="str">
        <f>IFERROR(StockInData[Expiry],"")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hidden="1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 t="str">
        <f>IFERROR(StockInData[Expiry],"")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hidden="1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 t="str">
        <f>IFERROR(StockInData[Expiry],"")</f>
        <v/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hidden="1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 t="str">
        <f>IFERROR(StockInData[Expiry],"")</f>
        <v/>
      </c>
      <c r="H1801" s="61"/>
      <c r="I1801" s="61">
        <f>SUMIFS(StockInData[Quantity],StockInData[Product ID],ProductMaster!$B1801)-SUMIFS(StockOutData[Quantity],StockOutData[Product ID],ProductMaster!$B1801)</f>
        <v>-1</v>
      </c>
      <c r="J1801" s="64">
        <f>SUMIFS(StockInData[Value],StockInData[Product ID],ProductMaster!$B1801)-SUMIFS(StockOutData[Value],StockOutData[Product ID],ProductMaster!$B1801)</f>
        <v>-11.899999999999999</v>
      </c>
    </row>
    <row r="1802" spans="1:10" hidden="1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 t="str">
        <f>IFERROR(StockInData[Expiry],"")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hidden="1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 t="str">
        <f>IFERROR(StockInData[Expiry],"")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hidden="1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 t="str">
        <f>IFERROR(StockInData[Expiry],"")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hidden="1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 t="str">
        <f>IFERROR(StockInData[Expiry],"")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 t="str">
        <f>IFERROR(StockInData[Expiry],"")</f>
        <v/>
      </c>
      <c r="H1806" s="61"/>
      <c r="I1806" s="61">
        <f>SUMIFS(StockInData[Quantity],StockInData[Product ID],ProductMaster!$B1806)-SUMIFS(StockOutData[Quantity],StockOutData[Product ID],ProductMaster!$B1806)</f>
        <v>12</v>
      </c>
      <c r="J1806" s="64">
        <f>SUMIFS(StockInData[Value],StockInData[Product ID],ProductMaster!$B1806)-SUMIFS(StockOutData[Value],StockOutData[Product ID],ProductMaster!$B1806)</f>
        <v>10</v>
      </c>
    </row>
    <row r="1807" spans="1:10" hidden="1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 t="str">
        <f>IFERROR(StockInData[Expiry],"")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hidden="1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 t="str">
        <f>IFERROR(StockInData[Expiry],"")</f>
        <v/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hidden="1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 t="str">
        <f>IFERROR(StockInData[Expiry],"")</f>
        <v/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hidden="1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 t="str">
        <f>IFERROR(StockInData[Expiry],"")</f>
        <v/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hidden="1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 t="str">
        <f>IFERROR(StockInData[Expiry],"")</f>
        <v/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hidden="1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 t="str">
        <f>IFERROR(StockInData[Expiry],"")</f>
        <v/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 t="str">
        <f>IFERROR(StockInData[Expiry],"")</f>
        <v/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hidden="1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 t="str">
        <f>IFERROR(StockInData[Expiry],"")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hidden="1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 t="str">
        <f>IFERROR(StockInData[Expiry],"")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hidden="1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 t="str">
        <f>IFERROR(StockInData[Expiry],"")</f>
        <v/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hidden="1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 t="str">
        <f>IFERROR(StockInData[Expiry],"")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hidden="1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 t="str">
        <f>IFERROR(StockInData[Expiry],"")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hidden="1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 t="str">
        <f>IFERROR(StockInData[Expiry],"")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hidden="1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 t="str">
        <f>IFERROR(StockInData[Expiry],"")</f>
        <v/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hidden="1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 t="str">
        <f>IFERROR(StockInData[Expiry],"")</f>
        <v/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 t="str">
        <f>IFERROR(StockInData[Expiry],"")</f>
        <v/>
      </c>
      <c r="H1822" s="61"/>
      <c r="I1822" s="61">
        <f>SUMIFS(StockInData[Quantity],StockInData[Product ID],ProductMaster!$B1822)-SUMIFS(StockOutData[Quantity],StockOutData[Product ID],ProductMaster!$B1822)</f>
        <v>20</v>
      </c>
      <c r="J1822" s="64">
        <f>SUMIFS(StockInData[Value],StockInData[Product ID],ProductMaster!$B1822)-SUMIFS(StockOutData[Value],StockOutData[Product ID],ProductMaster!$B1822)</f>
        <v>10</v>
      </c>
    </row>
    <row r="1823" spans="1:10" hidden="1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 t="str">
        <f>IFERROR(StockInData[Expiry],"")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hidden="1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 t="str">
        <f>IFERROR(StockInData[Expiry],"")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hidden="1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 t="str">
        <f>IFERROR(StockInData[Expiry],"")</f>
        <v/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hidden="1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 t="str">
        <f>IFERROR(StockInData[Expiry],"")</f>
        <v/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hidden="1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 t="str">
        <f>IFERROR(StockInData[Expiry],"")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hidden="1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 t="str">
        <f>IFERROR(StockInData[Expiry],"")</f>
        <v/>
      </c>
      <c r="H1828" s="61"/>
      <c r="I1828" s="61">
        <f>SUMIFS(StockInData[Quantity],StockInData[Product ID],ProductMaster!$B1828)-SUMIFS(StockOutData[Quantity],StockOutData[Product ID],ProductMaster!$B1828)</f>
        <v>0</v>
      </c>
      <c r="J1828" s="64">
        <f>SUMIFS(StockInData[Value],StockInData[Product ID],ProductMaster!$B1828)-SUMIFS(StockOutData[Value],StockOutData[Product ID],ProductMaster!$B1828)</f>
        <v>0</v>
      </c>
    </row>
    <row r="1829" spans="1:10" hidden="1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 t="str">
        <f>IFERROR(StockInData[Expiry],"")</f>
        <v/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hidden="1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 t="str">
        <f>IFERROR(StockInData[Expiry],"")</f>
        <v/>
      </c>
      <c r="H1830" s="61"/>
      <c r="I1830" s="61">
        <f>SUMIFS(StockInData[Quantity],StockInData[Product ID],ProductMaster!$B1830)-SUMIFS(StockOutData[Quantity],StockOutData[Product ID],ProductMaster!$B1830)</f>
        <v>-2</v>
      </c>
      <c r="J1830" s="64">
        <f>SUMIFS(StockInData[Value],StockInData[Product ID],ProductMaster!$B1830)-SUMIFS(StockOutData[Value],StockOutData[Product ID],ProductMaster!$B1830)</f>
        <v>-31.08</v>
      </c>
    </row>
    <row r="1831" spans="1:10" hidden="1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 t="str">
        <f>IFERROR(StockInData[Expiry],"")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hidden="1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 t="str">
        <f>IFERROR(StockInData[Expiry],"")</f>
        <v/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hidden="1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 t="str">
        <f>IFERROR(StockInData[Expiry],"")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hidden="1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 t="str">
        <f>IFERROR(StockInData[Expiry],"")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hidden="1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 t="str">
        <f>IFERROR(StockInData[Expiry],"")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hidden="1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 t="str">
        <f>IFERROR(StockInData[Expiry],"")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hidden="1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 t="str">
        <f>IFERROR(StockInData[Expiry],"")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hidden="1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 t="str">
        <f>IFERROR(StockInData[Expiry],"")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hidden="1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 t="str">
        <f>IFERROR(StockInData[Expiry],"")</f>
        <v/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hidden="1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 t="str">
        <f>IFERROR(StockInData[Expiry],"")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hidden="1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 t="str">
        <f>IFERROR(StockInData[Expiry],"")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hidden="1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 t="str">
        <f>IFERROR(StockInData[Expiry],"")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 t="str">
        <f>IFERROR(StockInData[Expiry],"")</f>
        <v/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 t="str">
        <f>IFERROR(StockInData[Expiry],"")</f>
        <v/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hidden="1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 t="str">
        <f>IFERROR(StockInData[Expiry],"")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hidden="1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 t="str">
        <f>IFERROR(StockInData[Expiry],"")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hidden="1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 t="str">
        <f>IFERROR(StockInData[Expiry],"")</f>
        <v/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hidden="1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 t="str">
        <f>IFERROR(StockInData[Expiry],"")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hidden="1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 t="str">
        <f>IFERROR(StockInData[Expiry],"")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hidden="1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 t="str">
        <f>IFERROR(StockInData[Expiry],"")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hidden="1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 t="str">
        <f>IFERROR(StockInData[Expiry],"")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hidden="1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 t="str">
        <f>IFERROR(StockInData[Expiry],"")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hidden="1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 t="str">
        <f>IFERROR(StockInData[Expiry],"")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hidden="1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 t="str">
        <f>IFERROR(StockInData[Expiry],"")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hidden="1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 t="str">
        <f>IFERROR(StockInData[Expiry],"")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hidden="1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 t="str">
        <f>IFERROR(StockInData[Expiry],"")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hidden="1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 t="str">
        <f>IFERROR(StockInData[Expiry],"")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hidden="1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 t="str">
        <f>IFERROR(StockInData[Expiry],"")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hidden="1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 t="str">
        <f>IFERROR(StockInData[Expiry],"")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hidden="1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 t="str">
        <f>IFERROR(StockInData[Expiry],"")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hidden="1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 t="str">
        <f>IFERROR(StockInData[Expiry],"")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hidden="1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 t="str">
        <f>IFERROR(StockInData[Expiry],"")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hidden="1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 t="str">
        <f>IFERROR(StockInData[Expiry],"")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hidden="1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 t="str">
        <f>IFERROR(StockInData[Expiry],"")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 t="str">
        <f>IFERROR(StockInData[Expiry],"")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 t="str">
        <f>IFERROR(StockInData[Expiry],"")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 t="str">
        <f>IFERROR(StockInData[Expiry],"")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hidden="1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 t="str">
        <f>IFERROR(StockInData[Expiry],"")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hidden="1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 t="str">
        <f>IFERROR(StockInData[Expiry],"")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hidden="1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 t="str">
        <f>IFERROR(StockInData[Expiry],"")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hidden="1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 t="str">
        <f>IFERROR(StockInData[Expiry],"")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hidden="1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 t="str">
        <f>IFERROR(StockInData[Expiry],"")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hidden="1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 t="str">
        <f>IFERROR(StockInData[Expiry],"")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hidden="1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 t="str">
        <f>IFERROR(StockInData[Expiry],"")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hidden="1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 t="str">
        <f>IFERROR(StockInData[Expiry],"")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hidden="1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 t="str">
        <f>IFERROR(StockInData[Expiry],"")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hidden="1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 t="str">
        <f>IFERROR(StockInData[Expiry],"")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hidden="1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 t="str">
        <f>IFERROR(StockInData[Expiry],"")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hidden="1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 t="str">
        <f>IFERROR(StockInData[Expiry],"")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hidden="1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 t="str">
        <f>IFERROR(StockInData[Expiry],"")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hidden="1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 t="str">
        <f>IFERROR(StockInData[Expiry],"")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hidden="1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 t="str">
        <f>IFERROR(StockInData[Expiry],"")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hidden="1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 t="str">
        <f>IFERROR(StockInData[Expiry],"")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hidden="1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 t="str">
        <f>IFERROR(StockInData[Expiry],"")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hidden="1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 t="str">
        <f>IFERROR(StockInData[Expiry],"")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 t="str">
        <f>IFERROR(StockInData[Expiry],"")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 t="str">
        <f>IFERROR(StockInData[Expiry],"")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hidden="1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 t="str">
        <f>IFERROR(StockInData[Expiry],"")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hidden="1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 t="str">
        <f>IFERROR(StockInData[Expiry],"")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hidden="1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 t="str">
        <f>IFERROR(StockInData[Expiry],"")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hidden="1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 t="str">
        <f>IFERROR(StockInData[Expiry],"")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hidden="1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 t="str">
        <f>IFERROR(StockInData[Expiry],"")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hidden="1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 t="str">
        <f>IFERROR(StockInData[Expiry],"")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hidden="1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 t="str">
        <f>IFERROR(StockInData[Expiry],"")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hidden="1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 t="str">
        <f>IFERROR(StockInData[Expiry],"")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hidden="1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 t="str">
        <f>IFERROR(StockInData[Expiry],"")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hidden="1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 t="str">
        <f>IFERROR(StockInData[Expiry],"")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hidden="1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 t="str">
        <f>IFERROR(StockInData[Expiry],"")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 t="str">
        <f>IFERROR(StockInData[Expiry],"")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 t="str">
        <f>IFERROR(StockInData[Expiry],"")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 t="str">
        <f>IFERROR(StockInData[Expiry],"")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hidden="1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 t="str">
        <f>IFERROR(StockInData[Expiry],"")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hidden="1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 t="str">
        <f>IFERROR(StockInData[Expiry],"")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hidden="1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 t="str">
        <f>IFERROR(StockInData[Expiry],"")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hidden="1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 t="str">
        <f>IFERROR(StockInData[Expiry],"")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hidden="1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 t="str">
        <f>IFERROR(StockInData[Expiry],"")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hidden="1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 t="str">
        <f>IFERROR(StockInData[Expiry],"")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 t="str">
        <f>IFERROR(StockInData[Expiry],"")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 t="str">
        <f>IFERROR(StockInData[Expiry],"")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 t="str">
        <f>IFERROR(StockInData[Expiry],"")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hidden="1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 t="str">
        <f>IFERROR(StockInData[Expiry],"")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hidden="1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 t="str">
        <f>IFERROR(StockInData[Expiry],"")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hidden="1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 t="str">
        <f>IFERROR(StockInData[Expiry],"")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hidden="1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 t="str">
        <f>IFERROR(StockInData[Expiry],"")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 t="str">
        <f>IFERROR(StockInData[Expiry],"")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 t="str">
        <f>IFERROR(StockInData[Expiry],"")</f>
        <v/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hidden="1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 t="str">
        <f>IFERROR(StockInData[Expiry],"")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hidden="1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 t="str">
        <f>IFERROR(StockInData[Expiry],"")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hidden="1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 t="str">
        <f>IFERROR(StockInData[Expiry],"")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hidden="1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 t="str">
        <f>IFERROR(StockInData[Expiry],"")</f>
        <v/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hidden="1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 t="str">
        <f>IFERROR(StockInData[Expiry],"")</f>
        <v/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hidden="1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 t="str">
        <f>IFERROR(StockInData[Expiry],"")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hidden="1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 t="str">
        <f>IFERROR(StockInData[Expiry],"")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hidden="1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 t="str">
        <f>IFERROR(StockInData[Expiry],"")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hidden="1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 t="str">
        <f>IFERROR(StockInData[Expiry],"")</f>
        <v/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hidden="1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 t="str">
        <f>IFERROR(StockInData[Expiry],"")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 t="str">
        <f>IFERROR(StockInData[Expiry],"")</f>
        <v/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hidden="1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 t="str">
        <f>IFERROR(StockInData[Expiry],"")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hidden="1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 t="str">
        <f>IFERROR(StockInData[Expiry],"")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hidden="1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 t="str">
        <f>IFERROR(StockInData[Expiry],"")</f>
        <v/>
      </c>
      <c r="H1930" s="61"/>
      <c r="I1930" s="61">
        <f>SUMIFS(StockInData[Quantity],StockInData[Product ID],ProductMaster!$B1930)-SUMIFS(StockOutData[Quantity],StockOutData[Product ID],ProductMaster!$B1930)</f>
        <v>-1</v>
      </c>
      <c r="J1930" s="64">
        <f>SUMIFS(StockInData[Value],StockInData[Product ID],ProductMaster!$B1930)-SUMIFS(StockOutData[Value],StockOutData[Product ID],ProductMaster!$B1930)</f>
        <v>-24.75</v>
      </c>
    </row>
    <row r="1931" spans="1:10" hidden="1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 t="str">
        <f>IFERROR(StockInData[Expiry],"")</f>
        <v/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hidden="1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 t="str">
        <f>IFERROR(StockInData[Expiry],"")</f>
        <v/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hidden="1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 t="str">
        <f>IFERROR(StockInData[Expiry],"")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hidden="1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 t="str">
        <f>IFERROR(StockInData[Expiry],"")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hidden="1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 t="str">
        <f>IFERROR(StockInData[Expiry],"")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hidden="1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 t="str">
        <f>IFERROR(StockInData[Expiry],"")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hidden="1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 t="str">
        <f>IFERROR(StockInData[Expiry],"")</f>
        <v/>
      </c>
      <c r="H1937" s="61"/>
      <c r="I1937" s="61">
        <f>SUMIFS(StockInData[Quantity],StockInData[Product ID],ProductMaster!$B1937)-SUMIFS(StockOutData[Quantity],StockOutData[Product ID],ProductMaster!$B1937)</f>
        <v>-1</v>
      </c>
      <c r="J1937" s="64">
        <f>SUMIFS(StockInData[Value],StockInData[Product ID],ProductMaster!$B1937)-SUMIFS(StockOutData[Value],StockOutData[Product ID],ProductMaster!$B1937)</f>
        <v>-14</v>
      </c>
    </row>
    <row r="1938" spans="1:10" hidden="1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 t="str">
        <f>IFERROR(StockInData[Expiry],"")</f>
        <v/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hidden="1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 t="str">
        <f>IFERROR(StockInData[Expiry],"")</f>
        <v/>
      </c>
      <c r="H1939" s="61"/>
      <c r="I1939" s="61">
        <f>SUMIFS(StockInData[Quantity],StockInData[Product ID],ProductMaster!$B1939)-SUMIFS(StockOutData[Quantity],StockOutData[Product ID],ProductMaster!$B1939)</f>
        <v>-2</v>
      </c>
      <c r="J1939" s="64">
        <f>SUMIFS(StockInData[Value],StockInData[Product ID],ProductMaster!$B1939)-SUMIFS(StockOutData[Value],StockOutData[Product ID],ProductMaster!$B1939)</f>
        <v>-25.5</v>
      </c>
    </row>
    <row r="1940" spans="1:10" hidden="1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 t="str">
        <f>IFERROR(StockInData[Expiry],"")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hidden="1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 t="str">
        <f>IFERROR(StockInData[Expiry],"")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hidden="1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 t="str">
        <f>IFERROR(StockInData[Expiry],"")</f>
        <v/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hidden="1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 t="str">
        <f>IFERROR(StockInData[Expiry],"")</f>
        <v/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0</v>
      </c>
    </row>
    <row r="1944" spans="1:10" hidden="1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 t="str">
        <f>IFERROR(StockInData[Expiry],"")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hidden="1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 t="str">
        <f>IFERROR(StockInData[Expiry],"")</f>
        <v/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hidden="1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 t="str">
        <f>IFERROR(StockInData[Expiry],"")</f>
        <v/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hidden="1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 t="str">
        <f>IFERROR(StockInData[Expiry],"")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 t="str">
        <f>IFERROR(StockInData[Expiry],"")</f>
        <v/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hidden="1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 t="str">
        <f>IFERROR(StockInData[Expiry],"")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hidden="1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 t="str">
        <f>IFERROR(StockInData[Expiry],"")</f>
        <v/>
      </c>
      <c r="H1950" s="61"/>
      <c r="I1950" s="61">
        <f>SUMIFS(StockInData[Quantity],StockInData[Product ID],ProductMaster!$B1950)-SUMIFS(StockOutData[Quantity],StockOutData[Product ID],ProductMaster!$B1950)</f>
        <v>-1</v>
      </c>
      <c r="J1950" s="64">
        <f>SUMIFS(StockInData[Value],StockInData[Product ID],ProductMaster!$B1950)-SUMIFS(StockOutData[Value],StockOutData[Product ID],ProductMaster!$B1950)</f>
        <v>-21.52</v>
      </c>
    </row>
    <row r="1951" spans="1:10" hidden="1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 t="str">
        <f>IFERROR(StockInData[Expiry],"")</f>
        <v/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 t="str">
        <f>IFERROR(StockInData[Expiry],"")</f>
        <v/>
      </c>
      <c r="H1952" s="61"/>
      <c r="I1952" s="61">
        <f>SUMIFS(StockInData[Quantity],StockInData[Product ID],ProductMaster!$B1952)-SUMIFS(StockOutData[Quantity],StockOutData[Product ID],ProductMaster!$B1952)</f>
        <v>0</v>
      </c>
      <c r="J1952" s="64">
        <f>SUMIFS(StockInData[Value],StockInData[Product ID],ProductMaster!$B1952)-SUMIFS(StockOutData[Value],StockOutData[Product ID],ProductMaster!$B1952)</f>
        <v>0</v>
      </c>
    </row>
    <row r="1953" spans="1:10" hidden="1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 t="str">
        <f>IFERROR(StockInData[Expiry],"")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hidden="1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 t="str">
        <f>IFERROR(StockInData[Expiry],"")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hidden="1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 t="str">
        <f>IFERROR(StockInData[Expiry],"")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hidden="1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 t="str">
        <f>IFERROR(StockInData[Expiry],"")</f>
        <v/>
      </c>
      <c r="H1956" s="61"/>
      <c r="I1956" s="61">
        <f>SUMIFS(StockInData[Quantity],StockInData[Product ID],ProductMaster!$B1956)-SUMIFS(StockOutData[Quantity],StockOutData[Product ID],ProductMaster!$B1956)</f>
        <v>0</v>
      </c>
      <c r="J1956" s="64">
        <f>SUMIFS(StockInData[Value],StockInData[Product ID],ProductMaster!$B1956)-SUMIFS(StockOutData[Value],StockOutData[Product ID],ProductMaster!$B1956)</f>
        <v>0</v>
      </c>
    </row>
    <row r="1957" spans="1:10" hidden="1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 t="str">
        <f>IFERROR(StockInData[Expiry],"")</f>
        <v/>
      </c>
      <c r="H1957" s="61"/>
      <c r="I1957" s="61">
        <f>SUMIFS(StockInData[Quantity],StockInData[Product ID],ProductMaster!$B1957)-SUMIFS(StockOutData[Quantity],StockOutData[Product ID],ProductMaster!$B1957)</f>
        <v>0</v>
      </c>
      <c r="J1957" s="64">
        <f>SUMIFS(StockInData[Value],StockInData[Product ID],ProductMaster!$B1957)-SUMIFS(StockOutData[Value],StockOutData[Product ID],ProductMaster!$B1957)</f>
        <v>0</v>
      </c>
    </row>
    <row r="1958" spans="1:10" hidden="1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 t="str">
        <f>IFERROR(StockInData[Expiry],"")</f>
        <v/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hidden="1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 t="str">
        <f>IFERROR(StockInData[Expiry],"")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hidden="1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 t="str">
        <f>IFERROR(StockInData[Expiry],"")</f>
        <v/>
      </c>
      <c r="H1960" s="61"/>
      <c r="I1960" s="61">
        <f>SUMIFS(StockInData[Quantity],StockInData[Product ID],ProductMaster!$B1960)-SUMIFS(StockOutData[Quantity],StockOutData[Product ID],ProductMaster!$B1960)</f>
        <v>-1</v>
      </c>
      <c r="J1960" s="64">
        <f>SUMIFS(StockInData[Value],StockInData[Product ID],ProductMaster!$B1960)-SUMIFS(StockOutData[Value],StockOutData[Product ID],ProductMaster!$B1960)</f>
        <v>-19.04</v>
      </c>
    </row>
    <row r="1961" spans="1:10" hidden="1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 t="str">
        <f>IFERROR(StockInData[Expiry],"")</f>
        <v/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 t="str">
        <f>IFERROR(StockInData[Expiry],"")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hidden="1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 t="str">
        <f>IFERROR(StockInData[Expiry],"")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hidden="1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 t="str">
        <f>IFERROR(StockInData[Expiry],"")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hidden="1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 t="str">
        <f>IFERROR(StockInData[Expiry],"")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 t="str">
        <f>IFERROR(StockInData[Expiry],"")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hidden="1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 t="str">
        <f>IFERROR(StockInData[Expiry],"")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hidden="1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 t="str">
        <f>IFERROR(StockInData[Expiry],"")</f>
        <v/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hidden="1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 t="str">
        <f>IFERROR(StockInData[Expiry],"")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hidden="1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 t="str">
        <f>IFERROR(StockInData[Expiry],"")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hidden="1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 t="str">
        <f>IFERROR(StockInData[Expiry],"")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hidden="1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 t="str">
        <f>IFERROR(StockInData[Expiry],"")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hidden="1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 t="str">
        <f>IFERROR(StockInData[Expiry],"")</f>
        <v/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 t="str">
        <f>IFERROR(StockInData[Expiry],"")</f>
        <v/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hidden="1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 t="str">
        <f>IFERROR(StockInData[Expiry],"")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hidden="1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 t="str">
        <f>IFERROR(StockInData[Expiry],"")</f>
        <v/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hidden="1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 t="str">
        <f>IFERROR(StockInData[Expiry],"")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hidden="1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 t="str">
        <f>IFERROR(StockInData[Expiry],"")</f>
        <v/>
      </c>
      <c r="H1978" s="61"/>
      <c r="I1978" s="61">
        <f>SUMIFS(StockInData[Quantity],StockInData[Product ID],ProductMaster!$B1978)-SUMIFS(StockOutData[Quantity],StockOutData[Product ID],ProductMaster!$B1978)</f>
        <v>-1</v>
      </c>
      <c r="J1978" s="64">
        <f>SUMIFS(StockInData[Value],StockInData[Product ID],ProductMaster!$B1978)-SUMIFS(StockOutData[Value],StockOutData[Product ID],ProductMaster!$B1978)</f>
        <v>-17.849999999999998</v>
      </c>
    </row>
    <row r="1979" spans="1:10" hidden="1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 t="str">
        <f>IFERROR(StockInData[Expiry],"")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hidden="1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 t="str">
        <f>IFERROR(StockInData[Expiry],"")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hidden="1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 t="str">
        <f>IFERROR(StockInData[Expiry],"")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hidden="1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 t="str">
        <f>IFERROR(StockInData[Expiry],"")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hidden="1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 t="str">
        <f>IFERROR(StockInData[Expiry],"")</f>
        <v/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hidden="1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 t="str">
        <f>IFERROR(StockInData[Expiry],"")</f>
        <v/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hidden="1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 t="str">
        <f>IFERROR(StockInData[Expiry],"")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hidden="1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 t="str">
        <f>IFERROR(StockInData[Expiry],"")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hidden="1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 t="str">
        <f>IFERROR(StockInData[Expiry],"")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hidden="1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 t="str">
        <f>IFERROR(StockInData[Expiry],"")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hidden="1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 t="str">
        <f>IFERROR(StockInData[Expiry],"")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hidden="1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 t="str">
        <f>IFERROR(StockInData[Expiry],"")</f>
        <v/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hidden="1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 t="str">
        <f>IFERROR(StockInData[Expiry],"")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hidden="1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 t="str">
        <f>IFERROR(StockInData[Expiry],"")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 t="str">
        <f>IFERROR(StockInData[Expiry],"")</f>
        <v/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 t="str">
        <f>IFERROR(StockInData[Expiry],"")</f>
        <v/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 t="str">
        <f>IFERROR(StockInData[Expiry],"")</f>
        <v/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 t="str">
        <f>IFERROR(StockInData[Expiry],"")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 t="str">
        <f>IFERROR(StockInData[Expiry],"")</f>
        <v/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hidden="1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 t="str">
        <f>IFERROR(StockInData[Expiry],"")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hidden="1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 t="str">
        <f>IFERROR(StockInData[Expiry],"")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hidden="1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 t="str">
        <f>IFERROR(StockInData[Expiry],"")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hidden="1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 t="str">
        <f>IFERROR(StockInData[Expiry],"")</f>
        <v/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hidden="1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 t="str">
        <f>IFERROR(StockInData[Expiry],"")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 t="str">
        <f>IFERROR(StockInData[Expiry],"")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 t="str">
        <f>IFERROR(StockInData[Expiry],"")</f>
        <v/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 t="str">
        <f>IFERROR(StockInData[Expiry],"")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 t="str">
        <f>IFERROR(StockInData[Expiry],"")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 t="str">
        <f>IFERROR(StockInData[Expiry],"")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 t="str">
        <f>IFERROR(StockInData[Expiry],"")</f>
        <v/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 t="str">
        <f>IFERROR(StockInData[Expiry],"")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 t="str">
        <f>IFERROR(StockInData[Expiry],"")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 t="str">
        <f>IFERROR(StockInData[Expiry],"")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 t="str">
        <f>IFERROR(StockInData[Expiry],"")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 t="str">
        <f>IFERROR(StockInData[Expiry],"")</f>
        <v/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 t="str">
        <f>IFERROR(StockInData[Expiry],"")</f>
        <v/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 t="str">
        <f>IFERROR(StockInData[Expiry],"")</f>
        <v/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 t="str">
        <f>IFERROR(StockInData[Expiry],"")</f>
        <v/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 t="str">
        <f>IFERROR(StockInData[Expiry],"")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 t="str">
        <f>IFERROR(StockInData[Expiry],"")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 t="str">
        <f>IFERROR(StockInData[Expiry],"")</f>
        <v/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 t="str">
        <f>IFERROR(StockInData[Expiry],"")</f>
        <v/>
      </c>
      <c r="H2020" s="61"/>
      <c r="I2020" s="61">
        <f>SUMIFS(StockInData[Quantity],StockInData[Product ID],ProductMaster!$B2020)-SUMIFS(StockOutData[Quantity],StockOutData[Product ID],ProductMaster!$B2020)</f>
        <v>0</v>
      </c>
      <c r="J2020" s="64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 t="str">
        <f>IFERROR(StockInData[Expiry],"")</f>
        <v/>
      </c>
      <c r="H2021" s="61"/>
      <c r="I2021" s="61">
        <f>SUMIFS(StockInData[Quantity],StockInData[Product ID],ProductMaster!$B2021)-SUMIFS(StockOutData[Quantity],StockOutData[Product ID],ProductMaster!$B2021)</f>
        <v>0</v>
      </c>
      <c r="J2021" s="64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 t="str">
        <f>IFERROR(StockInData[Expiry],"")</f>
        <v/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 t="str">
        <f>IFERROR(StockInData[Expiry],"")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 t="str">
        <f>IFERROR(StockInData[Expiry],"")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 t="str">
        <f>IFERROR(StockInData[Expiry],"")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 t="str">
        <f>IFERROR(StockInData[Expiry],"")</f>
        <v/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 t="str">
        <f>IFERROR(StockInData[Expiry],"")</f>
        <v/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 t="str">
        <f>IFERROR(StockInData[Expiry],"")</f>
        <v/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 t="str">
        <f>IFERROR(StockInData[Expiry],"")</f>
        <v/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 t="str">
        <f>IFERROR(StockInData[Expiry],"")</f>
        <v/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 t="str">
        <f>IFERROR(StockInData[Expiry],"")</f>
        <v/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 t="str">
        <f>IFERROR(StockInData[Expiry],"")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 t="str">
        <f>IFERROR(StockInData[Expiry],"")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 t="str">
        <f>IFERROR(StockInData[Expiry],"")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 t="str">
        <f>IFERROR(StockInData[Expiry],"")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 t="str">
        <f>IFERROR(StockInData[Expiry],"")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 t="str">
        <f>IFERROR(StockInData[Expiry],"")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 t="str">
        <f>IFERROR(StockInData[Expiry],"")</f>
        <v/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 t="str">
        <f>IFERROR(StockInData[Expiry],"")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 t="str">
        <f>IFERROR(StockInData[Expiry],"")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 t="str">
        <f>IFERROR(StockInData[Expiry],"")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 t="str">
        <f>IFERROR(StockInData[Expiry],"")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 t="str">
        <f>IFERROR(StockInData[Expiry],"")</f>
        <v/>
      </c>
      <c r="H2043" s="61"/>
      <c r="I2043" s="61">
        <f>SUMIFS(StockInData[Quantity],StockInData[Product ID],ProductMaster!$B2043)-SUMIFS(StockOutData[Quantity],StockOutData[Product ID],ProductMaster!$B2043)</f>
        <v>3</v>
      </c>
      <c r="J2043" s="64">
        <f>SUMIFS(StockInData[Value],StockInData[Product ID],ProductMaster!$B2043)-SUMIFS(StockOutData[Value],StockOutData[Product ID],ProductMaster!$B2043)</f>
        <v>10</v>
      </c>
    </row>
    <row r="2044" spans="1:10" hidden="1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 t="str">
        <f>IFERROR(StockInData[Expiry],"")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hidden="1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 t="str">
        <f>IFERROR(StockInData[Expiry],"")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hidden="1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 t="str">
        <f>IFERROR(StockInData[Expiry],"")</f>
        <v/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 t="str">
        <f>IFERROR(StockInData[Expiry],"")</f>
        <v/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 t="str">
        <f>IFERROR(StockInData[Expiry],"")</f>
        <v/>
      </c>
      <c r="H2048" s="61"/>
      <c r="I2048" s="61">
        <f>SUMIFS(StockInData[Quantity],StockInData[Product ID],ProductMaster!$B2048)-SUMIFS(StockOutData[Quantity],StockOutData[Product ID],ProductMaster!$B2048)</f>
        <v>-2</v>
      </c>
      <c r="J2048" s="64">
        <f>SUMIFS(StockInData[Value],StockInData[Product ID],ProductMaster!$B2048)-SUMIFS(StockOutData[Value],StockOutData[Product ID],ProductMaster!$B2048)</f>
        <v>-30.3</v>
      </c>
    </row>
    <row r="2049" spans="1:10" hidden="1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 t="str">
        <f>IFERROR(StockInData[Expiry],"")</f>
        <v/>
      </c>
      <c r="H2049" s="61"/>
      <c r="I2049" s="61">
        <f>SUMIFS(StockInData[Quantity],StockInData[Product ID],ProductMaster!$B2049)-SUMIFS(StockOutData[Quantity],StockOutData[Product ID],ProductMaster!$B2049)</f>
        <v>-1</v>
      </c>
      <c r="J2049" s="64">
        <f>SUMIFS(StockInData[Value],StockInData[Product ID],ProductMaster!$B2049)-SUMIFS(StockOutData[Value],StockOutData[Product ID],ProductMaster!$B2049)</f>
        <v>-17.440000000000001</v>
      </c>
    </row>
    <row r="2050" spans="1:10" hidden="1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 t="str">
        <f>IFERROR(StockInData[Expiry],"")</f>
        <v/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 t="str">
        <f>IFERROR(StockInData[Expiry],"")</f>
        <v/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 t="str">
        <f>IFERROR(StockInData[Expiry],"")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 t="str">
        <f>IFERROR(StockInData[Expiry],"")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 t="str">
        <f>IFERROR(StockInData[Expiry],"")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 t="str">
        <f>IFERROR(StockInData[Expiry],"")</f>
        <v/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 t="str">
        <f>IFERROR(StockInData[Expiry],"")</f>
        <v/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 t="str">
        <f>IFERROR(StockInData[Expiry],"")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 t="str">
        <f>IFERROR(StockInData[Expiry],"")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 t="str">
        <f>IFERROR(StockInData[Expiry],"")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 t="str">
        <f>IFERROR(StockInData[Expiry],"")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 t="str">
        <f>IFERROR(StockInData[Expiry],"")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 t="str">
        <f>IFERROR(StockInData[Expiry],"")</f>
        <v/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 t="str">
        <f>IFERROR(StockInData[Expiry],"")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 t="str">
        <f>IFERROR(StockInData[Expiry],"")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 t="str">
        <f>IFERROR(StockInData[Expiry],"")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 t="str">
        <f>IFERROR(StockInData[Expiry],"")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 t="str">
        <f>IFERROR(StockInData[Expiry],"")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 t="str">
        <f>IFERROR(StockInData[Expiry],"")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 t="str">
        <f>IFERROR(StockInData[Expiry],"")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 t="str">
        <f>IFERROR(StockInData[Expiry],"")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hidden="1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 t="str">
        <f>IFERROR(StockInData[Expiry],"")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hidden="1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 t="str">
        <f>IFERROR(StockInData[Expiry],"")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hidden="1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 t="str">
        <f>IFERROR(StockInData[Expiry],"")</f>
        <v/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 t="str">
        <f>IFERROR(StockInData[Expiry],"")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hidden="1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 t="str">
        <f>IFERROR(StockInData[Expiry],"")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hidden="1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 t="str">
        <f>IFERROR(StockInData[Expiry],"")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 t="str">
        <f>IFERROR(StockInData[Expiry],"")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 t="str">
        <f>IFERROR(StockInData[Expiry],"")</f>
        <v/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 t="str">
        <f>IFERROR(StockInData[Expiry],"")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 t="str">
        <f>IFERROR(StockInData[Expiry],"")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hidden="1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 t="str">
        <f>IFERROR(StockInData[Expiry],"")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hidden="1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 t="str">
        <f>IFERROR(StockInData[Expiry],"")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hidden="1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 t="str">
        <f>IFERROR(StockInData[Expiry],"")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hidden="1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 t="str">
        <f>IFERROR(StockInData[Expiry],"")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 t="str">
        <f>IFERROR(StockInData[Expiry],"")</f>
        <v/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 t="str">
        <f>IFERROR(StockInData[Expiry],"")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hidden="1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 t="str">
        <f>IFERROR(StockInData[Expiry],"")</f>
        <v/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hidden="1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 t="str">
        <f>IFERROR(StockInData[Expiry],"")</f>
        <v/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hidden="1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 t="str">
        <f>IFERROR(StockInData[Expiry],"")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hidden="1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 t="str">
        <f>IFERROR(StockInData[Expiry],"")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hidden="1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 t="str">
        <f>IFERROR(StockInData[Expiry],"")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hidden="1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 t="str">
        <f>IFERROR(StockInData[Expiry],"")</f>
        <v/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hidden="1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 t="str">
        <f>IFERROR(StockInData[Expiry],"")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 t="str">
        <f>IFERROR(StockInData[Expiry],"")</f>
        <v/>
      </c>
      <c r="H2094" s="61"/>
      <c r="I2094" s="61">
        <f>SUMIFS(StockInData[Quantity],StockInData[Product ID],ProductMaster!$B2094)-SUMIFS(StockOutData[Quantity],StockOutData[Product ID],ProductMaster!$B2094)</f>
        <v>42</v>
      </c>
      <c r="J2094" s="64">
        <f>SUMIFS(StockInData[Value],StockInData[Product ID],ProductMaster!$B2094)-SUMIFS(StockOutData[Value],StockOutData[Product ID],ProductMaster!$B2094)</f>
        <v>10</v>
      </c>
    </row>
    <row r="2095" spans="1:10" hidden="1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 t="str">
        <f>IFERROR(StockInData[Expiry],"")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hidden="1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 t="str">
        <f>IFERROR(StockInData[Expiry],"")</f>
        <v/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hidden="1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 t="str">
        <f>IFERROR(StockInData[Expiry],"")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hidden="1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 t="str">
        <f>IFERROR(StockInData[Expiry],"")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hidden="1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 t="str">
        <f>IFERROR(StockInData[Expiry],"")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 t="str">
        <f>IFERROR(StockInData[Expiry],"")</f>
        <v/>
      </c>
      <c r="H2100" s="61"/>
      <c r="I2100" s="61">
        <f>SUMIFS(StockInData[Quantity],StockInData[Product ID],ProductMaster!$B2100)-SUMIFS(StockOutData[Quantity],StockOutData[Product ID],ProductMaster!$B2100)</f>
        <v>1</v>
      </c>
      <c r="J2100" s="64">
        <f>SUMIFS(StockInData[Value],StockInData[Product ID],ProductMaster!$B2100)-SUMIFS(StockOutData[Value],StockOutData[Product ID],ProductMaster!$B2100)</f>
        <v>10</v>
      </c>
    </row>
    <row r="2101" spans="1:10" hidden="1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 t="str">
        <f>IFERROR(StockInData[Expiry],"")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hidden="1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 t="str">
        <f>IFERROR(StockInData[Expiry],"")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hidden="1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 t="str">
        <f>IFERROR(StockInData[Expiry],"")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hidden="1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 t="str">
        <f>IFERROR(StockInData[Expiry],"")</f>
        <v/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hidden="1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 t="str">
        <f>IFERROR(StockInData[Expiry],"")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hidden="1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 t="str">
        <f>IFERROR(StockInData[Expiry],"")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hidden="1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 t="str">
        <f>IFERROR(StockInData[Expiry],"")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hidden="1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 t="str">
        <f>IFERROR(StockInData[Expiry],"")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hidden="1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 t="str">
        <f>IFERROR(StockInData[Expiry],"")</f>
        <v/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hidden="1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 t="str">
        <f>IFERROR(StockInData[Expiry],"")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hidden="1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 t="str">
        <f>IFERROR(StockInData[Expiry],"")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hidden="1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 t="str">
        <f>IFERROR(StockInData[Expiry],"")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hidden="1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 t="str">
        <f>IFERROR(StockInData[Expiry],"")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hidden="1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 t="str">
        <f>IFERROR(StockInData[Expiry],"")</f>
        <v/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hidden="1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 t="str">
        <f>IFERROR(StockInData[Expiry],"")</f>
        <v/>
      </c>
      <c r="H2115" s="61"/>
      <c r="I2115" s="61">
        <f>SUMIFS(StockInData[Quantity],StockInData[Product ID],ProductMaster!$B2115)-SUMIFS(StockOutData[Quantity],StockOutData[Product ID],ProductMaster!$B2115)</f>
        <v>-1</v>
      </c>
      <c r="J2115" s="64">
        <f>SUMIFS(StockInData[Value],StockInData[Product ID],ProductMaster!$B2115)-SUMIFS(StockOutData[Value],StockOutData[Product ID],ProductMaster!$B2115)</f>
        <v>-13.74</v>
      </c>
    </row>
    <row r="2116" spans="1:10" hidden="1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 t="str">
        <f>IFERROR(StockInData[Expiry],"")</f>
        <v/>
      </c>
      <c r="H2116" s="61"/>
      <c r="I2116" s="61">
        <f>SUMIFS(StockInData[Quantity],StockInData[Product ID],ProductMaster!$B2116)-SUMIFS(StockOutData[Quantity],StockOutData[Product ID],ProductMaster!$B2116)</f>
        <v>-1</v>
      </c>
      <c r="J2116" s="64">
        <f>SUMIFS(StockInData[Value],StockInData[Product ID],ProductMaster!$B2116)-SUMIFS(StockOutData[Value],StockOutData[Product ID],ProductMaster!$B2116)</f>
        <v>-9.9</v>
      </c>
    </row>
    <row r="2117" spans="1:10" hidden="1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 t="str">
        <f>IFERROR(StockInData[Expiry],"")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hidden="1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 t="str">
        <f>IFERROR(StockInData[Expiry],"")</f>
        <v/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hidden="1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 t="str">
        <f>IFERROR(StockInData[Expiry],"")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hidden="1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 t="str">
        <f>IFERROR(StockInData[Expiry],"")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hidden="1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 t="str">
        <f>IFERROR(StockInData[Expiry],"")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hidden="1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 t="str">
        <f>IFERROR(StockInData[Expiry],"")</f>
        <v/>
      </c>
      <c r="H2122" s="61"/>
      <c r="I2122" s="61">
        <f>SUMIFS(StockInData[Quantity],StockInData[Product ID],ProductMaster!$B2122)-SUMIFS(StockOutData[Quantity],StockOutData[Product ID],ProductMaster!$B2122)</f>
        <v>-1</v>
      </c>
      <c r="J2122" s="64">
        <f>SUMIFS(StockInData[Value],StockInData[Product ID],ProductMaster!$B2122)-SUMIFS(StockOutData[Value],StockOutData[Product ID],ProductMaster!$B2122)</f>
        <v>-9.8000000000000007</v>
      </c>
    </row>
    <row r="2123" spans="1:10" hidden="1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 t="str">
        <f>IFERROR(StockInData[Expiry],"")</f>
        <v/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hidden="1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 t="str">
        <f>IFERROR(StockInData[Expiry],"")</f>
        <v/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hidden="1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 t="str">
        <f>IFERROR(StockInData[Expiry],"")</f>
        <v/>
      </c>
      <c r="H2125" s="61"/>
      <c r="I2125" s="61">
        <f>SUMIFS(StockInData[Quantity],StockInData[Product ID],ProductMaster!$B2125)-SUMIFS(StockOutData[Quantity],StockOutData[Product ID],ProductMaster!$B2125)</f>
        <v>-1</v>
      </c>
      <c r="J2125" s="64">
        <f>SUMIFS(StockInData[Value],StockInData[Product ID],ProductMaster!$B2125)-SUMIFS(StockOutData[Value],StockOutData[Product ID],ProductMaster!$B2125)</f>
        <v>-17.899999999999999</v>
      </c>
    </row>
    <row r="2126" spans="1:10" hidden="1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 t="str">
        <f>IFERROR(StockInData[Expiry],"")</f>
        <v/>
      </c>
      <c r="H2126" s="61"/>
      <c r="I2126" s="61">
        <f>SUMIFS(StockInData[Quantity],StockInData[Product ID],ProductMaster!$B2126)-SUMIFS(StockOutData[Quantity],StockOutData[Product ID],ProductMaster!$B2126)</f>
        <v>-2</v>
      </c>
      <c r="J2126" s="64">
        <f>SUMIFS(StockInData[Value],StockInData[Product ID],ProductMaster!$B2126)-SUMIFS(StockOutData[Value],StockOutData[Product ID],ProductMaster!$B2126)</f>
        <v>-29.7</v>
      </c>
    </row>
    <row r="2127" spans="1:10" hidden="1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 t="str">
        <f>IFERROR(StockInData[Expiry],"")</f>
        <v/>
      </c>
      <c r="H2127" s="61"/>
      <c r="I2127" s="61">
        <f>SUMIFS(StockInData[Quantity],StockInData[Product ID],ProductMaster!$B2127)-SUMIFS(StockOutData[Quantity],StockOutData[Product ID],ProductMaster!$B2127)</f>
        <v>-1</v>
      </c>
      <c r="J2127" s="64">
        <f>SUMIFS(StockInData[Value],StockInData[Product ID],ProductMaster!$B2127)-SUMIFS(StockOutData[Value],StockOutData[Product ID],ProductMaster!$B2127)</f>
        <v>-15.92</v>
      </c>
    </row>
    <row r="2128" spans="1:10" hidden="1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 t="str">
        <f>IFERROR(StockInData[Expiry],"")</f>
        <v/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hidden="1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 t="str">
        <f>IFERROR(StockInData[Expiry],"")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hidden="1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 t="str">
        <f>IFERROR(StockInData[Expiry],"")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hidden="1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 t="str">
        <f>IFERROR(StockInData[Expiry],"")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hidden="1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 t="str">
        <f>IFERROR(StockInData[Expiry],"")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hidden="1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 t="str">
        <f>IFERROR(StockInData[Expiry],"")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hidden="1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 t="str">
        <f>IFERROR(StockInData[Expiry],"")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2020-01-01T21:32:08Z</dcterms:modified>
  <cp:contentStatus/>
</cp:coreProperties>
</file>