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Q17" i="1" s="1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B10" i="7" s="1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" i="7" l="1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G3" i="3"/>
  <c r="G3" i="4" s="1"/>
  <c r="I425" i="3"/>
  <c r="I424" i="3"/>
  <c r="I423" i="3"/>
  <c r="I422" i="3"/>
  <c r="I421" i="3"/>
  <c r="J421" i="4" s="1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G4" i="3" l="1"/>
  <c r="G4" i="4" s="1"/>
  <c r="G5" i="3" l="1"/>
  <c r="G5" i="4" s="1"/>
  <c r="B5" i="11"/>
  <c r="G6" i="3" l="1"/>
  <c r="G6" i="4" s="1"/>
  <c r="M2" i="3"/>
  <c r="G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G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G9" i="3"/>
  <c r="G9" i="4" s="1"/>
  <c r="B13" i="7"/>
  <c r="B6" i="7"/>
  <c r="B5" i="7"/>
  <c r="G10" i="3" l="1"/>
  <c r="G10" i="4" s="1"/>
  <c r="B12" i="7"/>
  <c r="G11" i="3" l="1"/>
  <c r="G11" i="4" s="1"/>
  <c r="G12" i="3" l="1"/>
  <c r="G12" i="4" s="1"/>
  <c r="G13" i="3" l="1"/>
  <c r="G13" i="4" s="1"/>
  <c r="G14" i="3" l="1"/>
  <c r="G14" i="4" s="1"/>
  <c r="G15" i="3" l="1"/>
  <c r="G15" i="4" s="1"/>
  <c r="G16" i="3" l="1"/>
  <c r="G16" i="4" s="1"/>
  <c r="G17" i="3" l="1"/>
  <c r="G17" i="4" s="1"/>
  <c r="G18" i="3" l="1"/>
  <c r="G18" i="4" s="1"/>
  <c r="G19" i="3" l="1"/>
  <c r="G19" i="4" s="1"/>
  <c r="G20" i="3" l="1"/>
  <c r="G20" i="4" s="1"/>
  <c r="G21" i="3" l="1"/>
  <c r="G21" i="4" s="1"/>
  <c r="G22" i="3" l="1"/>
  <c r="G22" i="4" s="1"/>
  <c r="G23" i="3" l="1"/>
  <c r="G23" i="4" s="1"/>
  <c r="G24" i="3" l="1"/>
  <c r="G24" i="4" s="1"/>
  <c r="G25" i="3" l="1"/>
  <c r="G25" i="4" s="1"/>
  <c r="G26" i="3" l="1"/>
  <c r="G26" i="4" s="1"/>
  <c r="G27" i="3" l="1"/>
  <c r="G27" i="4" s="1"/>
  <c r="G28" i="3" l="1"/>
  <c r="G28" i="4" s="1"/>
  <c r="G29" i="3" l="1"/>
  <c r="G29" i="4" s="1"/>
  <c r="G30" i="3" l="1"/>
  <c r="G30" i="4" s="1"/>
  <c r="G31" i="3" l="1"/>
  <c r="G31" i="4" s="1"/>
  <c r="G32" i="3" l="1"/>
  <c r="G32" i="4" s="1"/>
  <c r="G33" i="3" l="1"/>
  <c r="G33" i="4" s="1"/>
  <c r="G34" i="3" l="1"/>
  <c r="G34" i="4" s="1"/>
  <c r="G35" i="3" l="1"/>
  <c r="G35" i="4" s="1"/>
  <c r="G36" i="3" l="1"/>
  <c r="G36" i="4" s="1"/>
  <c r="G37" i="3" l="1"/>
  <c r="G37" i="4" s="1"/>
  <c r="G38" i="3" l="1"/>
  <c r="G38" i="4" s="1"/>
  <c r="G39" i="3" l="1"/>
  <c r="G39" i="4" s="1"/>
  <c r="G40" i="3" l="1"/>
  <c r="G40" i="4" s="1"/>
  <c r="G41" i="3" l="1"/>
  <c r="G41" i="4" s="1"/>
  <c r="G42" i="3" l="1"/>
  <c r="G42" i="4" s="1"/>
  <c r="G43" i="3" l="1"/>
  <c r="G43" i="4" s="1"/>
  <c r="G44" i="3" l="1"/>
  <c r="G44" i="4" s="1"/>
  <c r="G45" i="3" l="1"/>
  <c r="G45" i="4" s="1"/>
  <c r="G46" i="3" l="1"/>
  <c r="G46" i="4" s="1"/>
  <c r="G47" i="3" l="1"/>
  <c r="G47" i="4" s="1"/>
  <c r="G48" i="3" l="1"/>
  <c r="G48" i="4" s="1"/>
  <c r="G49" i="3" l="1"/>
  <c r="G49" i="4" s="1"/>
  <c r="G50" i="3" l="1"/>
  <c r="G50" i="4" s="1"/>
  <c r="G51" i="3" l="1"/>
  <c r="G51" i="4" s="1"/>
  <c r="G52" i="3" l="1"/>
  <c r="G52" i="4" s="1"/>
  <c r="G53" i="3" l="1"/>
  <c r="G53" i="4" s="1"/>
  <c r="G54" i="3" l="1"/>
  <c r="G54" i="4" s="1"/>
  <c r="G55" i="3" l="1"/>
  <c r="G55" i="4" s="1"/>
  <c r="G56" i="3" l="1"/>
  <c r="G56" i="4" s="1"/>
  <c r="G57" i="3" l="1"/>
  <c r="G57" i="4" s="1"/>
  <c r="G58" i="3" l="1"/>
  <c r="G58" i="4" s="1"/>
  <c r="G59" i="3" l="1"/>
  <c r="G59" i="4" s="1"/>
  <c r="G60" i="3" l="1"/>
  <c r="G60" i="4" s="1"/>
  <c r="G61" i="3" l="1"/>
  <c r="G61" i="4" s="1"/>
  <c r="G62" i="3" l="1"/>
  <c r="G62" i="4" s="1"/>
  <c r="G63" i="3" l="1"/>
  <c r="G63" i="4" s="1"/>
  <c r="G64" i="3" l="1"/>
  <c r="G64" i="4" s="1"/>
  <c r="G65" i="3" l="1"/>
  <c r="G65" i="4" s="1"/>
  <c r="G66" i="3" l="1"/>
  <c r="G66" i="4" s="1"/>
  <c r="G67" i="3" l="1"/>
  <c r="G67" i="4" s="1"/>
  <c r="G68" i="3" l="1"/>
  <c r="G68" i="4" s="1"/>
  <c r="G69" i="3" l="1"/>
  <c r="G69" i="4" s="1"/>
  <c r="G70" i="3" l="1"/>
  <c r="G70" i="4" s="1"/>
  <c r="G71" i="3" l="1"/>
  <c r="G71" i="4" s="1"/>
  <c r="G72" i="3" l="1"/>
  <c r="G72" i="4" s="1"/>
  <c r="G73" i="3" l="1"/>
  <c r="G73" i="4" s="1"/>
  <c r="G74" i="3" l="1"/>
  <c r="G74" i="4" s="1"/>
  <c r="G75" i="3" l="1"/>
  <c r="G75" i="4" s="1"/>
  <c r="G76" i="3" l="1"/>
  <c r="G76" i="4" s="1"/>
  <c r="G77" i="3" l="1"/>
  <c r="G77" i="4" s="1"/>
  <c r="G78" i="3" l="1"/>
  <c r="G78" i="4" s="1"/>
  <c r="G79" i="3" l="1"/>
  <c r="G79" i="4" s="1"/>
  <c r="G80" i="3" l="1"/>
  <c r="G80" i="4" s="1"/>
  <c r="G81" i="3" l="1"/>
  <c r="G81" i="4" s="1"/>
  <c r="G82" i="3" l="1"/>
  <c r="G82" i="4" s="1"/>
  <c r="G83" i="3" l="1"/>
  <c r="G83" i="4" s="1"/>
  <c r="G84" i="3" l="1"/>
  <c r="G84" i="4" s="1"/>
  <c r="G85" i="3" l="1"/>
  <c r="G85" i="4" s="1"/>
  <c r="G86" i="3" l="1"/>
  <c r="G86" i="4" s="1"/>
  <c r="G87" i="3" l="1"/>
  <c r="G87" i="4" s="1"/>
  <c r="G88" i="3" l="1"/>
  <c r="G88" i="4" s="1"/>
  <c r="G89" i="3" l="1"/>
  <c r="G89" i="4" s="1"/>
  <c r="G90" i="3" l="1"/>
  <c r="G90" i="4" s="1"/>
  <c r="G91" i="3" l="1"/>
  <c r="G91" i="4" s="1"/>
  <c r="G92" i="3" l="1"/>
  <c r="G92" i="4" s="1"/>
  <c r="G93" i="3" l="1"/>
  <c r="G93" i="4" s="1"/>
  <c r="G94" i="3" l="1"/>
  <c r="G94" i="4" s="1"/>
  <c r="G95" i="3" l="1"/>
  <c r="G95" i="4" s="1"/>
  <c r="G96" i="3" l="1"/>
  <c r="G96" i="4" s="1"/>
  <c r="G97" i="3" l="1"/>
  <c r="G97" i="4" s="1"/>
  <c r="G98" i="3" l="1"/>
  <c r="G98" i="4" s="1"/>
  <c r="G99" i="3" l="1"/>
  <c r="G99" i="4" s="1"/>
  <c r="G100" i="3" l="1"/>
  <c r="G100" i="4" s="1"/>
  <c r="G101" i="3" l="1"/>
  <c r="G101" i="4" s="1"/>
  <c r="G102" i="3" l="1"/>
  <c r="G102" i="4" s="1"/>
  <c r="G103" i="3" l="1"/>
  <c r="G103" i="4" s="1"/>
  <c r="G104" i="3" l="1"/>
  <c r="G104" i="4" s="1"/>
  <c r="G105" i="3" l="1"/>
  <c r="G105" i="4" s="1"/>
  <c r="G106" i="3" l="1"/>
  <c r="G106" i="4" s="1"/>
  <c r="G107" i="3" l="1"/>
  <c r="G107" i="4" s="1"/>
  <c r="G108" i="3" l="1"/>
  <c r="G108" i="4" s="1"/>
  <c r="G109" i="3" l="1"/>
  <c r="G109" i="4" s="1"/>
  <c r="G110" i="3" l="1"/>
  <c r="G110" i="4" s="1"/>
  <c r="G111" i="3" l="1"/>
  <c r="G111" i="4" s="1"/>
  <c r="G112" i="3" l="1"/>
  <c r="G112" i="4" s="1"/>
  <c r="G113" i="3" l="1"/>
  <c r="G113" i="4" s="1"/>
  <c r="G114" i="3" l="1"/>
  <c r="G114" i="4" s="1"/>
  <c r="G115" i="3" l="1"/>
  <c r="G115" i="4" s="1"/>
  <c r="G116" i="3" l="1"/>
  <c r="G116" i="4" s="1"/>
  <c r="G117" i="3" l="1"/>
  <c r="G117" i="4" s="1"/>
  <c r="G118" i="3" l="1"/>
  <c r="G118" i="4" s="1"/>
  <c r="G119" i="3" l="1"/>
  <c r="G119" i="4" s="1"/>
  <c r="G120" i="3" l="1"/>
  <c r="G120" i="4" s="1"/>
  <c r="G121" i="3" l="1"/>
  <c r="G121" i="4" s="1"/>
  <c r="G122" i="3" l="1"/>
  <c r="G122" i="4" s="1"/>
  <c r="G123" i="3" l="1"/>
  <c r="G123" i="4" s="1"/>
  <c r="G124" i="3" l="1"/>
  <c r="G124" i="4" s="1"/>
  <c r="G125" i="3" l="1"/>
  <c r="G125" i="4" s="1"/>
  <c r="G126" i="3" l="1"/>
  <c r="G126" i="4" s="1"/>
  <c r="G127" i="3" l="1"/>
  <c r="G127" i="4" s="1"/>
  <c r="G128" i="3" l="1"/>
  <c r="G128" i="4" s="1"/>
  <c r="G129" i="3" l="1"/>
  <c r="G129" i="4" s="1"/>
  <c r="G130" i="3" l="1"/>
  <c r="G130" i="4" s="1"/>
  <c r="G131" i="3" l="1"/>
  <c r="G131" i="4" s="1"/>
  <c r="G132" i="3" l="1"/>
  <c r="G132" i="4" s="1"/>
  <c r="G133" i="3" l="1"/>
  <c r="G133" i="4" s="1"/>
  <c r="G134" i="3" l="1"/>
  <c r="G134" i="4" s="1"/>
  <c r="G135" i="3" l="1"/>
  <c r="G135" i="4" s="1"/>
  <c r="G136" i="3" l="1"/>
  <c r="G136" i="4" s="1"/>
  <c r="G137" i="3" l="1"/>
  <c r="G137" i="4" s="1"/>
  <c r="G138" i="3" l="1"/>
  <c r="G138" i="4" s="1"/>
  <c r="G139" i="3" l="1"/>
  <c r="G139" i="4" s="1"/>
  <c r="G140" i="3" l="1"/>
  <c r="G140" i="4" s="1"/>
  <c r="G141" i="3" l="1"/>
  <c r="G141" i="4" s="1"/>
  <c r="G142" i="3" l="1"/>
  <c r="G142" i="4" s="1"/>
  <c r="G143" i="3" l="1"/>
  <c r="G143" i="4" s="1"/>
  <c r="G144" i="3" l="1"/>
  <c r="G144" i="4" s="1"/>
  <c r="G145" i="3" l="1"/>
  <c r="G145" i="4" s="1"/>
  <c r="G146" i="3" l="1"/>
  <c r="G146" i="4" s="1"/>
  <c r="G147" i="3" l="1"/>
  <c r="G147" i="4" s="1"/>
  <c r="G148" i="3" l="1"/>
  <c r="G148" i="4" s="1"/>
  <c r="G149" i="3" l="1"/>
  <c r="G149" i="4" s="1"/>
  <c r="G150" i="3" l="1"/>
  <c r="G150" i="4" s="1"/>
  <c r="G151" i="3" l="1"/>
  <c r="G151" i="4" s="1"/>
  <c r="G152" i="3" l="1"/>
  <c r="G152" i="4" s="1"/>
  <c r="G153" i="3" l="1"/>
  <c r="G153" i="4" s="1"/>
  <c r="G154" i="3" l="1"/>
  <c r="G154" i="4" s="1"/>
  <c r="G155" i="3" l="1"/>
  <c r="G155" i="4" s="1"/>
  <c r="G156" i="3" l="1"/>
  <c r="G156" i="4" s="1"/>
  <c r="G157" i="3" l="1"/>
  <c r="G157" i="4" s="1"/>
  <c r="G158" i="3" l="1"/>
  <c r="G158" i="4" s="1"/>
  <c r="G159" i="3" l="1"/>
  <c r="G159" i="4" s="1"/>
  <c r="G160" i="3" l="1"/>
  <c r="G160" i="4" s="1"/>
  <c r="G161" i="3" l="1"/>
  <c r="G161" i="4" s="1"/>
  <c r="G162" i="3" l="1"/>
  <c r="G162" i="4" s="1"/>
  <c r="G163" i="3" l="1"/>
  <c r="G163" i="4" s="1"/>
  <c r="G164" i="3" l="1"/>
  <c r="G164" i="4" s="1"/>
  <c r="G165" i="3" l="1"/>
  <c r="G165" i="4" s="1"/>
  <c r="G166" i="3" l="1"/>
  <c r="G166" i="4" s="1"/>
  <c r="G167" i="3" l="1"/>
  <c r="G167" i="4" s="1"/>
  <c r="G168" i="3" l="1"/>
  <c r="G168" i="4" s="1"/>
  <c r="G169" i="3" l="1"/>
  <c r="G169" i="4" s="1"/>
  <c r="G170" i="3" l="1"/>
  <c r="G170" i="4" s="1"/>
  <c r="G171" i="3" l="1"/>
  <c r="G171" i="4" s="1"/>
  <c r="G172" i="3" l="1"/>
  <c r="G172" i="4" s="1"/>
  <c r="G173" i="3" l="1"/>
  <c r="G173" i="4" s="1"/>
  <c r="G174" i="3" l="1"/>
  <c r="G174" i="4" s="1"/>
  <c r="G175" i="3" l="1"/>
  <c r="G175" i="4" s="1"/>
  <c r="G176" i="3" l="1"/>
  <c r="G176" i="4" s="1"/>
  <c r="G177" i="3" l="1"/>
  <c r="G177" i="4" s="1"/>
  <c r="G178" i="3" l="1"/>
  <c r="G178" i="4" s="1"/>
  <c r="G179" i="3" l="1"/>
  <c r="G179" i="4" s="1"/>
  <c r="G180" i="3" l="1"/>
  <c r="G180" i="4" s="1"/>
  <c r="G181" i="3" l="1"/>
  <c r="G181" i="4" s="1"/>
  <c r="G182" i="3" l="1"/>
  <c r="G182" i="4" s="1"/>
  <c r="G183" i="3" l="1"/>
  <c r="G183" i="4" s="1"/>
  <c r="G184" i="3" l="1"/>
  <c r="G184" i="4" s="1"/>
  <c r="G185" i="3" l="1"/>
  <c r="G185" i="4" s="1"/>
  <c r="G186" i="3" l="1"/>
  <c r="G186" i="4" s="1"/>
  <c r="G187" i="3" l="1"/>
  <c r="G187" i="4" s="1"/>
  <c r="G188" i="3" l="1"/>
  <c r="G188" i="4" s="1"/>
  <c r="G189" i="3" l="1"/>
  <c r="G189" i="4" s="1"/>
  <c r="G190" i="3" l="1"/>
  <c r="G190" i="4" s="1"/>
  <c r="G191" i="3" l="1"/>
  <c r="G191" i="4" s="1"/>
  <c r="G192" i="3" l="1"/>
  <c r="G192" i="4" s="1"/>
  <c r="G193" i="3" l="1"/>
  <c r="G193" i="4" s="1"/>
  <c r="G194" i="3" l="1"/>
  <c r="G194" i="4" s="1"/>
  <c r="G195" i="3" l="1"/>
  <c r="G195" i="4" s="1"/>
  <c r="G196" i="3" l="1"/>
  <c r="G196" i="4" s="1"/>
  <c r="G197" i="3" l="1"/>
  <c r="G197" i="4" s="1"/>
  <c r="G198" i="3" l="1"/>
  <c r="G198" i="4" s="1"/>
  <c r="G199" i="3" l="1"/>
  <c r="G199" i="4" s="1"/>
  <c r="G200" i="3" l="1"/>
  <c r="G200" i="4" s="1"/>
  <c r="G201" i="3" l="1"/>
  <c r="G201" i="4" s="1"/>
  <c r="G202" i="3" l="1"/>
  <c r="G202" i="4" s="1"/>
  <c r="G203" i="3" l="1"/>
  <c r="G203" i="4" s="1"/>
  <c r="G204" i="3" l="1"/>
  <c r="G204" i="4" s="1"/>
  <c r="G205" i="3" l="1"/>
  <c r="G205" i="4" s="1"/>
  <c r="G206" i="3" l="1"/>
  <c r="G206" i="4" s="1"/>
  <c r="G207" i="3" l="1"/>
  <c r="G207" i="4" s="1"/>
  <c r="G208" i="3" l="1"/>
  <c r="G208" i="4" s="1"/>
  <c r="G209" i="3" l="1"/>
  <c r="G209" i="4" s="1"/>
  <c r="G210" i="3" l="1"/>
  <c r="G210" i="4" s="1"/>
  <c r="G211" i="3" l="1"/>
  <c r="G211" i="4" s="1"/>
  <c r="G212" i="3" l="1"/>
  <c r="G212" i="4" s="1"/>
  <c r="G213" i="3" l="1"/>
  <c r="G213" i="4" s="1"/>
  <c r="G214" i="3" l="1"/>
  <c r="G214" i="4" s="1"/>
  <c r="G215" i="3" l="1"/>
  <c r="G215" i="4" s="1"/>
  <c r="G216" i="3" l="1"/>
  <c r="G216" i="4" s="1"/>
  <c r="G217" i="3" l="1"/>
  <c r="G217" i="4" s="1"/>
  <c r="G218" i="3" l="1"/>
  <c r="G218" i="4" s="1"/>
  <c r="G219" i="3" l="1"/>
  <c r="G219" i="4" s="1"/>
  <c r="G220" i="3" l="1"/>
  <c r="G220" i="4" s="1"/>
  <c r="G221" i="3" l="1"/>
  <c r="G221" i="4" s="1"/>
  <c r="G222" i="3" l="1"/>
  <c r="G222" i="4" s="1"/>
  <c r="G223" i="3" l="1"/>
  <c r="G223" i="4" s="1"/>
  <c r="G224" i="3" l="1"/>
  <c r="G224" i="4" s="1"/>
  <c r="G225" i="3" l="1"/>
  <c r="G225" i="4" s="1"/>
  <c r="G226" i="3" l="1"/>
  <c r="G226" i="4" s="1"/>
  <c r="G227" i="3" l="1"/>
  <c r="G227" i="4" s="1"/>
  <c r="G228" i="3" l="1"/>
  <c r="G228" i="4" s="1"/>
  <c r="G229" i="3" l="1"/>
  <c r="G229" i="4" s="1"/>
  <c r="G230" i="3" l="1"/>
  <c r="G230" i="4" s="1"/>
  <c r="G231" i="3" l="1"/>
  <c r="G231" i="4" s="1"/>
  <c r="G232" i="3" l="1"/>
  <c r="G232" i="4" s="1"/>
  <c r="G233" i="3" l="1"/>
  <c r="G233" i="4" s="1"/>
  <c r="G234" i="3" l="1"/>
  <c r="G234" i="4" s="1"/>
  <c r="G235" i="3" l="1"/>
  <c r="G235" i="4" s="1"/>
  <c r="G236" i="3" l="1"/>
  <c r="G236" i="4" s="1"/>
  <c r="G237" i="3" l="1"/>
  <c r="G237" i="4" s="1"/>
  <c r="G238" i="3" l="1"/>
  <c r="G238" i="4" s="1"/>
  <c r="G239" i="3" l="1"/>
  <c r="G239" i="4" s="1"/>
  <c r="G240" i="3" l="1"/>
  <c r="G240" i="4" s="1"/>
  <c r="G241" i="3" l="1"/>
  <c r="G241" i="4" s="1"/>
  <c r="G242" i="3" l="1"/>
  <c r="G242" i="4" s="1"/>
  <c r="G243" i="3" l="1"/>
  <c r="G243" i="4" s="1"/>
  <c r="G244" i="3" l="1"/>
  <c r="G244" i="4" s="1"/>
  <c r="G245" i="3" l="1"/>
  <c r="G245" i="4" s="1"/>
  <c r="G246" i="3" l="1"/>
  <c r="G246" i="4" s="1"/>
  <c r="G247" i="3" l="1"/>
  <c r="G247" i="4" s="1"/>
  <c r="G248" i="3" l="1"/>
  <c r="G248" i="4" s="1"/>
  <c r="G249" i="3" l="1"/>
  <c r="G249" i="4" s="1"/>
  <c r="G250" i="3" l="1"/>
  <c r="G250" i="4" s="1"/>
  <c r="G251" i="3" l="1"/>
  <c r="G251" i="4" s="1"/>
  <c r="G252" i="3" l="1"/>
  <c r="G252" i="4" s="1"/>
  <c r="G253" i="3" l="1"/>
  <c r="G253" i="4" s="1"/>
  <c r="G254" i="3" l="1"/>
  <c r="G254" i="4" s="1"/>
  <c r="G255" i="3" l="1"/>
  <c r="G255" i="4" s="1"/>
  <c r="G256" i="3" l="1"/>
  <c r="G256" i="4" s="1"/>
  <c r="G257" i="3" l="1"/>
  <c r="G257" i="4" s="1"/>
  <c r="G258" i="3" l="1"/>
  <c r="G258" i="4" s="1"/>
  <c r="G259" i="3" l="1"/>
  <c r="G259" i="4" s="1"/>
  <c r="G260" i="3" l="1"/>
  <c r="G260" i="4" s="1"/>
  <c r="G261" i="3" l="1"/>
  <c r="G261" i="4" s="1"/>
  <c r="G262" i="3" l="1"/>
  <c r="G262" i="4" s="1"/>
  <c r="G263" i="3" l="1"/>
  <c r="G263" i="4" s="1"/>
  <c r="G264" i="3" l="1"/>
  <c r="G264" i="4" s="1"/>
  <c r="G265" i="3" l="1"/>
  <c r="G265" i="4" s="1"/>
  <c r="G266" i="3" l="1"/>
  <c r="G266" i="4" s="1"/>
  <c r="G267" i="3" l="1"/>
  <c r="G267" i="4" s="1"/>
  <c r="G268" i="3" l="1"/>
  <c r="G268" i="4" s="1"/>
  <c r="G269" i="3" l="1"/>
  <c r="G269" i="4" s="1"/>
  <c r="G270" i="3" l="1"/>
  <c r="G270" i="4" s="1"/>
  <c r="G271" i="3" l="1"/>
  <c r="G271" i="4" s="1"/>
  <c r="G272" i="3" l="1"/>
  <c r="G272" i="4" s="1"/>
  <c r="G273" i="3" l="1"/>
  <c r="G273" i="4" s="1"/>
  <c r="G274" i="3" l="1"/>
  <c r="G274" i="4" s="1"/>
  <c r="G275" i="3" l="1"/>
  <c r="G275" i="4" s="1"/>
  <c r="G276" i="3" l="1"/>
  <c r="G276" i="4" s="1"/>
  <c r="G277" i="3" l="1"/>
  <c r="G277" i="4" s="1"/>
  <c r="G278" i="3" l="1"/>
  <c r="G278" i="4" s="1"/>
  <c r="G279" i="3" l="1"/>
  <c r="G279" i="4" s="1"/>
  <c r="G280" i="3" l="1"/>
  <c r="G280" i="4" s="1"/>
  <c r="G281" i="3" l="1"/>
  <c r="G281" i="4" s="1"/>
  <c r="G282" i="3" l="1"/>
  <c r="G282" i="4" s="1"/>
  <c r="G283" i="3" l="1"/>
  <c r="G283" i="4" s="1"/>
  <c r="G284" i="3" l="1"/>
  <c r="G284" i="4" s="1"/>
  <c r="G285" i="3" l="1"/>
  <c r="G285" i="4" s="1"/>
  <c r="G286" i="3" l="1"/>
  <c r="G286" i="4" s="1"/>
  <c r="G287" i="3" l="1"/>
  <c r="G287" i="4" s="1"/>
  <c r="G288" i="3" l="1"/>
  <c r="G288" i="4" s="1"/>
  <c r="G289" i="3" l="1"/>
  <c r="G289" i="4" s="1"/>
  <c r="G290" i="3" l="1"/>
  <c r="G290" i="4" l="1"/>
  <c r="G291" i="3"/>
  <c r="G291" i="4" s="1"/>
  <c r="G292" i="3" l="1"/>
  <c r="G292" i="4" s="1"/>
  <c r="G293" i="3" l="1"/>
  <c r="G293" i="4" s="1"/>
  <c r="G294" i="3" l="1"/>
  <c r="G294" i="4" s="1"/>
  <c r="G295" i="3" l="1"/>
  <c r="G295" i="4" s="1"/>
  <c r="G296" i="3" l="1"/>
  <c r="G296" i="4" s="1"/>
  <c r="G297" i="3" l="1"/>
  <c r="G297" i="4" s="1"/>
  <c r="G298" i="3" l="1"/>
  <c r="G298" i="4" s="1"/>
  <c r="G299" i="3" l="1"/>
  <c r="G299" i="4" s="1"/>
  <c r="G300" i="3" l="1"/>
  <c r="G300" i="4" s="1"/>
  <c r="G301" i="3" l="1"/>
  <c r="G301" i="4" s="1"/>
  <c r="G302" i="3" l="1"/>
  <c r="G302" i="4" s="1"/>
  <c r="G303" i="3" l="1"/>
  <c r="G303" i="4" s="1"/>
  <c r="G304" i="3" l="1"/>
  <c r="G304" i="4" s="1"/>
  <c r="G305" i="3" l="1"/>
  <c r="G305" i="4" s="1"/>
  <c r="G306" i="3" l="1"/>
  <c r="G306" i="4" s="1"/>
  <c r="G307" i="3" l="1"/>
  <c r="G307" i="4" s="1"/>
  <c r="G308" i="3" l="1"/>
  <c r="G308" i="4" s="1"/>
  <c r="G309" i="3" l="1"/>
  <c r="G309" i="4" s="1"/>
  <c r="G310" i="3" l="1"/>
  <c r="G310" i="4" s="1"/>
  <c r="G311" i="3" l="1"/>
  <c r="G311" i="4" s="1"/>
  <c r="G312" i="3" l="1"/>
  <c r="G312" i="4" s="1"/>
  <c r="G313" i="3" l="1"/>
  <c r="G313" i="4" s="1"/>
  <c r="G314" i="3" l="1"/>
  <c r="G314" i="4" s="1"/>
  <c r="G315" i="3" l="1"/>
  <c r="G315" i="4" s="1"/>
  <c r="G316" i="3" l="1"/>
  <c r="G316" i="4" s="1"/>
  <c r="G317" i="3" l="1"/>
  <c r="G317" i="4" s="1"/>
  <c r="G318" i="3" l="1"/>
  <c r="G318" i="4" s="1"/>
  <c r="G319" i="3" l="1"/>
  <c r="G319" i="4" s="1"/>
  <c r="G320" i="3" l="1"/>
  <c r="G320" i="4" s="1"/>
  <c r="G321" i="3" l="1"/>
  <c r="G321" i="4" s="1"/>
  <c r="G322" i="3" l="1"/>
  <c r="G322" i="4" s="1"/>
  <c r="G323" i="3" l="1"/>
  <c r="G323" i="4" s="1"/>
  <c r="G324" i="3" l="1"/>
  <c r="G324" i="4" s="1"/>
  <c r="G325" i="3" l="1"/>
  <c r="G325" i="4" s="1"/>
  <c r="G326" i="3" l="1"/>
  <c r="G326" i="4" s="1"/>
  <c r="G327" i="3" l="1"/>
  <c r="G327" i="4" s="1"/>
  <c r="G328" i="3" l="1"/>
  <c r="G328" i="4" s="1"/>
  <c r="G329" i="3" l="1"/>
  <c r="G329" i="4" s="1"/>
  <c r="G330" i="3" l="1"/>
  <c r="G330" i="4" s="1"/>
  <c r="G331" i="3" l="1"/>
  <c r="G331" i="4" s="1"/>
  <c r="G332" i="3" l="1"/>
  <c r="G332" i="4" s="1"/>
  <c r="G333" i="3" l="1"/>
  <c r="G333" i="4" s="1"/>
  <c r="G334" i="3" l="1"/>
  <c r="G334" i="4" s="1"/>
  <c r="G335" i="3" l="1"/>
  <c r="G335" i="4" s="1"/>
  <c r="G336" i="3" l="1"/>
  <c r="G336" i="4" s="1"/>
  <c r="G337" i="3" l="1"/>
  <c r="G337" i="4" s="1"/>
  <c r="G338" i="3" l="1"/>
  <c r="G338" i="4" s="1"/>
  <c r="G339" i="3" l="1"/>
  <c r="G339" i="4" s="1"/>
  <c r="G340" i="3" l="1"/>
  <c r="G340" i="4" s="1"/>
  <c r="G341" i="3" l="1"/>
  <c r="G341" i="4" s="1"/>
  <c r="G342" i="3" l="1"/>
  <c r="G342" i="4" s="1"/>
  <c r="G343" i="3" l="1"/>
  <c r="G343" i="4" s="1"/>
  <c r="G344" i="3" l="1"/>
  <c r="G344" i="4" s="1"/>
  <c r="G345" i="3" l="1"/>
  <c r="G345" i="4" s="1"/>
  <c r="G346" i="3" l="1"/>
  <c r="G346" i="4" s="1"/>
  <c r="G347" i="3" l="1"/>
  <c r="G347" i="4" s="1"/>
  <c r="G348" i="3" l="1"/>
  <c r="G348" i="4" s="1"/>
  <c r="G349" i="3" l="1"/>
  <c r="G349" i="4" s="1"/>
  <c r="G350" i="3" l="1"/>
  <c r="G350" i="4" s="1"/>
  <c r="G351" i="3" l="1"/>
  <c r="G351" i="4" s="1"/>
  <c r="G352" i="3" l="1"/>
  <c r="G352" i="4" s="1"/>
  <c r="G353" i="3" l="1"/>
  <c r="G353" i="4" s="1"/>
  <c r="G354" i="3" l="1"/>
  <c r="G354" i="4" s="1"/>
  <c r="G355" i="3" l="1"/>
  <c r="G355" i="4" s="1"/>
  <c r="G356" i="3" l="1"/>
  <c r="G356" i="4" s="1"/>
  <c r="G357" i="3" l="1"/>
  <c r="G357" i="4" s="1"/>
  <c r="G358" i="3" l="1"/>
  <c r="G358" i="4" s="1"/>
  <c r="G359" i="3" l="1"/>
  <c r="G359" i="4" s="1"/>
  <c r="G360" i="3" l="1"/>
  <c r="G360" i="4" s="1"/>
  <c r="G361" i="3" l="1"/>
  <c r="G361" i="4" s="1"/>
  <c r="G362" i="3" l="1"/>
  <c r="G362" i="4" s="1"/>
  <c r="G363" i="3" l="1"/>
  <c r="G363" i="4" s="1"/>
  <c r="G364" i="3" l="1"/>
  <c r="G364" i="4" s="1"/>
  <c r="G365" i="3" l="1"/>
  <c r="G365" i="4" s="1"/>
  <c r="G366" i="3" l="1"/>
  <c r="G366" i="4" s="1"/>
  <c r="G367" i="3" l="1"/>
  <c r="G367" i="4" s="1"/>
  <c r="G368" i="3" l="1"/>
  <c r="G368" i="4" s="1"/>
  <c r="G369" i="3" l="1"/>
  <c r="G369" i="4" s="1"/>
  <c r="G370" i="3" l="1"/>
  <c r="G370" i="4" s="1"/>
  <c r="G371" i="3" l="1"/>
  <c r="G371" i="4" s="1"/>
  <c r="G372" i="3" l="1"/>
  <c r="G372" i="4" s="1"/>
  <c r="G373" i="3" l="1"/>
  <c r="G373" i="4" s="1"/>
  <c r="G374" i="3" l="1"/>
  <c r="G374" i="4" s="1"/>
  <c r="G375" i="3" l="1"/>
  <c r="G375" i="4" s="1"/>
  <c r="G376" i="3" l="1"/>
  <c r="G376" i="4" s="1"/>
  <c r="G377" i="3" l="1"/>
  <c r="G377" i="4" s="1"/>
  <c r="G378" i="3" l="1"/>
  <c r="G378" i="4" s="1"/>
  <c r="G379" i="3" l="1"/>
  <c r="G379" i="4" s="1"/>
  <c r="G380" i="3" l="1"/>
  <c r="G380" i="4" s="1"/>
  <c r="G381" i="3" l="1"/>
  <c r="G381" i="4" s="1"/>
  <c r="G382" i="3" l="1"/>
  <c r="G382" i="4" s="1"/>
  <c r="G383" i="3" l="1"/>
  <c r="G383" i="4" s="1"/>
  <c r="G384" i="3" l="1"/>
  <c r="G384" i="4" s="1"/>
  <c r="G385" i="3" l="1"/>
  <c r="G385" i="4" s="1"/>
  <c r="G386" i="3" l="1"/>
  <c r="G386" i="4" s="1"/>
  <c r="G387" i="3" l="1"/>
  <c r="G387" i="4" s="1"/>
  <c r="G388" i="3" l="1"/>
  <c r="G388" i="4" s="1"/>
  <c r="G389" i="3" l="1"/>
  <c r="G389" i="4" s="1"/>
  <c r="G390" i="3" l="1"/>
  <c r="G390" i="4" s="1"/>
  <c r="G391" i="3" l="1"/>
  <c r="G391" i="4" s="1"/>
  <c r="G392" i="3" l="1"/>
  <c r="G392" i="4" s="1"/>
  <c r="G393" i="3" l="1"/>
  <c r="G393" i="4" s="1"/>
  <c r="G394" i="3" l="1"/>
  <c r="G394" i="4" s="1"/>
  <c r="G395" i="3" l="1"/>
  <c r="G395" i="4" s="1"/>
  <c r="G396" i="3" l="1"/>
  <c r="G396" i="4" s="1"/>
  <c r="G397" i="3" l="1"/>
  <c r="G397" i="4" s="1"/>
  <c r="G398" i="3" l="1"/>
  <c r="G398" i="4" s="1"/>
  <c r="G399" i="3" l="1"/>
  <c r="G399" i="4" s="1"/>
  <c r="G400" i="3" l="1"/>
  <c r="G400" i="4" s="1"/>
  <c r="G401" i="3" l="1"/>
  <c r="G401" i="4" s="1"/>
  <c r="G402" i="3" l="1"/>
  <c r="G402" i="4" s="1"/>
  <c r="G403" i="3" l="1"/>
  <c r="G403" i="4" s="1"/>
  <c r="G404" i="3" l="1"/>
  <c r="G404" i="4" s="1"/>
  <c r="G405" i="3" l="1"/>
  <c r="G405" i="4" s="1"/>
  <c r="G406" i="3" l="1"/>
  <c r="G406" i="4" s="1"/>
  <c r="G407" i="3" l="1"/>
  <c r="G407" i="4" s="1"/>
  <c r="G408" i="3" l="1"/>
  <c r="G408" i="4" s="1"/>
  <c r="G409" i="3" l="1"/>
  <c r="G409" i="4" s="1"/>
  <c r="G410" i="3" l="1"/>
  <c r="G410" i="4" s="1"/>
  <c r="G411" i="3" l="1"/>
  <c r="G411" i="4" s="1"/>
  <c r="G412" i="3" l="1"/>
  <c r="G412" i="4" s="1"/>
  <c r="G413" i="3" l="1"/>
  <c r="G413" i="4" s="1"/>
  <c r="G414" i="3" l="1"/>
  <c r="G414" i="4" s="1"/>
  <c r="G415" i="3" l="1"/>
  <c r="G415" i="4" s="1"/>
  <c r="G416" i="3" l="1"/>
  <c r="G416" i="4" s="1"/>
  <c r="G417" i="3" l="1"/>
  <c r="G417" i="4" s="1"/>
  <c r="G418" i="3" l="1"/>
  <c r="G418" i="4" s="1"/>
  <c r="G419" i="3" l="1"/>
  <c r="G419" i="4" s="1"/>
  <c r="A16" i="7" l="1"/>
  <c r="A17" i="7"/>
  <c r="G420" i="3"/>
  <c r="G420" i="4" s="1"/>
  <c r="G421" i="3" l="1"/>
  <c r="G421" i="4" s="1"/>
  <c r="G422" i="3" l="1"/>
  <c r="G422" i="4" s="1"/>
  <c r="G423" i="3" l="1"/>
  <c r="G423" i="4" s="1"/>
  <c r="G424" i="3" l="1"/>
  <c r="G424" i="4" s="1"/>
  <c r="G425" i="3" l="1"/>
  <c r="G425" i="4" s="1"/>
  <c r="B12" i="2" s="1"/>
</calcChain>
</file>

<file path=xl/sharedStrings.xml><?xml version="1.0" encoding="utf-8"?>
<sst xmlns="http://schemas.openxmlformats.org/spreadsheetml/2006/main" count="5453" uniqueCount="1054">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</sst>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[$-409]d\-mmm\-yy;@"/>
    <numFmt numFmtId="167" formatCode="_(&quot;$&quot;* #,##0_);_(&quot;$&quot;* \(#,##0\);_(&quot;$&quot;* &quot;-&quot;??_);_(@_)"/>
  </numFmts>
  <fonts count="2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42" fontId="18" fillId="0" borderId="10" xfId="0" applyNumberFormat="1" applyFont="1" applyBorder="1" applyAlignment="1">
      <alignment horizontal="center"/>
    </xf>
    <xf numFmtId="166" fontId="18" fillId="0" borderId="10" xfId="1" applyNumberFormat="1" applyFont="1" applyFill="1" applyBorder="1" applyAlignment="1">
      <alignment horizontal="center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7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7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693420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CORN FLOUR 300GX6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1472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140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57150</xdr:rowOff>
    </xdr:from>
    <xdr:to>
      <xdr:col>10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0.029486342595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I427" totalsRowShown="0" headerRowDxfId="44" dataDxfId="43">
  <tableColumns count="9">
    <tableColumn id="1" name="S No." dataDxfId="42"/>
    <tableColumn id="2" name="Date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9" name="Expiry" dataDxfId="36" dataCellStyle="Normal 5">
      <calculatedColumnFormula>11/23/2019</calculatedColumnFormula>
    </tableColumn>
    <tableColumn id="7" name="Quantity" dataDxfId="35"/>
    <tableColumn id="8" name="Value" dataDxfId="3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7" totalsRowShown="0" headerRowDxfId="33" dataDxfId="32">
  <tableColumns count="8">
    <tableColumn id="1" name="S No." dataDxfId="31"/>
    <tableColumn id="2" name="Date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autoFilter ref="A1:J426"/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tabSelected="1" zoomScaleNormal="100" workbookViewId="0">
      <selection activeCell="Q17" sqref="Q17:R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2.25" customWidth="1"/>
    <col min="17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2" t="s">
        <v>84</v>
      </c>
      <c r="L14" s="82"/>
      <c r="M14" s="82"/>
      <c r="N14" s="79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0"/>
      <c r="B17" s="80"/>
      <c r="C17" s="80"/>
      <c r="D17" s="85" t="s">
        <v>880</v>
      </c>
      <c r="E17" s="85"/>
      <c r="F17" s="83">
        <v>44495</v>
      </c>
      <c r="G17" s="83"/>
      <c r="H17" s="84" t="str">
        <f>TEXT(F17,"DDD")</f>
        <v>Tue</v>
      </c>
      <c r="I17" s="84"/>
      <c r="J17" s="14"/>
      <c r="K17" s="14"/>
      <c r="L17" s="14"/>
      <c r="M17" s="14"/>
      <c r="N17" s="14"/>
      <c r="O17" s="14"/>
      <c r="P17" s="38" t="s">
        <v>873</v>
      </c>
      <c r="Q17" s="81">
        <f>IFERROR(Help!F9,"")</f>
        <v>43975</v>
      </c>
      <c r="R17" s="81"/>
      <c r="S17" s="14"/>
    </row>
    <row r="18" spans="1:19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14"/>
      <c r="K18" s="14"/>
      <c r="L18" s="14"/>
      <c r="M18" s="14"/>
      <c r="N18" s="14"/>
      <c r="O18" s="14"/>
      <c r="S18" s="14"/>
    </row>
    <row r="19" spans="1:19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43770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43800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1472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140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32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BGD CORN FLOUR 300GX6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VLOOKUP(B7,StockIn!$A$1:$I$427,7,0)</f>
        <v>43975</v>
      </c>
    </row>
    <row r="10" spans="1:7" x14ac:dyDescent="0.25">
      <c r="A10" t="s">
        <v>20</v>
      </c>
      <c r="B10">
        <f>VLOOKUP(B7,ProductMaster!$A$1:$J$426,9,0)</f>
        <v>50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50 Unit(s). And, Stock Value is $10</v>
      </c>
    </row>
    <row r="13" spans="1:7" x14ac:dyDescent="0.25">
      <c r="A13" t="s">
        <v>19</v>
      </c>
      <c r="B13" t="str">
        <f>B8&amp;"'s"</f>
        <v>BGD CORN FLOUR 300GX6's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7" sqref="B7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86"/>
      <c r="B4" s="86"/>
      <c r="C4" s="43"/>
    </row>
    <row r="5" spans="1:3" s="25" customFormat="1" ht="27.75" customHeight="1" x14ac:dyDescent="0.25">
      <c r="A5" s="26" t="s">
        <v>0</v>
      </c>
      <c r="B5" s="40" t="str">
        <f>IF(B9="","",(MAX(StockInData[S No.])+1))</f>
        <v/>
      </c>
      <c r="C5" s="44"/>
    </row>
    <row r="6" spans="1:3" s="25" customFormat="1" ht="27.75" customHeight="1" x14ac:dyDescent="0.25">
      <c r="A6" s="26" t="s">
        <v>880</v>
      </c>
      <c r="B6" s="76"/>
      <c r="C6" s="44"/>
    </row>
    <row r="7" spans="1:3" s="25" customFormat="1" ht="27.75" customHeight="1" x14ac:dyDescent="0.25">
      <c r="A7" s="26" t="s">
        <v>1046</v>
      </c>
      <c r="B7" s="40" t="str">
        <f>IFERROR(INDEX(ProductMaster!$B$2:INDEX(ProductMaster!$B:$B,COUNTA(ProductMaster!$B:$B)),MATCH(EnterStockIn!B8,ProductMaster!$C$2:INDEX(ProductMaster!$C:$C,COUNTA(ProductMaster!$C:$C)),0),0),"")</f>
        <v/>
      </c>
      <c r="C7" s="44"/>
    </row>
    <row r="8" spans="1:3" s="25" customFormat="1" ht="27.75" customHeight="1" x14ac:dyDescent="0.25">
      <c r="A8" s="26" t="s">
        <v>1047</v>
      </c>
      <c r="B8" s="40" t="str">
        <f>IFERROR(INDEX(ProductMaster!$B$2:INDEX(ProductMaster!$B:$B,COUNTA(ProductMaster!$B:$B)),MATCH(EnterStockIn!B9,ProductMaster!$C$2:INDEX(ProductMaster!$C:$C,COUNTA(ProductMaster!$C:$C)),0),0),"")</f>
        <v/>
      </c>
      <c r="C8" s="44"/>
    </row>
    <row r="9" spans="1:3" s="25" customFormat="1" ht="27.75" customHeight="1" x14ac:dyDescent="0.25">
      <c r="A9" s="26" t="s">
        <v>1048</v>
      </c>
      <c r="B9" s="71"/>
      <c r="C9" s="44"/>
    </row>
    <row r="10" spans="1:3" s="25" customFormat="1" ht="27.75" customHeight="1" x14ac:dyDescent="0.25">
      <c r="A10" s="26" t="s">
        <v>1049</v>
      </c>
      <c r="B10" s="40" t="str">
        <f>IFERROR(INDEX(ProductMaster!$D$2:INDEX(ProductMaster!$D:$D,COUNTA(ProductMaster!$D:$D)),MATCH(EnterStockIn!B9,ProductMaster!$C$2:INDEX(ProductMaster!$C:$C,COUNTA(ProductMaster!$C:$C)),0),0),"")</f>
        <v/>
      </c>
      <c r="C10" s="44"/>
    </row>
    <row r="11" spans="1:3" s="25" customFormat="1" ht="27.75" customHeight="1" x14ac:dyDescent="0.25">
      <c r="A11" s="26" t="s">
        <v>1050</v>
      </c>
      <c r="B11" s="40" t="str">
        <f>IFERROR(INDEX(ProductMaster!$E$2:INDEX(ProductMaster!$E:$E,COUNTA(ProductMaster!$E:$E)),MATCH(EnterStockIn!B9,ProductMaster!$C$2:INDEX(ProductMaster!$C:$C,COUNTA(ProductMaster!$C:$C)),0),0),"")</f>
        <v/>
      </c>
      <c r="C11" s="44"/>
    </row>
    <row r="12" spans="1:3" s="25" customFormat="1" ht="27.75" customHeight="1" x14ac:dyDescent="0.25">
      <c r="A12" s="26" t="s">
        <v>873</v>
      </c>
      <c r="B12" s="40" t="str">
        <f>IFERROR(INDEX(ProductMaster!$G$2:INDEX(ProductMaster!$G:$G,COUNTA(ProductMaster!$G:$G)),MATCH(EnterStockIn!B9,ProductMaster!$C$2:INDEX(ProductMaster!$C:$C,COUNTA(ProductMaster!$C:$C)),0),0),"")</f>
        <v/>
      </c>
      <c r="C12" s="44"/>
    </row>
    <row r="13" spans="1:3" s="25" customFormat="1" ht="27.75" customHeight="1" x14ac:dyDescent="0.25">
      <c r="A13" s="26" t="s">
        <v>1051</v>
      </c>
      <c r="B13" s="42"/>
      <c r="C13" s="44"/>
    </row>
    <row r="14" spans="1:3" s="25" customFormat="1" ht="27.75" customHeight="1" x14ac:dyDescent="0.25">
      <c r="A14" s="26" t="s">
        <v>7</v>
      </c>
      <c r="B14" s="70" t="str">
        <f>IFERROR(INDEX(ProductMaster!$F$2:INDEX(ProductMaster!$F:$F,COUNTA(ProductMaster!$F:$F)),MATCH(EnterStockIn!B9,ProductMaster!$C$2:INDEX(ProductMaster!$C:$C,COUNTA(ProductMaster!$C:$C)),0),0)*B13,"")</f>
        <v/>
      </c>
      <c r="C14" s="44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40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76" t="str">
        <f ca="1">IF(B9="","",TODAY())</f>
        <v/>
      </c>
      <c r="C6" s="14"/>
    </row>
    <row r="7" spans="1:3" ht="27" customHeight="1" x14ac:dyDescent="0.25">
      <c r="A7" s="26" t="s">
        <v>1052</v>
      </c>
      <c r="B7" s="41"/>
      <c r="C7" s="14"/>
    </row>
    <row r="8" spans="1:3" s="78" customFormat="1" ht="27" customHeight="1" x14ac:dyDescent="0.25">
      <c r="A8" s="26" t="s">
        <v>1047</v>
      </c>
      <c r="B8" s="40" t="str">
        <f>IFERROR(INDEX(ProductMaster!$B$2:INDEX(ProductMaster!$B:$B,COUNTA(ProductMaster!$B:$B)),MATCH(EnterStockOut!B9,ProductMaster!$C$2:INDEX(ProductMaster!$C:$C,COUNTA(ProductMaster!$C:$C)),0),0),"")</f>
        <v/>
      </c>
      <c r="C8" s="77"/>
    </row>
    <row r="9" spans="1:3" ht="27" customHeight="1" x14ac:dyDescent="0.25">
      <c r="A9" s="26" t="s">
        <v>1048</v>
      </c>
      <c r="B9" s="73"/>
      <c r="C9" s="14"/>
    </row>
    <row r="10" spans="1:3" ht="27" customHeight="1" x14ac:dyDescent="0.25">
      <c r="A10" s="26" t="s">
        <v>1049</v>
      </c>
      <c r="B10" s="40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40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2"/>
      <c r="C12" s="14"/>
    </row>
    <row r="13" spans="1:3" ht="27" customHeight="1" thickBot="1" x14ac:dyDescent="0.3">
      <c r="A13" s="74" t="s">
        <v>1053</v>
      </c>
      <c r="B13" s="75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27"/>
  <sheetViews>
    <sheetView showGridLines="0" workbookViewId="0">
      <pane xSplit="9" ySplit="3" topLeftCell="J414" activePane="bottomRight" state="frozen"/>
      <selection pane="topRight" activeCell="J1" sqref="J1"/>
      <selection pane="bottomLeft" activeCell="A4" sqref="A4"/>
      <selection pane="bottomRight" activeCell="A427" sqref="A427:I42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42.875" style="1" customWidth="1"/>
    <col min="5" max="5" width="17.125" style="1" customWidth="1"/>
    <col min="6" max="7" width="17.125" customWidth="1"/>
    <col min="8" max="8" width="7.125" customWidth="1"/>
    <col min="9" max="9" width="12.25" customWidth="1"/>
  </cols>
  <sheetData>
    <row r="1" spans="1:13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872</v>
      </c>
      <c r="H1" s="2" t="s">
        <v>6</v>
      </c>
      <c r="I1" s="2" t="s">
        <v>7</v>
      </c>
    </row>
    <row r="2" spans="1:13" x14ac:dyDescent="0.25">
      <c r="A2" s="33">
        <v>1</v>
      </c>
      <c r="B2" s="34">
        <v>43410</v>
      </c>
      <c r="C2" s="29" t="s">
        <v>21</v>
      </c>
      <c r="D2" s="30" t="s">
        <v>22</v>
      </c>
      <c r="E2" s="29" t="s">
        <v>869</v>
      </c>
      <c r="F2" s="29" t="s">
        <v>870</v>
      </c>
      <c r="G2" s="37">
        <v>43913</v>
      </c>
      <c r="H2" s="33">
        <v>60</v>
      </c>
      <c r="I2" s="35">
        <f>StockInData[[#This Row],[Quantity]]*2.5</f>
        <v>150</v>
      </c>
      <c r="M2" s="36">
        <f>StockInData[[#This Row],[Expiry]]+60</f>
        <v>43973</v>
      </c>
    </row>
    <row r="3" spans="1:13" x14ac:dyDescent="0.25">
      <c r="A3" s="33">
        <v>2</v>
      </c>
      <c r="B3" s="34">
        <f>B2+1</f>
        <v>43411</v>
      </c>
      <c r="C3" s="29" t="s">
        <v>23</v>
      </c>
      <c r="D3" s="30" t="s">
        <v>24</v>
      </c>
      <c r="E3" s="29" t="s">
        <v>869</v>
      </c>
      <c r="F3" s="29" t="s">
        <v>870</v>
      </c>
      <c r="G3" s="37">
        <f>G2+2</f>
        <v>43915</v>
      </c>
      <c r="H3" s="33">
        <v>40</v>
      </c>
      <c r="I3" s="35">
        <f>StockInData[[#This Row],[Quantity]]*2.5</f>
        <v>100</v>
      </c>
    </row>
    <row r="4" spans="1:13" x14ac:dyDescent="0.25">
      <c r="A4" s="33">
        <v>3</v>
      </c>
      <c r="B4" s="34">
        <f>B3+1</f>
        <v>43412</v>
      </c>
      <c r="C4" s="29" t="s">
        <v>25</v>
      </c>
      <c r="D4" s="30" t="s">
        <v>26</v>
      </c>
      <c r="E4" s="29" t="s">
        <v>869</v>
      </c>
      <c r="F4" s="29" t="s">
        <v>870</v>
      </c>
      <c r="G4" s="37">
        <f t="shared" ref="G4:G67" si="0">G3+2</f>
        <v>43917</v>
      </c>
      <c r="H4" s="33">
        <v>30</v>
      </c>
      <c r="I4" s="35">
        <f>StockInData[[#This Row],[Quantity]]*2.5</f>
        <v>75</v>
      </c>
    </row>
    <row r="5" spans="1:13" x14ac:dyDescent="0.25">
      <c r="A5" s="33">
        <v>4</v>
      </c>
      <c r="B5" s="34">
        <f t="shared" ref="B5:B68" si="1">B4+1</f>
        <v>43413</v>
      </c>
      <c r="C5" s="29" t="s">
        <v>27</v>
      </c>
      <c r="D5" s="30" t="s">
        <v>28</v>
      </c>
      <c r="E5" s="29" t="s">
        <v>869</v>
      </c>
      <c r="F5" s="29" t="s">
        <v>870</v>
      </c>
      <c r="G5" s="37">
        <f t="shared" si="0"/>
        <v>43919</v>
      </c>
      <c r="H5" s="33">
        <v>25</v>
      </c>
      <c r="I5" s="35">
        <f>StockInData[[#This Row],[Quantity]]*2.5</f>
        <v>62.5</v>
      </c>
    </row>
    <row r="6" spans="1:13" x14ac:dyDescent="0.25">
      <c r="A6" s="33">
        <v>5</v>
      </c>
      <c r="B6" s="34">
        <f t="shared" si="1"/>
        <v>43414</v>
      </c>
      <c r="C6" s="29" t="s">
        <v>29</v>
      </c>
      <c r="D6" s="30" t="s">
        <v>30</v>
      </c>
      <c r="E6" s="29" t="s">
        <v>869</v>
      </c>
      <c r="F6" s="29" t="s">
        <v>870</v>
      </c>
      <c r="G6" s="37">
        <f t="shared" si="0"/>
        <v>43921</v>
      </c>
      <c r="H6" s="33">
        <v>20</v>
      </c>
      <c r="I6" s="35">
        <f>StockInData[[#This Row],[Quantity]]*2.5</f>
        <v>50</v>
      </c>
    </row>
    <row r="7" spans="1:13" x14ac:dyDescent="0.25">
      <c r="A7" s="33">
        <v>6</v>
      </c>
      <c r="B7" s="34">
        <f t="shared" si="1"/>
        <v>43415</v>
      </c>
      <c r="C7" s="29" t="s">
        <v>31</v>
      </c>
      <c r="D7" s="30" t="s">
        <v>32</v>
      </c>
      <c r="E7" s="29" t="s">
        <v>869</v>
      </c>
      <c r="F7" s="29" t="s">
        <v>870</v>
      </c>
      <c r="G7" s="37">
        <f t="shared" si="0"/>
        <v>43923</v>
      </c>
      <c r="H7" s="33">
        <v>19</v>
      </c>
      <c r="I7" s="35">
        <f>StockInData[[#This Row],[Quantity]]*2.5</f>
        <v>47.5</v>
      </c>
      <c r="K7" s="36"/>
    </row>
    <row r="8" spans="1:13" x14ac:dyDescent="0.25">
      <c r="A8" s="33">
        <v>7</v>
      </c>
      <c r="B8" s="34">
        <f t="shared" si="1"/>
        <v>43416</v>
      </c>
      <c r="C8" s="29" t="s">
        <v>33</v>
      </c>
      <c r="D8" s="30" t="s">
        <v>34</v>
      </c>
      <c r="E8" s="29" t="s">
        <v>869</v>
      </c>
      <c r="F8" s="29" t="s">
        <v>870</v>
      </c>
      <c r="G8" s="37">
        <f t="shared" si="0"/>
        <v>43925</v>
      </c>
      <c r="H8" s="33">
        <v>23</v>
      </c>
      <c r="I8" s="35">
        <f>StockInData[[#This Row],[Quantity]]*2.5</f>
        <v>57.5</v>
      </c>
    </row>
    <row r="9" spans="1:13" x14ac:dyDescent="0.25">
      <c r="A9" s="33">
        <v>8</v>
      </c>
      <c r="B9" s="34">
        <f t="shared" si="1"/>
        <v>43417</v>
      </c>
      <c r="C9" s="29" t="s">
        <v>35</v>
      </c>
      <c r="D9" s="30" t="s">
        <v>36</v>
      </c>
      <c r="E9" s="29" t="s">
        <v>869</v>
      </c>
      <c r="F9" s="29" t="s">
        <v>870</v>
      </c>
      <c r="G9" s="37">
        <f t="shared" si="0"/>
        <v>43927</v>
      </c>
      <c r="H9" s="33">
        <v>65</v>
      </c>
      <c r="I9" s="35">
        <f>StockInData[[#This Row],[Quantity]]*2.5</f>
        <v>162.5</v>
      </c>
    </row>
    <row r="10" spans="1:13" x14ac:dyDescent="0.25">
      <c r="A10" s="33">
        <v>9</v>
      </c>
      <c r="B10" s="34">
        <f t="shared" si="1"/>
        <v>43418</v>
      </c>
      <c r="C10" s="29" t="s">
        <v>37</v>
      </c>
      <c r="D10" s="30" t="s">
        <v>38</v>
      </c>
      <c r="E10" s="29" t="s">
        <v>869</v>
      </c>
      <c r="F10" s="29" t="s">
        <v>870</v>
      </c>
      <c r="G10" s="37">
        <f t="shared" si="0"/>
        <v>43929</v>
      </c>
      <c r="H10" s="33">
        <v>74</v>
      </c>
      <c r="I10" s="35">
        <f>StockInData[[#This Row],[Quantity]]*2.5</f>
        <v>185</v>
      </c>
    </row>
    <row r="11" spans="1:13" x14ac:dyDescent="0.25">
      <c r="A11" s="33">
        <v>10</v>
      </c>
      <c r="B11" s="34">
        <f t="shared" si="1"/>
        <v>43419</v>
      </c>
      <c r="C11" s="29" t="s">
        <v>39</v>
      </c>
      <c r="D11" s="30" t="s">
        <v>40</v>
      </c>
      <c r="E11" s="29" t="s">
        <v>869</v>
      </c>
      <c r="F11" s="29" t="s">
        <v>870</v>
      </c>
      <c r="G11" s="37">
        <f t="shared" si="0"/>
        <v>43931</v>
      </c>
      <c r="H11" s="33">
        <v>84</v>
      </c>
      <c r="I11" s="35">
        <f>StockInData[[#This Row],[Quantity]]*2.5</f>
        <v>210</v>
      </c>
    </row>
    <row r="12" spans="1:13" x14ac:dyDescent="0.25">
      <c r="A12" s="33">
        <v>11</v>
      </c>
      <c r="B12" s="34">
        <f t="shared" si="1"/>
        <v>43420</v>
      </c>
      <c r="C12" s="29" t="s">
        <v>41</v>
      </c>
      <c r="D12" s="30" t="s">
        <v>42</v>
      </c>
      <c r="E12" s="29" t="s">
        <v>869</v>
      </c>
      <c r="F12" s="29" t="s">
        <v>870</v>
      </c>
      <c r="G12" s="37">
        <f t="shared" si="0"/>
        <v>43933</v>
      </c>
      <c r="H12" s="33">
        <v>99</v>
      </c>
      <c r="I12" s="35">
        <f>StockInData[[#This Row],[Quantity]]*2.5</f>
        <v>247.5</v>
      </c>
    </row>
    <row r="13" spans="1:13" x14ac:dyDescent="0.25">
      <c r="A13" s="33">
        <v>12</v>
      </c>
      <c r="B13" s="34">
        <f t="shared" si="1"/>
        <v>43421</v>
      </c>
      <c r="C13" s="29" t="s">
        <v>43</v>
      </c>
      <c r="D13" s="30" t="s">
        <v>44</v>
      </c>
      <c r="E13" s="29" t="s">
        <v>869</v>
      </c>
      <c r="F13" s="29" t="s">
        <v>870</v>
      </c>
      <c r="G13" s="37">
        <f t="shared" si="0"/>
        <v>43935</v>
      </c>
      <c r="H13" s="33">
        <v>101</v>
      </c>
      <c r="I13" s="35">
        <f>StockInData[[#This Row],[Quantity]]*2.5</f>
        <v>252.5</v>
      </c>
    </row>
    <row r="14" spans="1:13" x14ac:dyDescent="0.25">
      <c r="A14" s="33">
        <v>13</v>
      </c>
      <c r="B14" s="34">
        <f t="shared" si="1"/>
        <v>43422</v>
      </c>
      <c r="C14" s="29" t="s">
        <v>45</v>
      </c>
      <c r="D14" s="30" t="s">
        <v>46</v>
      </c>
      <c r="E14" s="29" t="s">
        <v>869</v>
      </c>
      <c r="F14" s="29" t="s">
        <v>870</v>
      </c>
      <c r="G14" s="37">
        <f t="shared" si="0"/>
        <v>43937</v>
      </c>
      <c r="H14" s="33">
        <v>60</v>
      </c>
      <c r="I14" s="35">
        <f>StockInData[[#This Row],[Quantity]]*2.5</f>
        <v>150</v>
      </c>
    </row>
    <row r="15" spans="1:13" x14ac:dyDescent="0.25">
      <c r="A15" s="33">
        <v>14</v>
      </c>
      <c r="B15" s="34">
        <f t="shared" si="1"/>
        <v>43423</v>
      </c>
      <c r="C15" s="29" t="s">
        <v>47</v>
      </c>
      <c r="D15" s="30" t="s">
        <v>48</v>
      </c>
      <c r="E15" s="29" t="s">
        <v>869</v>
      </c>
      <c r="F15" s="29" t="s">
        <v>870</v>
      </c>
      <c r="G15" s="37">
        <f t="shared" si="0"/>
        <v>43939</v>
      </c>
      <c r="H15" s="33">
        <v>40</v>
      </c>
      <c r="I15" s="35">
        <f>StockInData[[#This Row],[Quantity]]*2.5</f>
        <v>100</v>
      </c>
    </row>
    <row r="16" spans="1:13" x14ac:dyDescent="0.25">
      <c r="A16" s="33">
        <v>15</v>
      </c>
      <c r="B16" s="34">
        <f t="shared" si="1"/>
        <v>43424</v>
      </c>
      <c r="C16" s="29" t="s">
        <v>49</v>
      </c>
      <c r="D16" s="30" t="s">
        <v>50</v>
      </c>
      <c r="E16" s="29" t="s">
        <v>869</v>
      </c>
      <c r="F16" s="29" t="s">
        <v>870</v>
      </c>
      <c r="G16" s="37">
        <f t="shared" si="0"/>
        <v>43941</v>
      </c>
      <c r="H16" s="33">
        <v>30</v>
      </c>
      <c r="I16" s="35">
        <f>StockInData[[#This Row],[Quantity]]*2.5</f>
        <v>75</v>
      </c>
    </row>
    <row r="17" spans="1:9" x14ac:dyDescent="0.25">
      <c r="A17" s="33">
        <v>16</v>
      </c>
      <c r="B17" s="34">
        <f t="shared" si="1"/>
        <v>43425</v>
      </c>
      <c r="C17" s="29" t="s">
        <v>51</v>
      </c>
      <c r="D17" s="30" t="s">
        <v>52</v>
      </c>
      <c r="E17" s="29" t="s">
        <v>869</v>
      </c>
      <c r="F17" s="29" t="s">
        <v>870</v>
      </c>
      <c r="G17" s="37">
        <f t="shared" si="0"/>
        <v>43943</v>
      </c>
      <c r="H17" s="33">
        <v>25</v>
      </c>
      <c r="I17" s="35">
        <f>StockInData[[#This Row],[Quantity]]*2.5</f>
        <v>62.5</v>
      </c>
    </row>
    <row r="18" spans="1:9" x14ac:dyDescent="0.25">
      <c r="A18" s="33">
        <v>17</v>
      </c>
      <c r="B18" s="34">
        <f t="shared" si="1"/>
        <v>43426</v>
      </c>
      <c r="C18" s="29" t="s">
        <v>53</v>
      </c>
      <c r="D18" s="30" t="s">
        <v>54</v>
      </c>
      <c r="E18" s="29" t="s">
        <v>869</v>
      </c>
      <c r="F18" s="29" t="s">
        <v>870</v>
      </c>
      <c r="G18" s="37">
        <f t="shared" si="0"/>
        <v>43945</v>
      </c>
      <c r="H18" s="33">
        <v>20</v>
      </c>
      <c r="I18" s="35">
        <f>StockInData[[#This Row],[Quantity]]*2.5</f>
        <v>50</v>
      </c>
    </row>
    <row r="19" spans="1:9" x14ac:dyDescent="0.25">
      <c r="A19" s="33">
        <v>18</v>
      </c>
      <c r="B19" s="34">
        <f t="shared" si="1"/>
        <v>43427</v>
      </c>
      <c r="C19" s="29" t="s">
        <v>55</v>
      </c>
      <c r="D19" s="30" t="s">
        <v>56</v>
      </c>
      <c r="E19" s="29" t="s">
        <v>869</v>
      </c>
      <c r="F19" s="29" t="s">
        <v>870</v>
      </c>
      <c r="G19" s="37">
        <f t="shared" si="0"/>
        <v>43947</v>
      </c>
      <c r="H19" s="33">
        <v>19</v>
      </c>
      <c r="I19" s="35">
        <f>StockInData[[#This Row],[Quantity]]*2.5</f>
        <v>47.5</v>
      </c>
    </row>
    <row r="20" spans="1:9" x14ac:dyDescent="0.25">
      <c r="A20" s="33">
        <v>19</v>
      </c>
      <c r="B20" s="34">
        <f t="shared" si="1"/>
        <v>43428</v>
      </c>
      <c r="C20" s="29" t="s">
        <v>57</v>
      </c>
      <c r="D20" s="30" t="s">
        <v>58</v>
      </c>
      <c r="E20" s="29" t="s">
        <v>869</v>
      </c>
      <c r="F20" s="29" t="s">
        <v>870</v>
      </c>
      <c r="G20" s="37">
        <f t="shared" si="0"/>
        <v>43949</v>
      </c>
      <c r="H20" s="33">
        <v>23</v>
      </c>
      <c r="I20" s="35">
        <f>StockInData[[#This Row],[Quantity]]*2.5</f>
        <v>57.5</v>
      </c>
    </row>
    <row r="21" spans="1:9" x14ac:dyDescent="0.25">
      <c r="A21" s="33">
        <v>20</v>
      </c>
      <c r="B21" s="34">
        <f t="shared" si="1"/>
        <v>43429</v>
      </c>
      <c r="C21" s="29" t="s">
        <v>59</v>
      </c>
      <c r="D21" s="30" t="s">
        <v>60</v>
      </c>
      <c r="E21" s="29" t="s">
        <v>869</v>
      </c>
      <c r="F21" s="29" t="s">
        <v>870</v>
      </c>
      <c r="G21" s="37">
        <f t="shared" si="0"/>
        <v>43951</v>
      </c>
      <c r="H21" s="33">
        <v>65</v>
      </c>
      <c r="I21" s="35">
        <f>StockInData[[#This Row],[Quantity]]*2.5</f>
        <v>162.5</v>
      </c>
    </row>
    <row r="22" spans="1:9" x14ac:dyDescent="0.25">
      <c r="A22" s="33">
        <v>21</v>
      </c>
      <c r="B22" s="34">
        <f t="shared" si="1"/>
        <v>43430</v>
      </c>
      <c r="C22" s="29" t="s">
        <v>61</v>
      </c>
      <c r="D22" s="30" t="s">
        <v>62</v>
      </c>
      <c r="E22" s="29" t="s">
        <v>869</v>
      </c>
      <c r="F22" s="29" t="s">
        <v>870</v>
      </c>
      <c r="G22" s="37">
        <f t="shared" si="0"/>
        <v>43953</v>
      </c>
      <c r="H22" s="33">
        <v>74</v>
      </c>
      <c r="I22" s="35">
        <f>StockInData[[#This Row],[Quantity]]*2.5</f>
        <v>185</v>
      </c>
    </row>
    <row r="23" spans="1:9" x14ac:dyDescent="0.25">
      <c r="A23" s="33">
        <v>22</v>
      </c>
      <c r="B23" s="34">
        <f t="shared" si="1"/>
        <v>43431</v>
      </c>
      <c r="C23" s="29" t="s">
        <v>63</v>
      </c>
      <c r="D23" s="30" t="s">
        <v>64</v>
      </c>
      <c r="E23" s="29" t="s">
        <v>869</v>
      </c>
      <c r="F23" s="29" t="s">
        <v>870</v>
      </c>
      <c r="G23" s="37">
        <f t="shared" si="0"/>
        <v>43955</v>
      </c>
      <c r="H23" s="33">
        <v>84</v>
      </c>
      <c r="I23" s="35">
        <f>StockInData[[#This Row],[Quantity]]*2.5</f>
        <v>210</v>
      </c>
    </row>
    <row r="24" spans="1:9" x14ac:dyDescent="0.25">
      <c r="A24" s="33">
        <v>23</v>
      </c>
      <c r="B24" s="34">
        <f t="shared" si="1"/>
        <v>43432</v>
      </c>
      <c r="C24" s="29" t="s">
        <v>65</v>
      </c>
      <c r="D24" s="30" t="s">
        <v>66</v>
      </c>
      <c r="E24" s="29" t="s">
        <v>869</v>
      </c>
      <c r="F24" s="29" t="s">
        <v>870</v>
      </c>
      <c r="G24" s="37">
        <f t="shared" si="0"/>
        <v>43957</v>
      </c>
      <c r="H24" s="33">
        <v>99</v>
      </c>
      <c r="I24" s="35">
        <f>StockInData[[#This Row],[Quantity]]*2.5</f>
        <v>247.5</v>
      </c>
    </row>
    <row r="25" spans="1:9" x14ac:dyDescent="0.25">
      <c r="A25" s="33">
        <v>24</v>
      </c>
      <c r="B25" s="34">
        <f t="shared" si="1"/>
        <v>43433</v>
      </c>
      <c r="C25" s="29" t="s">
        <v>67</v>
      </c>
      <c r="D25" s="30" t="s">
        <v>68</v>
      </c>
      <c r="E25" s="29" t="s">
        <v>869</v>
      </c>
      <c r="F25" s="29" t="s">
        <v>870</v>
      </c>
      <c r="G25" s="37">
        <f t="shared" si="0"/>
        <v>43959</v>
      </c>
      <c r="H25" s="33">
        <v>101</v>
      </c>
      <c r="I25" s="35">
        <f>StockInData[[#This Row],[Quantity]]*2.5</f>
        <v>252.5</v>
      </c>
    </row>
    <row r="26" spans="1:9" x14ac:dyDescent="0.25">
      <c r="A26" s="33">
        <v>25</v>
      </c>
      <c r="B26" s="34">
        <f t="shared" si="1"/>
        <v>43434</v>
      </c>
      <c r="C26" s="29" t="s">
        <v>69</v>
      </c>
      <c r="D26" s="30" t="s">
        <v>70</v>
      </c>
      <c r="E26" s="29" t="s">
        <v>869</v>
      </c>
      <c r="F26" s="29" t="s">
        <v>870</v>
      </c>
      <c r="G26" s="37">
        <f t="shared" si="0"/>
        <v>43961</v>
      </c>
      <c r="H26" s="33">
        <v>60</v>
      </c>
      <c r="I26" s="35">
        <f>StockInData[[#This Row],[Quantity]]*2.5</f>
        <v>150</v>
      </c>
    </row>
    <row r="27" spans="1:9" x14ac:dyDescent="0.25">
      <c r="A27" s="33">
        <v>26</v>
      </c>
      <c r="B27" s="34">
        <f t="shared" si="1"/>
        <v>43435</v>
      </c>
      <c r="C27" s="29" t="s">
        <v>71</v>
      </c>
      <c r="D27" s="30" t="s">
        <v>72</v>
      </c>
      <c r="E27" s="29" t="s">
        <v>869</v>
      </c>
      <c r="F27" s="29" t="s">
        <v>870</v>
      </c>
      <c r="G27" s="37">
        <f t="shared" si="0"/>
        <v>43963</v>
      </c>
      <c r="H27" s="33">
        <v>40</v>
      </c>
      <c r="I27" s="35">
        <f>StockInData[[#This Row],[Quantity]]*2.5</f>
        <v>100</v>
      </c>
    </row>
    <row r="28" spans="1:9" x14ac:dyDescent="0.25">
      <c r="A28" s="33">
        <v>27</v>
      </c>
      <c r="B28" s="34">
        <f t="shared" si="1"/>
        <v>43436</v>
      </c>
      <c r="C28" s="29" t="s">
        <v>73</v>
      </c>
      <c r="D28" s="30" t="s">
        <v>74</v>
      </c>
      <c r="E28" s="29" t="s">
        <v>869</v>
      </c>
      <c r="F28" s="29" t="s">
        <v>870</v>
      </c>
      <c r="G28" s="37">
        <f t="shared" si="0"/>
        <v>43965</v>
      </c>
      <c r="H28" s="33">
        <v>30</v>
      </c>
      <c r="I28" s="35">
        <f>StockInData[[#This Row],[Quantity]]*2.5</f>
        <v>75</v>
      </c>
    </row>
    <row r="29" spans="1:9" x14ac:dyDescent="0.25">
      <c r="A29" s="33">
        <v>28</v>
      </c>
      <c r="B29" s="34">
        <f t="shared" si="1"/>
        <v>43437</v>
      </c>
      <c r="C29" s="29" t="s">
        <v>75</v>
      </c>
      <c r="D29" s="30" t="s">
        <v>76</v>
      </c>
      <c r="E29" s="29" t="s">
        <v>869</v>
      </c>
      <c r="F29" s="29" t="s">
        <v>870</v>
      </c>
      <c r="G29" s="37">
        <f t="shared" si="0"/>
        <v>43967</v>
      </c>
      <c r="H29" s="33">
        <v>25</v>
      </c>
      <c r="I29" s="35">
        <f>StockInData[[#This Row],[Quantity]]*2.5</f>
        <v>62.5</v>
      </c>
    </row>
    <row r="30" spans="1:9" x14ac:dyDescent="0.25">
      <c r="A30" s="33">
        <v>29</v>
      </c>
      <c r="B30" s="34">
        <f t="shared" si="1"/>
        <v>43438</v>
      </c>
      <c r="C30" s="29" t="s">
        <v>77</v>
      </c>
      <c r="D30" s="30" t="s">
        <v>78</v>
      </c>
      <c r="E30" s="29" t="s">
        <v>869</v>
      </c>
      <c r="F30" s="29" t="s">
        <v>870</v>
      </c>
      <c r="G30" s="37">
        <f t="shared" si="0"/>
        <v>43969</v>
      </c>
      <c r="H30" s="33">
        <v>20</v>
      </c>
      <c r="I30" s="35">
        <f>StockInData[[#This Row],[Quantity]]*2.5</f>
        <v>50</v>
      </c>
    </row>
    <row r="31" spans="1:9" x14ac:dyDescent="0.25">
      <c r="A31" s="33">
        <v>30</v>
      </c>
      <c r="B31" s="34">
        <f t="shared" si="1"/>
        <v>43439</v>
      </c>
      <c r="C31" s="29" t="s">
        <v>79</v>
      </c>
      <c r="D31" s="30" t="s">
        <v>80</v>
      </c>
      <c r="E31" s="29" t="s">
        <v>869</v>
      </c>
      <c r="F31" s="29" t="s">
        <v>870</v>
      </c>
      <c r="G31" s="37">
        <f t="shared" si="0"/>
        <v>43971</v>
      </c>
      <c r="H31" s="33">
        <v>19</v>
      </c>
      <c r="I31" s="35">
        <f>StockInData[[#This Row],[Quantity]]*2.5</f>
        <v>47.5</v>
      </c>
    </row>
    <row r="32" spans="1:9" x14ac:dyDescent="0.25">
      <c r="A32" s="33">
        <v>31</v>
      </c>
      <c r="B32" s="34">
        <f t="shared" si="1"/>
        <v>43440</v>
      </c>
      <c r="C32" s="29" t="s">
        <v>81</v>
      </c>
      <c r="D32" s="30" t="s">
        <v>82</v>
      </c>
      <c r="E32" s="29" t="s">
        <v>869</v>
      </c>
      <c r="F32" s="29" t="s">
        <v>870</v>
      </c>
      <c r="G32" s="37">
        <f t="shared" si="0"/>
        <v>43973</v>
      </c>
      <c r="H32" s="33">
        <v>23</v>
      </c>
      <c r="I32" s="35">
        <f>StockInData[[#This Row],[Quantity]]*2.5</f>
        <v>57.5</v>
      </c>
    </row>
    <row r="33" spans="1:9" x14ac:dyDescent="0.25">
      <c r="A33" s="33">
        <v>32</v>
      </c>
      <c r="B33" s="34">
        <f t="shared" si="1"/>
        <v>43441</v>
      </c>
      <c r="C33" s="29" t="s">
        <v>83</v>
      </c>
      <c r="D33" s="30" t="s">
        <v>84</v>
      </c>
      <c r="E33" s="29" t="s">
        <v>869</v>
      </c>
      <c r="F33" s="29" t="s">
        <v>870</v>
      </c>
      <c r="G33" s="37">
        <f t="shared" si="0"/>
        <v>43975</v>
      </c>
      <c r="H33" s="33">
        <v>65</v>
      </c>
      <c r="I33" s="35">
        <f>StockInData[[#This Row],[Quantity]]*2.5</f>
        <v>162.5</v>
      </c>
    </row>
    <row r="34" spans="1:9" x14ac:dyDescent="0.25">
      <c r="A34" s="33">
        <v>33</v>
      </c>
      <c r="B34" s="34">
        <f t="shared" si="1"/>
        <v>43442</v>
      </c>
      <c r="C34" s="29" t="s">
        <v>85</v>
      </c>
      <c r="D34" s="30" t="s">
        <v>86</v>
      </c>
      <c r="E34" s="29" t="s">
        <v>869</v>
      </c>
      <c r="F34" s="29" t="s">
        <v>870</v>
      </c>
      <c r="G34" s="37">
        <f t="shared" si="0"/>
        <v>43977</v>
      </c>
      <c r="H34" s="33">
        <v>74</v>
      </c>
      <c r="I34" s="35">
        <f>StockInData[[#This Row],[Quantity]]*2.5</f>
        <v>185</v>
      </c>
    </row>
    <row r="35" spans="1:9" x14ac:dyDescent="0.25">
      <c r="A35" s="33">
        <v>34</v>
      </c>
      <c r="B35" s="34">
        <f t="shared" si="1"/>
        <v>43443</v>
      </c>
      <c r="C35" s="29" t="s">
        <v>87</v>
      </c>
      <c r="D35" s="30" t="s">
        <v>88</v>
      </c>
      <c r="E35" s="29" t="s">
        <v>869</v>
      </c>
      <c r="F35" s="29" t="s">
        <v>870</v>
      </c>
      <c r="G35" s="37">
        <f t="shared" si="0"/>
        <v>43979</v>
      </c>
      <c r="H35" s="33">
        <v>84</v>
      </c>
      <c r="I35" s="35">
        <f>StockInData[[#This Row],[Quantity]]*2.5</f>
        <v>210</v>
      </c>
    </row>
    <row r="36" spans="1:9" x14ac:dyDescent="0.25">
      <c r="A36" s="33">
        <v>35</v>
      </c>
      <c r="B36" s="34">
        <f t="shared" si="1"/>
        <v>43444</v>
      </c>
      <c r="C36" s="29" t="s">
        <v>89</v>
      </c>
      <c r="D36" s="30" t="s">
        <v>90</v>
      </c>
      <c r="E36" s="29" t="s">
        <v>869</v>
      </c>
      <c r="F36" s="29" t="s">
        <v>870</v>
      </c>
      <c r="G36" s="37">
        <f t="shared" si="0"/>
        <v>43981</v>
      </c>
      <c r="H36" s="33">
        <v>99</v>
      </c>
      <c r="I36" s="35">
        <f>StockInData[[#This Row],[Quantity]]*2.5</f>
        <v>247.5</v>
      </c>
    </row>
    <row r="37" spans="1:9" x14ac:dyDescent="0.25">
      <c r="A37" s="33">
        <v>36</v>
      </c>
      <c r="B37" s="34">
        <f t="shared" si="1"/>
        <v>43445</v>
      </c>
      <c r="C37" s="29" t="s">
        <v>91</v>
      </c>
      <c r="D37" s="30" t="s">
        <v>92</v>
      </c>
      <c r="E37" s="29" t="s">
        <v>869</v>
      </c>
      <c r="F37" s="29" t="s">
        <v>870</v>
      </c>
      <c r="G37" s="37">
        <f t="shared" si="0"/>
        <v>43983</v>
      </c>
      <c r="H37" s="33">
        <v>101</v>
      </c>
      <c r="I37" s="35">
        <f>StockInData[[#This Row],[Quantity]]*2.5</f>
        <v>252.5</v>
      </c>
    </row>
    <row r="38" spans="1:9" x14ac:dyDescent="0.25">
      <c r="A38" s="33">
        <v>37</v>
      </c>
      <c r="B38" s="34">
        <f t="shared" si="1"/>
        <v>43446</v>
      </c>
      <c r="C38" s="29" t="s">
        <v>93</v>
      </c>
      <c r="D38" s="30" t="s">
        <v>94</v>
      </c>
      <c r="E38" s="29" t="s">
        <v>869</v>
      </c>
      <c r="F38" s="29" t="s">
        <v>870</v>
      </c>
      <c r="G38" s="37">
        <f t="shared" si="0"/>
        <v>43985</v>
      </c>
      <c r="H38" s="33">
        <v>100</v>
      </c>
      <c r="I38" s="35">
        <f>StockInData[[#This Row],[Quantity]]*2.5</f>
        <v>250</v>
      </c>
    </row>
    <row r="39" spans="1:9" x14ac:dyDescent="0.25">
      <c r="A39" s="33">
        <v>38</v>
      </c>
      <c r="B39" s="34">
        <f t="shared" si="1"/>
        <v>43447</v>
      </c>
      <c r="C39" s="29" t="s">
        <v>95</v>
      </c>
      <c r="D39" s="30" t="s">
        <v>96</v>
      </c>
      <c r="E39" s="29" t="s">
        <v>869</v>
      </c>
      <c r="F39" s="29" t="s">
        <v>870</v>
      </c>
      <c r="G39" s="37">
        <f t="shared" si="0"/>
        <v>43987</v>
      </c>
      <c r="H39" s="33">
        <v>60</v>
      </c>
      <c r="I39" s="35">
        <f>StockInData[[#This Row],[Quantity]]*2.5</f>
        <v>150</v>
      </c>
    </row>
    <row r="40" spans="1:9" x14ac:dyDescent="0.25">
      <c r="A40" s="33">
        <v>39</v>
      </c>
      <c r="B40" s="34">
        <f t="shared" si="1"/>
        <v>43448</v>
      </c>
      <c r="C40" s="29" t="s">
        <v>97</v>
      </c>
      <c r="D40" s="30" t="s">
        <v>98</v>
      </c>
      <c r="E40" s="29" t="s">
        <v>869</v>
      </c>
      <c r="F40" s="29" t="s">
        <v>870</v>
      </c>
      <c r="G40" s="37">
        <f t="shared" si="0"/>
        <v>43989</v>
      </c>
      <c r="H40" s="33">
        <v>40</v>
      </c>
      <c r="I40" s="35">
        <f>StockInData[[#This Row],[Quantity]]*2.5</f>
        <v>100</v>
      </c>
    </row>
    <row r="41" spans="1:9" x14ac:dyDescent="0.25">
      <c r="A41" s="33">
        <v>40</v>
      </c>
      <c r="B41" s="34">
        <f t="shared" si="1"/>
        <v>43449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7">
        <f t="shared" si="0"/>
        <v>43991</v>
      </c>
      <c r="H41" s="33">
        <v>30</v>
      </c>
      <c r="I41" s="35">
        <f>StockInData[[#This Row],[Quantity]]*2.5</f>
        <v>75</v>
      </c>
    </row>
    <row r="42" spans="1:9" x14ac:dyDescent="0.25">
      <c r="A42" s="33">
        <v>41</v>
      </c>
      <c r="B42" s="34">
        <f t="shared" si="1"/>
        <v>43450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7">
        <f t="shared" si="0"/>
        <v>43993</v>
      </c>
      <c r="H42" s="33">
        <v>25</v>
      </c>
      <c r="I42" s="35">
        <f>StockInData[[#This Row],[Quantity]]*2.5</f>
        <v>62.5</v>
      </c>
    </row>
    <row r="43" spans="1:9" x14ac:dyDescent="0.25">
      <c r="A43" s="33">
        <v>42</v>
      </c>
      <c r="B43" s="34">
        <f t="shared" si="1"/>
        <v>43451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7">
        <f t="shared" si="0"/>
        <v>43995</v>
      </c>
      <c r="H43" s="33">
        <v>20</v>
      </c>
      <c r="I43" s="35">
        <f>StockInData[[#This Row],[Quantity]]*2.5</f>
        <v>50</v>
      </c>
    </row>
    <row r="44" spans="1:9" x14ac:dyDescent="0.25">
      <c r="A44" s="33">
        <v>43</v>
      </c>
      <c r="B44" s="34">
        <f t="shared" si="1"/>
        <v>43452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7">
        <f t="shared" si="0"/>
        <v>43997</v>
      </c>
      <c r="H44" s="33">
        <v>19</v>
      </c>
      <c r="I44" s="35">
        <f>StockInData[[#This Row],[Quantity]]*2.5</f>
        <v>47.5</v>
      </c>
    </row>
    <row r="45" spans="1:9" x14ac:dyDescent="0.25">
      <c r="A45" s="33">
        <v>44</v>
      </c>
      <c r="B45" s="34">
        <f t="shared" si="1"/>
        <v>43453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7">
        <f t="shared" si="0"/>
        <v>43999</v>
      </c>
      <c r="H45" s="33">
        <v>23</v>
      </c>
      <c r="I45" s="35">
        <f>StockInData[[#This Row],[Quantity]]*2.5</f>
        <v>57.5</v>
      </c>
    </row>
    <row r="46" spans="1:9" x14ac:dyDescent="0.25">
      <c r="A46" s="33">
        <v>45</v>
      </c>
      <c r="B46" s="34">
        <f t="shared" si="1"/>
        <v>43454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7">
        <f t="shared" si="0"/>
        <v>44001</v>
      </c>
      <c r="H46" s="33">
        <v>65</v>
      </c>
      <c r="I46" s="35">
        <f>StockInData[[#This Row],[Quantity]]*2.5</f>
        <v>162.5</v>
      </c>
    </row>
    <row r="47" spans="1:9" x14ac:dyDescent="0.25">
      <c r="A47" s="33">
        <v>46</v>
      </c>
      <c r="B47" s="34">
        <f t="shared" si="1"/>
        <v>43455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7">
        <f t="shared" si="0"/>
        <v>44003</v>
      </c>
      <c r="H47" s="33">
        <v>74</v>
      </c>
      <c r="I47" s="35">
        <f>StockInData[[#This Row],[Quantity]]*2.5</f>
        <v>185</v>
      </c>
    </row>
    <row r="48" spans="1:9" x14ac:dyDescent="0.25">
      <c r="A48" s="33">
        <v>47</v>
      </c>
      <c r="B48" s="34">
        <f t="shared" si="1"/>
        <v>43456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7">
        <f t="shared" si="0"/>
        <v>44005</v>
      </c>
      <c r="H48" s="33">
        <v>84</v>
      </c>
      <c r="I48" s="35">
        <f>StockInData[[#This Row],[Quantity]]*2.5</f>
        <v>210</v>
      </c>
    </row>
    <row r="49" spans="1:9" x14ac:dyDescent="0.25">
      <c r="A49" s="33">
        <v>48</v>
      </c>
      <c r="B49" s="34">
        <f t="shared" si="1"/>
        <v>43457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7">
        <f t="shared" si="0"/>
        <v>44007</v>
      </c>
      <c r="H49" s="33">
        <v>99</v>
      </c>
      <c r="I49" s="35">
        <f>StockInData[[#This Row],[Quantity]]*2.5</f>
        <v>247.5</v>
      </c>
    </row>
    <row r="50" spans="1:9" x14ac:dyDescent="0.25">
      <c r="A50" s="33">
        <v>49</v>
      </c>
      <c r="B50" s="34">
        <f t="shared" si="1"/>
        <v>43458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7">
        <f t="shared" si="0"/>
        <v>44009</v>
      </c>
      <c r="H50" s="33">
        <v>101</v>
      </c>
      <c r="I50" s="35">
        <f>StockInData[[#This Row],[Quantity]]*2.5</f>
        <v>252.5</v>
      </c>
    </row>
    <row r="51" spans="1:9" x14ac:dyDescent="0.25">
      <c r="A51" s="33">
        <v>50</v>
      </c>
      <c r="B51" s="34">
        <f t="shared" si="1"/>
        <v>43459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7">
        <f t="shared" si="0"/>
        <v>44011</v>
      </c>
      <c r="H51" s="33">
        <v>100</v>
      </c>
      <c r="I51" s="35">
        <f>StockInData[[#This Row],[Quantity]]*2.5</f>
        <v>250</v>
      </c>
    </row>
    <row r="52" spans="1:9" x14ac:dyDescent="0.25">
      <c r="A52" s="33">
        <v>51</v>
      </c>
      <c r="B52" s="34">
        <f t="shared" si="1"/>
        <v>43460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7">
        <f t="shared" si="0"/>
        <v>44013</v>
      </c>
      <c r="H52" s="33">
        <v>100</v>
      </c>
      <c r="I52" s="35">
        <f>StockInData[[#This Row],[Quantity]]*2.5</f>
        <v>250</v>
      </c>
    </row>
    <row r="53" spans="1:9" x14ac:dyDescent="0.25">
      <c r="A53" s="33">
        <v>52</v>
      </c>
      <c r="B53" s="34">
        <f t="shared" si="1"/>
        <v>43461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7">
        <f t="shared" si="0"/>
        <v>44015</v>
      </c>
      <c r="H53" s="33">
        <v>100</v>
      </c>
      <c r="I53" s="35">
        <f>StockInData[[#This Row],[Quantity]]*2.5</f>
        <v>250</v>
      </c>
    </row>
    <row r="54" spans="1:9" x14ac:dyDescent="0.25">
      <c r="A54" s="33">
        <v>53</v>
      </c>
      <c r="B54" s="34">
        <f t="shared" si="1"/>
        <v>43462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7">
        <f t="shared" si="0"/>
        <v>44017</v>
      </c>
      <c r="H54" s="33">
        <v>60</v>
      </c>
      <c r="I54" s="35">
        <f>StockInData[[#This Row],[Quantity]]*2.5</f>
        <v>150</v>
      </c>
    </row>
    <row r="55" spans="1:9" x14ac:dyDescent="0.25">
      <c r="A55" s="33">
        <v>54</v>
      </c>
      <c r="B55" s="34">
        <f t="shared" si="1"/>
        <v>43463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7">
        <f t="shared" si="0"/>
        <v>44019</v>
      </c>
      <c r="H55" s="33">
        <v>40</v>
      </c>
      <c r="I55" s="35">
        <f>StockInData[[#This Row],[Quantity]]*2.5</f>
        <v>100</v>
      </c>
    </row>
    <row r="56" spans="1:9" x14ac:dyDescent="0.25">
      <c r="A56" s="33">
        <v>55</v>
      </c>
      <c r="B56" s="34">
        <f t="shared" si="1"/>
        <v>43464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7">
        <f t="shared" si="0"/>
        <v>44021</v>
      </c>
      <c r="H56" s="33">
        <v>30</v>
      </c>
      <c r="I56" s="35">
        <f>StockInData[[#This Row],[Quantity]]*2.5</f>
        <v>75</v>
      </c>
    </row>
    <row r="57" spans="1:9" x14ac:dyDescent="0.25">
      <c r="A57" s="33">
        <v>56</v>
      </c>
      <c r="B57" s="34">
        <f t="shared" si="1"/>
        <v>43465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7">
        <f t="shared" si="0"/>
        <v>44023</v>
      </c>
      <c r="H57" s="33">
        <v>25</v>
      </c>
      <c r="I57" s="35">
        <f>StockInData[[#This Row],[Quantity]]*2.5</f>
        <v>62.5</v>
      </c>
    </row>
    <row r="58" spans="1:9" x14ac:dyDescent="0.25">
      <c r="A58" s="33">
        <v>57</v>
      </c>
      <c r="B58" s="34">
        <f t="shared" si="1"/>
        <v>43466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7">
        <f t="shared" si="0"/>
        <v>44025</v>
      </c>
      <c r="H58" s="33">
        <v>20</v>
      </c>
      <c r="I58" s="35">
        <f>StockInData[[#This Row],[Quantity]]*2.5</f>
        <v>50</v>
      </c>
    </row>
    <row r="59" spans="1:9" x14ac:dyDescent="0.25">
      <c r="A59" s="33">
        <v>58</v>
      </c>
      <c r="B59" s="34">
        <f t="shared" si="1"/>
        <v>43467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7">
        <f t="shared" si="0"/>
        <v>44027</v>
      </c>
      <c r="H59" s="33">
        <v>19</v>
      </c>
      <c r="I59" s="35">
        <f>StockInData[[#This Row],[Quantity]]*2.5</f>
        <v>47.5</v>
      </c>
    </row>
    <row r="60" spans="1:9" x14ac:dyDescent="0.25">
      <c r="A60" s="33">
        <v>59</v>
      </c>
      <c r="B60" s="34">
        <f t="shared" si="1"/>
        <v>43468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7">
        <f t="shared" si="0"/>
        <v>44029</v>
      </c>
      <c r="H60" s="33">
        <v>23</v>
      </c>
      <c r="I60" s="35">
        <f>StockInData[[#This Row],[Quantity]]*2.5</f>
        <v>57.5</v>
      </c>
    </row>
    <row r="61" spans="1:9" x14ac:dyDescent="0.25">
      <c r="A61" s="33">
        <v>60</v>
      </c>
      <c r="B61" s="34">
        <f t="shared" si="1"/>
        <v>43469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7">
        <f t="shared" si="0"/>
        <v>44031</v>
      </c>
      <c r="H61" s="33">
        <v>65</v>
      </c>
      <c r="I61" s="35">
        <f>StockInData[[#This Row],[Quantity]]*2.5</f>
        <v>162.5</v>
      </c>
    </row>
    <row r="62" spans="1:9" x14ac:dyDescent="0.25">
      <c r="A62" s="33">
        <v>61</v>
      </c>
      <c r="B62" s="34">
        <f t="shared" si="1"/>
        <v>43470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7">
        <f t="shared" si="0"/>
        <v>44033</v>
      </c>
      <c r="H62" s="33">
        <v>74</v>
      </c>
      <c r="I62" s="35">
        <f>StockInData[[#This Row],[Quantity]]*2.5</f>
        <v>185</v>
      </c>
    </row>
    <row r="63" spans="1:9" x14ac:dyDescent="0.25">
      <c r="A63" s="33">
        <v>62</v>
      </c>
      <c r="B63" s="34">
        <f t="shared" si="1"/>
        <v>43471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7">
        <f t="shared" si="0"/>
        <v>44035</v>
      </c>
      <c r="H63" s="33">
        <v>84</v>
      </c>
      <c r="I63" s="35">
        <f>StockInData[[#This Row],[Quantity]]*2.5</f>
        <v>210</v>
      </c>
    </row>
    <row r="64" spans="1:9" x14ac:dyDescent="0.25">
      <c r="A64" s="33">
        <v>63</v>
      </c>
      <c r="B64" s="34">
        <f t="shared" si="1"/>
        <v>43472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7">
        <f t="shared" si="0"/>
        <v>44037</v>
      </c>
      <c r="H64" s="33">
        <v>99</v>
      </c>
      <c r="I64" s="35">
        <f>StockInData[[#This Row],[Quantity]]*2.5</f>
        <v>247.5</v>
      </c>
    </row>
    <row r="65" spans="1:9" x14ac:dyDescent="0.25">
      <c r="A65" s="33">
        <v>64</v>
      </c>
      <c r="B65" s="34">
        <f t="shared" si="1"/>
        <v>43473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7">
        <f t="shared" si="0"/>
        <v>44039</v>
      </c>
      <c r="H65" s="33">
        <v>101</v>
      </c>
      <c r="I65" s="35">
        <f>StockInData[[#This Row],[Quantity]]*2.5</f>
        <v>252.5</v>
      </c>
    </row>
    <row r="66" spans="1:9" x14ac:dyDescent="0.25">
      <c r="A66" s="33">
        <v>65</v>
      </c>
      <c r="B66" s="34">
        <f t="shared" si="1"/>
        <v>43474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7">
        <f t="shared" si="0"/>
        <v>44041</v>
      </c>
      <c r="H66" s="33">
        <v>100</v>
      </c>
      <c r="I66" s="35">
        <f>StockInData[[#This Row],[Quantity]]*2.5</f>
        <v>250</v>
      </c>
    </row>
    <row r="67" spans="1:9" x14ac:dyDescent="0.25">
      <c r="A67" s="33">
        <v>66</v>
      </c>
      <c r="B67" s="34">
        <f t="shared" si="1"/>
        <v>43475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7">
        <f t="shared" si="0"/>
        <v>44043</v>
      </c>
      <c r="H67" s="33">
        <v>100</v>
      </c>
      <c r="I67" s="35">
        <f>StockInData[[#This Row],[Quantity]]*2.5</f>
        <v>250</v>
      </c>
    </row>
    <row r="68" spans="1:9" x14ac:dyDescent="0.25">
      <c r="A68" s="33">
        <v>67</v>
      </c>
      <c r="B68" s="34">
        <f t="shared" si="1"/>
        <v>43476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7">
        <f t="shared" ref="G68:G131" si="2">G67+2</f>
        <v>44045</v>
      </c>
      <c r="H68" s="33">
        <v>100</v>
      </c>
      <c r="I68" s="35">
        <f>StockInData[[#This Row],[Quantity]]*2.5</f>
        <v>250</v>
      </c>
    </row>
    <row r="69" spans="1:9" x14ac:dyDescent="0.25">
      <c r="A69" s="33">
        <v>68</v>
      </c>
      <c r="B69" s="34">
        <f t="shared" ref="B69:B132" si="3">B68+1</f>
        <v>43477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7">
        <f t="shared" si="2"/>
        <v>44047</v>
      </c>
      <c r="H69" s="33">
        <v>60</v>
      </c>
      <c r="I69" s="35">
        <f>StockInData[[#This Row],[Quantity]]*2.5</f>
        <v>150</v>
      </c>
    </row>
    <row r="70" spans="1:9" x14ac:dyDescent="0.25">
      <c r="A70" s="33">
        <v>69</v>
      </c>
      <c r="B70" s="34">
        <f t="shared" si="3"/>
        <v>43478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7">
        <f t="shared" si="2"/>
        <v>44049</v>
      </c>
      <c r="H70" s="33">
        <v>40</v>
      </c>
      <c r="I70" s="35">
        <f>StockInData[[#This Row],[Quantity]]*2.5</f>
        <v>100</v>
      </c>
    </row>
    <row r="71" spans="1:9" x14ac:dyDescent="0.25">
      <c r="A71" s="33">
        <v>70</v>
      </c>
      <c r="B71" s="34">
        <f t="shared" si="3"/>
        <v>43479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7">
        <f t="shared" si="2"/>
        <v>44051</v>
      </c>
      <c r="H71" s="33">
        <v>30</v>
      </c>
      <c r="I71" s="35">
        <f>StockInData[[#This Row],[Quantity]]*2.5</f>
        <v>75</v>
      </c>
    </row>
    <row r="72" spans="1:9" x14ac:dyDescent="0.25">
      <c r="A72" s="33">
        <v>71</v>
      </c>
      <c r="B72" s="34">
        <f t="shared" si="3"/>
        <v>43480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7">
        <f t="shared" si="2"/>
        <v>44053</v>
      </c>
      <c r="H72" s="33">
        <v>25</v>
      </c>
      <c r="I72" s="35">
        <f>StockInData[[#This Row],[Quantity]]*2.5</f>
        <v>62.5</v>
      </c>
    </row>
    <row r="73" spans="1:9" x14ac:dyDescent="0.25">
      <c r="A73" s="33">
        <v>72</v>
      </c>
      <c r="B73" s="34">
        <f t="shared" si="3"/>
        <v>43481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7">
        <f t="shared" si="2"/>
        <v>44055</v>
      </c>
      <c r="H73" s="33">
        <v>20</v>
      </c>
      <c r="I73" s="35">
        <f>StockInData[[#This Row],[Quantity]]*2.5</f>
        <v>50</v>
      </c>
    </row>
    <row r="74" spans="1:9" x14ac:dyDescent="0.25">
      <c r="A74" s="33">
        <v>73</v>
      </c>
      <c r="B74" s="34">
        <f t="shared" si="3"/>
        <v>43482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7">
        <f t="shared" si="2"/>
        <v>44057</v>
      </c>
      <c r="H74" s="33">
        <v>19</v>
      </c>
      <c r="I74" s="35">
        <f>StockInData[[#This Row],[Quantity]]*2.5</f>
        <v>47.5</v>
      </c>
    </row>
    <row r="75" spans="1:9" x14ac:dyDescent="0.25">
      <c r="A75" s="33">
        <v>74</v>
      </c>
      <c r="B75" s="34">
        <f t="shared" si="3"/>
        <v>43483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7">
        <f t="shared" si="2"/>
        <v>44059</v>
      </c>
      <c r="H75" s="33">
        <v>23</v>
      </c>
      <c r="I75" s="35">
        <f>StockInData[[#This Row],[Quantity]]*2.5</f>
        <v>57.5</v>
      </c>
    </row>
    <row r="76" spans="1:9" x14ac:dyDescent="0.25">
      <c r="A76" s="33">
        <v>75</v>
      </c>
      <c r="B76" s="34">
        <f t="shared" si="3"/>
        <v>43484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7">
        <f t="shared" si="2"/>
        <v>44061</v>
      </c>
      <c r="H76" s="33">
        <v>65</v>
      </c>
      <c r="I76" s="35">
        <f>StockInData[[#This Row],[Quantity]]*2.5</f>
        <v>162.5</v>
      </c>
    </row>
    <row r="77" spans="1:9" x14ac:dyDescent="0.25">
      <c r="A77" s="33">
        <v>76</v>
      </c>
      <c r="B77" s="34">
        <f t="shared" si="3"/>
        <v>43485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7">
        <f t="shared" si="2"/>
        <v>44063</v>
      </c>
      <c r="H77" s="33">
        <v>74</v>
      </c>
      <c r="I77" s="35">
        <f>StockInData[[#This Row],[Quantity]]*2.5</f>
        <v>185</v>
      </c>
    </row>
    <row r="78" spans="1:9" x14ac:dyDescent="0.25">
      <c r="A78" s="33">
        <v>77</v>
      </c>
      <c r="B78" s="34">
        <f t="shared" si="3"/>
        <v>43486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7">
        <f t="shared" si="2"/>
        <v>44065</v>
      </c>
      <c r="H78" s="33">
        <v>84</v>
      </c>
      <c r="I78" s="35">
        <f>StockInData[[#This Row],[Quantity]]*2.5</f>
        <v>210</v>
      </c>
    </row>
    <row r="79" spans="1:9" x14ac:dyDescent="0.25">
      <c r="A79" s="33">
        <v>78</v>
      </c>
      <c r="B79" s="34">
        <f t="shared" si="3"/>
        <v>43487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7">
        <f t="shared" si="2"/>
        <v>44067</v>
      </c>
      <c r="H79" s="33">
        <v>99</v>
      </c>
      <c r="I79" s="35">
        <f>StockInData[[#This Row],[Quantity]]*2.5</f>
        <v>247.5</v>
      </c>
    </row>
    <row r="80" spans="1:9" x14ac:dyDescent="0.25">
      <c r="A80" s="33">
        <v>79</v>
      </c>
      <c r="B80" s="34">
        <f t="shared" si="3"/>
        <v>43488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7">
        <f t="shared" si="2"/>
        <v>44069</v>
      </c>
      <c r="H80" s="33">
        <v>101</v>
      </c>
      <c r="I80" s="35">
        <f>StockInData[[#This Row],[Quantity]]*2.5</f>
        <v>252.5</v>
      </c>
    </row>
    <row r="81" spans="1:9" x14ac:dyDescent="0.25">
      <c r="A81" s="33">
        <v>80</v>
      </c>
      <c r="B81" s="34">
        <f t="shared" si="3"/>
        <v>43489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7">
        <f t="shared" si="2"/>
        <v>44071</v>
      </c>
      <c r="H81" s="33">
        <v>40</v>
      </c>
      <c r="I81" s="35">
        <f>StockInData[[#This Row],[Quantity]]*2.5</f>
        <v>100</v>
      </c>
    </row>
    <row r="82" spans="1:9" x14ac:dyDescent="0.25">
      <c r="A82" s="33">
        <v>81</v>
      </c>
      <c r="B82" s="34">
        <f t="shared" si="3"/>
        <v>43490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7">
        <f t="shared" si="2"/>
        <v>44073</v>
      </c>
      <c r="H82" s="33">
        <v>30</v>
      </c>
      <c r="I82" s="35">
        <f>StockInData[[#This Row],[Quantity]]*2.5</f>
        <v>75</v>
      </c>
    </row>
    <row r="83" spans="1:9" x14ac:dyDescent="0.25">
      <c r="A83" s="33">
        <v>82</v>
      </c>
      <c r="B83" s="34">
        <f t="shared" si="3"/>
        <v>43491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7">
        <f t="shared" si="2"/>
        <v>44075</v>
      </c>
      <c r="H83" s="33">
        <v>25</v>
      </c>
      <c r="I83" s="35">
        <f>StockInData[[#This Row],[Quantity]]*2.5</f>
        <v>62.5</v>
      </c>
    </row>
    <row r="84" spans="1:9" x14ac:dyDescent="0.25">
      <c r="A84" s="33">
        <v>83</v>
      </c>
      <c r="B84" s="34">
        <f t="shared" si="3"/>
        <v>43492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7">
        <f t="shared" si="2"/>
        <v>44077</v>
      </c>
      <c r="H84" s="33">
        <v>20</v>
      </c>
      <c r="I84" s="35">
        <f>StockInData[[#This Row],[Quantity]]*2.5</f>
        <v>50</v>
      </c>
    </row>
    <row r="85" spans="1:9" x14ac:dyDescent="0.25">
      <c r="A85" s="33">
        <v>84</v>
      </c>
      <c r="B85" s="34">
        <f t="shared" si="3"/>
        <v>43493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7">
        <f t="shared" si="2"/>
        <v>44079</v>
      </c>
      <c r="H85" s="33">
        <v>19</v>
      </c>
      <c r="I85" s="35">
        <f>StockInData[[#This Row],[Quantity]]*2.5</f>
        <v>47.5</v>
      </c>
    </row>
    <row r="86" spans="1:9" x14ac:dyDescent="0.25">
      <c r="A86" s="33">
        <v>85</v>
      </c>
      <c r="B86" s="34">
        <f t="shared" si="3"/>
        <v>43494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7">
        <f t="shared" si="2"/>
        <v>44081</v>
      </c>
      <c r="H86" s="33">
        <v>23</v>
      </c>
      <c r="I86" s="35">
        <f>StockInData[[#This Row],[Quantity]]*2.5</f>
        <v>57.5</v>
      </c>
    </row>
    <row r="87" spans="1:9" x14ac:dyDescent="0.25">
      <c r="A87" s="33">
        <v>86</v>
      </c>
      <c r="B87" s="34">
        <f t="shared" si="3"/>
        <v>43495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7">
        <f t="shared" si="2"/>
        <v>44083</v>
      </c>
      <c r="H87" s="33">
        <v>65</v>
      </c>
      <c r="I87" s="35">
        <f>StockInData[[#This Row],[Quantity]]*2.5</f>
        <v>162.5</v>
      </c>
    </row>
    <row r="88" spans="1:9" x14ac:dyDescent="0.25">
      <c r="A88" s="33">
        <v>87</v>
      </c>
      <c r="B88" s="34">
        <f t="shared" si="3"/>
        <v>43496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7">
        <f t="shared" si="2"/>
        <v>44085</v>
      </c>
      <c r="H88" s="33">
        <v>74</v>
      </c>
      <c r="I88" s="35">
        <f>StockInData[[#This Row],[Quantity]]*2.5</f>
        <v>185</v>
      </c>
    </row>
    <row r="89" spans="1:9" x14ac:dyDescent="0.25">
      <c r="A89" s="33">
        <v>88</v>
      </c>
      <c r="B89" s="34">
        <f t="shared" si="3"/>
        <v>43497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7">
        <f t="shared" si="2"/>
        <v>44087</v>
      </c>
      <c r="H89" s="33">
        <v>84</v>
      </c>
      <c r="I89" s="35">
        <f>StockInData[[#This Row],[Quantity]]*2.5</f>
        <v>210</v>
      </c>
    </row>
    <row r="90" spans="1:9" x14ac:dyDescent="0.25">
      <c r="A90" s="33">
        <v>89</v>
      </c>
      <c r="B90" s="34">
        <f t="shared" si="3"/>
        <v>43498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7">
        <f t="shared" si="2"/>
        <v>44089</v>
      </c>
      <c r="H90" s="33">
        <v>99</v>
      </c>
      <c r="I90" s="35">
        <f>StockInData[[#This Row],[Quantity]]*2.5</f>
        <v>247.5</v>
      </c>
    </row>
    <row r="91" spans="1:9" x14ac:dyDescent="0.25">
      <c r="A91" s="33">
        <v>90</v>
      </c>
      <c r="B91" s="34">
        <f t="shared" si="3"/>
        <v>43499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7">
        <f t="shared" si="2"/>
        <v>44091</v>
      </c>
      <c r="H91" s="33">
        <v>101</v>
      </c>
      <c r="I91" s="35">
        <f>StockInData[[#This Row],[Quantity]]*2.5</f>
        <v>252.5</v>
      </c>
    </row>
    <row r="92" spans="1:9" x14ac:dyDescent="0.25">
      <c r="A92" s="33">
        <v>91</v>
      </c>
      <c r="B92" s="34">
        <f t="shared" si="3"/>
        <v>43500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7">
        <f t="shared" si="2"/>
        <v>44093</v>
      </c>
      <c r="H92" s="33">
        <v>60</v>
      </c>
      <c r="I92" s="35">
        <f>StockInData[[#This Row],[Quantity]]*2.5</f>
        <v>150</v>
      </c>
    </row>
    <row r="93" spans="1:9" x14ac:dyDescent="0.25">
      <c r="A93" s="33">
        <v>92</v>
      </c>
      <c r="B93" s="34">
        <f t="shared" si="3"/>
        <v>43501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7">
        <f t="shared" si="2"/>
        <v>44095</v>
      </c>
      <c r="H93" s="33">
        <v>40</v>
      </c>
      <c r="I93" s="35">
        <f>StockInData[[#This Row],[Quantity]]*2.5</f>
        <v>100</v>
      </c>
    </row>
    <row r="94" spans="1:9" x14ac:dyDescent="0.25">
      <c r="A94" s="33">
        <v>93</v>
      </c>
      <c r="B94" s="34">
        <f t="shared" si="3"/>
        <v>43502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7">
        <f t="shared" si="2"/>
        <v>44097</v>
      </c>
      <c r="H94" s="33">
        <v>30</v>
      </c>
      <c r="I94" s="35">
        <f>StockInData[[#This Row],[Quantity]]*2.5</f>
        <v>75</v>
      </c>
    </row>
    <row r="95" spans="1:9" x14ac:dyDescent="0.25">
      <c r="A95" s="33">
        <v>94</v>
      </c>
      <c r="B95" s="34">
        <f t="shared" si="3"/>
        <v>43503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7">
        <f t="shared" si="2"/>
        <v>44099</v>
      </c>
      <c r="H95" s="33">
        <v>25</v>
      </c>
      <c r="I95" s="35">
        <f>StockInData[[#This Row],[Quantity]]*2.5</f>
        <v>62.5</v>
      </c>
    </row>
    <row r="96" spans="1:9" x14ac:dyDescent="0.25">
      <c r="A96" s="33">
        <v>95</v>
      </c>
      <c r="B96" s="34">
        <f t="shared" si="3"/>
        <v>43504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7">
        <f t="shared" si="2"/>
        <v>44101</v>
      </c>
      <c r="H96" s="33">
        <v>20</v>
      </c>
      <c r="I96" s="35">
        <f>StockInData[[#This Row],[Quantity]]*2.5</f>
        <v>50</v>
      </c>
    </row>
    <row r="97" spans="1:9" x14ac:dyDescent="0.25">
      <c r="A97" s="33">
        <v>96</v>
      </c>
      <c r="B97" s="34">
        <f t="shared" si="3"/>
        <v>43505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7">
        <f t="shared" si="2"/>
        <v>44103</v>
      </c>
      <c r="H97" s="33">
        <v>19</v>
      </c>
      <c r="I97" s="35">
        <f>StockInData[[#This Row],[Quantity]]*2.5</f>
        <v>47.5</v>
      </c>
    </row>
    <row r="98" spans="1:9" x14ac:dyDescent="0.25">
      <c r="A98" s="33">
        <v>97</v>
      </c>
      <c r="B98" s="34">
        <f t="shared" si="3"/>
        <v>43506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7">
        <f t="shared" si="2"/>
        <v>44105</v>
      </c>
      <c r="H98" s="33">
        <v>100</v>
      </c>
      <c r="I98" s="35">
        <f>StockInData[[#This Row],[Quantity]]*2.5</f>
        <v>250</v>
      </c>
    </row>
    <row r="99" spans="1:9" x14ac:dyDescent="0.25">
      <c r="A99" s="33">
        <v>98</v>
      </c>
      <c r="B99" s="34">
        <f t="shared" si="3"/>
        <v>43507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7">
        <f t="shared" si="2"/>
        <v>44107</v>
      </c>
      <c r="H99" s="33">
        <v>100</v>
      </c>
      <c r="I99" s="35">
        <f>StockInData[[#This Row],[Quantity]]*2.5</f>
        <v>250</v>
      </c>
    </row>
    <row r="100" spans="1:9" x14ac:dyDescent="0.25">
      <c r="A100" s="33">
        <v>99</v>
      </c>
      <c r="B100" s="34">
        <f t="shared" si="3"/>
        <v>43508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7">
        <f t="shared" si="2"/>
        <v>44109</v>
      </c>
      <c r="H100" s="33">
        <v>100</v>
      </c>
      <c r="I100" s="35">
        <f>StockInData[[#This Row],[Quantity]]*2.5</f>
        <v>250</v>
      </c>
    </row>
    <row r="101" spans="1:9" x14ac:dyDescent="0.25">
      <c r="A101" s="33">
        <v>100</v>
      </c>
      <c r="B101" s="34">
        <f t="shared" si="3"/>
        <v>43509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7">
        <f t="shared" si="2"/>
        <v>44111</v>
      </c>
      <c r="H101" s="33">
        <v>100</v>
      </c>
      <c r="I101" s="35">
        <f>StockInData[[#This Row],[Quantity]]*2.5</f>
        <v>250</v>
      </c>
    </row>
    <row r="102" spans="1:9" x14ac:dyDescent="0.25">
      <c r="A102" s="33">
        <v>101</v>
      </c>
      <c r="B102" s="34">
        <f t="shared" si="3"/>
        <v>43510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7">
        <f t="shared" si="2"/>
        <v>44113</v>
      </c>
      <c r="H102" s="33">
        <v>40</v>
      </c>
      <c r="I102" s="35">
        <f>StockInData[[#This Row],[Quantity]]*2.5</f>
        <v>100</v>
      </c>
    </row>
    <row r="103" spans="1:9" x14ac:dyDescent="0.25">
      <c r="A103" s="33">
        <v>102</v>
      </c>
      <c r="B103" s="34">
        <f t="shared" si="3"/>
        <v>43511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7">
        <f t="shared" si="2"/>
        <v>44115</v>
      </c>
      <c r="H103" s="33">
        <v>30</v>
      </c>
      <c r="I103" s="35">
        <f>StockInData[[#This Row],[Quantity]]*2.5</f>
        <v>75</v>
      </c>
    </row>
    <row r="104" spans="1:9" x14ac:dyDescent="0.25">
      <c r="A104" s="33">
        <v>103</v>
      </c>
      <c r="B104" s="34">
        <f t="shared" si="3"/>
        <v>43512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7">
        <f t="shared" si="2"/>
        <v>44117</v>
      </c>
      <c r="H104" s="33">
        <v>25</v>
      </c>
      <c r="I104" s="35">
        <f>StockInData[[#This Row],[Quantity]]*2.5</f>
        <v>62.5</v>
      </c>
    </row>
    <row r="105" spans="1:9" x14ac:dyDescent="0.25">
      <c r="A105" s="33">
        <v>104</v>
      </c>
      <c r="B105" s="34">
        <f t="shared" si="3"/>
        <v>43513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7">
        <f t="shared" si="2"/>
        <v>44119</v>
      </c>
      <c r="H105" s="33">
        <v>20</v>
      </c>
      <c r="I105" s="35">
        <f>StockInData[[#This Row],[Quantity]]*2.5</f>
        <v>50</v>
      </c>
    </row>
    <row r="106" spans="1:9" x14ac:dyDescent="0.25">
      <c r="A106" s="33">
        <v>105</v>
      </c>
      <c r="B106" s="34">
        <f t="shared" si="3"/>
        <v>43514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7">
        <f t="shared" si="2"/>
        <v>44121</v>
      </c>
      <c r="H106" s="33">
        <v>19</v>
      </c>
      <c r="I106" s="35">
        <f>StockInData[[#This Row],[Quantity]]*2.5</f>
        <v>47.5</v>
      </c>
    </row>
    <row r="107" spans="1:9" x14ac:dyDescent="0.25">
      <c r="A107" s="33">
        <v>106</v>
      </c>
      <c r="B107" s="34">
        <f t="shared" si="3"/>
        <v>43515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7">
        <f t="shared" si="2"/>
        <v>44123</v>
      </c>
      <c r="H107" s="33">
        <v>23</v>
      </c>
      <c r="I107" s="35">
        <f>StockInData[[#This Row],[Quantity]]*2.5</f>
        <v>57.5</v>
      </c>
    </row>
    <row r="108" spans="1:9" x14ac:dyDescent="0.25">
      <c r="A108" s="33">
        <v>107</v>
      </c>
      <c r="B108" s="34">
        <f t="shared" si="3"/>
        <v>43516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7">
        <f t="shared" si="2"/>
        <v>44125</v>
      </c>
      <c r="H108" s="33">
        <v>65</v>
      </c>
      <c r="I108" s="35">
        <f>StockInData[[#This Row],[Quantity]]*2.5</f>
        <v>162.5</v>
      </c>
    </row>
    <row r="109" spans="1:9" x14ac:dyDescent="0.25">
      <c r="A109" s="33">
        <v>108</v>
      </c>
      <c r="B109" s="34">
        <f t="shared" si="3"/>
        <v>43517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7">
        <f t="shared" si="2"/>
        <v>44127</v>
      </c>
      <c r="H109" s="33">
        <v>74</v>
      </c>
      <c r="I109" s="35">
        <f>StockInData[[#This Row],[Quantity]]*2.5</f>
        <v>185</v>
      </c>
    </row>
    <row r="110" spans="1:9" x14ac:dyDescent="0.25">
      <c r="A110" s="33">
        <v>109</v>
      </c>
      <c r="B110" s="34">
        <f t="shared" si="3"/>
        <v>43518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7">
        <f t="shared" si="2"/>
        <v>44129</v>
      </c>
      <c r="H110" s="33">
        <v>84</v>
      </c>
      <c r="I110" s="35">
        <f>StockInData[[#This Row],[Quantity]]*2.5</f>
        <v>210</v>
      </c>
    </row>
    <row r="111" spans="1:9" x14ac:dyDescent="0.25">
      <c r="A111" s="33">
        <v>110</v>
      </c>
      <c r="B111" s="34">
        <f t="shared" si="3"/>
        <v>43519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7">
        <f t="shared" si="2"/>
        <v>44131</v>
      </c>
      <c r="H111" s="33">
        <v>99</v>
      </c>
      <c r="I111" s="35">
        <f>StockInData[[#This Row],[Quantity]]*2.5</f>
        <v>247.5</v>
      </c>
    </row>
    <row r="112" spans="1:9" x14ac:dyDescent="0.25">
      <c r="A112" s="33">
        <v>111</v>
      </c>
      <c r="B112" s="34">
        <f t="shared" si="3"/>
        <v>43520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7">
        <f t="shared" si="2"/>
        <v>44133</v>
      </c>
      <c r="H112" s="33">
        <v>101</v>
      </c>
      <c r="I112" s="35">
        <f>StockInData[[#This Row],[Quantity]]*2.5</f>
        <v>252.5</v>
      </c>
    </row>
    <row r="113" spans="1:9" x14ac:dyDescent="0.25">
      <c r="A113" s="33">
        <v>112</v>
      </c>
      <c r="B113" s="34">
        <f t="shared" si="3"/>
        <v>43521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7">
        <f t="shared" si="2"/>
        <v>44135</v>
      </c>
      <c r="H113" s="33">
        <v>60</v>
      </c>
      <c r="I113" s="35">
        <f>StockInData[[#This Row],[Quantity]]*2.5</f>
        <v>150</v>
      </c>
    </row>
    <row r="114" spans="1:9" x14ac:dyDescent="0.25">
      <c r="A114" s="33">
        <v>113</v>
      </c>
      <c r="B114" s="34">
        <f t="shared" si="3"/>
        <v>43522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7">
        <f t="shared" si="2"/>
        <v>44137</v>
      </c>
      <c r="H114" s="33">
        <v>40</v>
      </c>
      <c r="I114" s="35">
        <f>StockInData[[#This Row],[Quantity]]*2.5</f>
        <v>100</v>
      </c>
    </row>
    <row r="115" spans="1:9" x14ac:dyDescent="0.25">
      <c r="A115" s="33">
        <v>114</v>
      </c>
      <c r="B115" s="34">
        <f t="shared" si="3"/>
        <v>43523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7">
        <f t="shared" si="2"/>
        <v>44139</v>
      </c>
      <c r="H115" s="33">
        <v>30</v>
      </c>
      <c r="I115" s="35">
        <f>StockInData[[#This Row],[Quantity]]*2.5</f>
        <v>75</v>
      </c>
    </row>
    <row r="116" spans="1:9" x14ac:dyDescent="0.25">
      <c r="A116" s="33">
        <v>115</v>
      </c>
      <c r="B116" s="34">
        <f t="shared" si="3"/>
        <v>43524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7">
        <f t="shared" si="2"/>
        <v>44141</v>
      </c>
      <c r="H116" s="33">
        <v>25</v>
      </c>
      <c r="I116" s="35">
        <f>StockInData[[#This Row],[Quantity]]*2.5</f>
        <v>62.5</v>
      </c>
    </row>
    <row r="117" spans="1:9" x14ac:dyDescent="0.25">
      <c r="A117" s="33">
        <v>116</v>
      </c>
      <c r="B117" s="34">
        <f t="shared" si="3"/>
        <v>43525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7">
        <f t="shared" si="2"/>
        <v>44143</v>
      </c>
      <c r="H117" s="33">
        <v>20</v>
      </c>
      <c r="I117" s="35">
        <f>StockInData[[#This Row],[Quantity]]*2.5</f>
        <v>50</v>
      </c>
    </row>
    <row r="118" spans="1:9" x14ac:dyDescent="0.25">
      <c r="A118" s="33">
        <v>117</v>
      </c>
      <c r="B118" s="34">
        <f t="shared" si="3"/>
        <v>43526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7">
        <f t="shared" si="2"/>
        <v>44145</v>
      </c>
      <c r="H118" s="33">
        <v>19</v>
      </c>
      <c r="I118" s="35">
        <f>StockInData[[#This Row],[Quantity]]*2.5</f>
        <v>47.5</v>
      </c>
    </row>
    <row r="119" spans="1:9" x14ac:dyDescent="0.25">
      <c r="A119" s="33">
        <v>118</v>
      </c>
      <c r="B119" s="34">
        <f t="shared" si="3"/>
        <v>43527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7">
        <f t="shared" si="2"/>
        <v>44147</v>
      </c>
      <c r="H119" s="33">
        <v>23</v>
      </c>
      <c r="I119" s="35">
        <f>StockInData[[#This Row],[Quantity]]*2.5</f>
        <v>57.5</v>
      </c>
    </row>
    <row r="120" spans="1:9" x14ac:dyDescent="0.25">
      <c r="A120" s="33">
        <v>119</v>
      </c>
      <c r="B120" s="34">
        <f t="shared" si="3"/>
        <v>43528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7">
        <f t="shared" si="2"/>
        <v>44149</v>
      </c>
      <c r="H120" s="33">
        <v>65</v>
      </c>
      <c r="I120" s="35">
        <f>StockInData[[#This Row],[Quantity]]*2.5</f>
        <v>162.5</v>
      </c>
    </row>
    <row r="121" spans="1:9" x14ac:dyDescent="0.25">
      <c r="A121" s="33">
        <v>120</v>
      </c>
      <c r="B121" s="34">
        <f t="shared" si="3"/>
        <v>43529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7">
        <f t="shared" si="2"/>
        <v>44151</v>
      </c>
      <c r="H121" s="33">
        <v>74</v>
      </c>
      <c r="I121" s="35">
        <f>StockInData[[#This Row],[Quantity]]*2.5</f>
        <v>185</v>
      </c>
    </row>
    <row r="122" spans="1:9" x14ac:dyDescent="0.25">
      <c r="A122" s="33">
        <v>121</v>
      </c>
      <c r="B122" s="34">
        <f t="shared" si="3"/>
        <v>43530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7">
        <f t="shared" si="2"/>
        <v>44153</v>
      </c>
      <c r="H122" s="33">
        <v>84</v>
      </c>
      <c r="I122" s="35">
        <f>StockInData[[#This Row],[Quantity]]*2.5</f>
        <v>210</v>
      </c>
    </row>
    <row r="123" spans="1:9" x14ac:dyDescent="0.25">
      <c r="A123" s="33">
        <v>122</v>
      </c>
      <c r="B123" s="34">
        <f t="shared" si="3"/>
        <v>43531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7">
        <f t="shared" si="2"/>
        <v>44155</v>
      </c>
      <c r="H123" s="33">
        <v>99</v>
      </c>
      <c r="I123" s="35">
        <f>StockInData[[#This Row],[Quantity]]*2.5</f>
        <v>247.5</v>
      </c>
    </row>
    <row r="124" spans="1:9" x14ac:dyDescent="0.25">
      <c r="A124" s="33">
        <v>123</v>
      </c>
      <c r="B124" s="34">
        <f t="shared" si="3"/>
        <v>43532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7">
        <f t="shared" si="2"/>
        <v>44157</v>
      </c>
      <c r="H124" s="33">
        <v>101</v>
      </c>
      <c r="I124" s="35">
        <f>StockInData[[#This Row],[Quantity]]*2.5</f>
        <v>252.5</v>
      </c>
    </row>
    <row r="125" spans="1:9" x14ac:dyDescent="0.25">
      <c r="A125" s="33">
        <v>124</v>
      </c>
      <c r="B125" s="34">
        <f t="shared" si="3"/>
        <v>43533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7">
        <f t="shared" si="2"/>
        <v>44159</v>
      </c>
      <c r="H125" s="33">
        <v>60</v>
      </c>
      <c r="I125" s="35">
        <f>StockInData[[#This Row],[Quantity]]*2.5</f>
        <v>150</v>
      </c>
    </row>
    <row r="126" spans="1:9" x14ac:dyDescent="0.25">
      <c r="A126" s="33">
        <v>125</v>
      </c>
      <c r="B126" s="34">
        <f t="shared" si="3"/>
        <v>43534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7">
        <f t="shared" si="2"/>
        <v>44161</v>
      </c>
      <c r="H126" s="33">
        <v>40</v>
      </c>
      <c r="I126" s="35">
        <f>StockInData[[#This Row],[Quantity]]*2.5</f>
        <v>100</v>
      </c>
    </row>
    <row r="127" spans="1:9" x14ac:dyDescent="0.25">
      <c r="A127" s="33">
        <v>126</v>
      </c>
      <c r="B127" s="34">
        <f t="shared" si="3"/>
        <v>43535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7">
        <f t="shared" si="2"/>
        <v>44163</v>
      </c>
      <c r="H127" s="33">
        <v>30</v>
      </c>
      <c r="I127" s="35">
        <f>StockInData[[#This Row],[Quantity]]*2.5</f>
        <v>75</v>
      </c>
    </row>
    <row r="128" spans="1:9" x14ac:dyDescent="0.25">
      <c r="A128" s="33">
        <v>127</v>
      </c>
      <c r="B128" s="34">
        <f t="shared" si="3"/>
        <v>43536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7">
        <f t="shared" si="2"/>
        <v>44165</v>
      </c>
      <c r="H128" s="33">
        <v>25</v>
      </c>
      <c r="I128" s="35">
        <f>StockInData[[#This Row],[Quantity]]*2.5</f>
        <v>62.5</v>
      </c>
    </row>
    <row r="129" spans="1:9" x14ac:dyDescent="0.25">
      <c r="A129" s="33">
        <v>128</v>
      </c>
      <c r="B129" s="34">
        <f t="shared" si="3"/>
        <v>43537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7">
        <f t="shared" si="2"/>
        <v>44167</v>
      </c>
      <c r="H129" s="33">
        <v>20</v>
      </c>
      <c r="I129" s="35">
        <f>StockInData[[#This Row],[Quantity]]*2.5</f>
        <v>50</v>
      </c>
    </row>
    <row r="130" spans="1:9" x14ac:dyDescent="0.25">
      <c r="A130" s="33">
        <v>129</v>
      </c>
      <c r="B130" s="34">
        <f t="shared" si="3"/>
        <v>43538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7">
        <f t="shared" si="2"/>
        <v>44169</v>
      </c>
      <c r="H130" s="33">
        <v>19</v>
      </c>
      <c r="I130" s="35">
        <f>StockInData[[#This Row],[Quantity]]*2.5</f>
        <v>47.5</v>
      </c>
    </row>
    <row r="131" spans="1:9" x14ac:dyDescent="0.25">
      <c r="A131" s="33">
        <v>130</v>
      </c>
      <c r="B131" s="34">
        <f t="shared" si="3"/>
        <v>43539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7">
        <f t="shared" si="2"/>
        <v>44171</v>
      </c>
      <c r="H131" s="33">
        <v>23</v>
      </c>
      <c r="I131" s="35">
        <f>StockInData[[#This Row],[Quantity]]*2.5</f>
        <v>57.5</v>
      </c>
    </row>
    <row r="132" spans="1:9" x14ac:dyDescent="0.25">
      <c r="A132" s="33">
        <v>131</v>
      </c>
      <c r="B132" s="34">
        <f t="shared" si="3"/>
        <v>43540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7">
        <f t="shared" ref="G132:G195" si="4">G131+2</f>
        <v>44173</v>
      </c>
      <c r="H132" s="33">
        <v>65</v>
      </c>
      <c r="I132" s="35">
        <f>StockInData[[#This Row],[Quantity]]*2.5</f>
        <v>162.5</v>
      </c>
    </row>
    <row r="133" spans="1:9" x14ac:dyDescent="0.25">
      <c r="A133" s="33">
        <v>132</v>
      </c>
      <c r="B133" s="34">
        <f t="shared" ref="B133:B196" si="5">B132+1</f>
        <v>43541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7">
        <f t="shared" si="4"/>
        <v>44175</v>
      </c>
      <c r="H133" s="33">
        <v>74</v>
      </c>
      <c r="I133" s="35">
        <f>StockInData[[#This Row],[Quantity]]*2.5</f>
        <v>185</v>
      </c>
    </row>
    <row r="134" spans="1:9" x14ac:dyDescent="0.25">
      <c r="A134" s="33">
        <v>133</v>
      </c>
      <c r="B134" s="34">
        <f t="shared" si="5"/>
        <v>43542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7">
        <f t="shared" si="4"/>
        <v>44177</v>
      </c>
      <c r="H134" s="33">
        <v>84</v>
      </c>
      <c r="I134" s="35">
        <f>StockInData[[#This Row],[Quantity]]*2.5</f>
        <v>210</v>
      </c>
    </row>
    <row r="135" spans="1:9" x14ac:dyDescent="0.25">
      <c r="A135" s="33">
        <v>134</v>
      </c>
      <c r="B135" s="34">
        <f t="shared" si="5"/>
        <v>43543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7">
        <f t="shared" si="4"/>
        <v>44179</v>
      </c>
      <c r="H135" s="33">
        <v>99</v>
      </c>
      <c r="I135" s="35">
        <f>StockInData[[#This Row],[Quantity]]*2.5</f>
        <v>247.5</v>
      </c>
    </row>
    <row r="136" spans="1:9" x14ac:dyDescent="0.25">
      <c r="A136" s="33">
        <v>135</v>
      </c>
      <c r="B136" s="34">
        <f t="shared" si="5"/>
        <v>43544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7">
        <f t="shared" si="4"/>
        <v>44181</v>
      </c>
      <c r="H136" s="33">
        <v>101</v>
      </c>
      <c r="I136" s="35">
        <f>StockInData[[#This Row],[Quantity]]*2.5</f>
        <v>252.5</v>
      </c>
    </row>
    <row r="137" spans="1:9" x14ac:dyDescent="0.25">
      <c r="A137" s="33">
        <v>136</v>
      </c>
      <c r="B137" s="34">
        <f t="shared" si="5"/>
        <v>43545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7">
        <f t="shared" si="4"/>
        <v>44183</v>
      </c>
      <c r="H137" s="33">
        <v>100</v>
      </c>
      <c r="I137" s="35">
        <f>StockInData[[#This Row],[Quantity]]*2.5</f>
        <v>250</v>
      </c>
    </row>
    <row r="138" spans="1:9" x14ac:dyDescent="0.25">
      <c r="A138" s="33">
        <v>137</v>
      </c>
      <c r="B138" s="34">
        <f t="shared" si="5"/>
        <v>43546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7">
        <f t="shared" si="4"/>
        <v>44185</v>
      </c>
      <c r="H138" s="33">
        <v>60</v>
      </c>
      <c r="I138" s="35">
        <f>StockInData[[#This Row],[Quantity]]*2.5</f>
        <v>150</v>
      </c>
    </row>
    <row r="139" spans="1:9" x14ac:dyDescent="0.25">
      <c r="A139" s="33">
        <v>138</v>
      </c>
      <c r="B139" s="34">
        <f t="shared" si="5"/>
        <v>43547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7">
        <f t="shared" si="4"/>
        <v>44187</v>
      </c>
      <c r="H139" s="33">
        <v>40</v>
      </c>
      <c r="I139" s="35">
        <f>StockInData[[#This Row],[Quantity]]*2.5</f>
        <v>100</v>
      </c>
    </row>
    <row r="140" spans="1:9" x14ac:dyDescent="0.25">
      <c r="A140" s="33">
        <v>139</v>
      </c>
      <c r="B140" s="34">
        <f t="shared" si="5"/>
        <v>43548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7">
        <f t="shared" si="4"/>
        <v>44189</v>
      </c>
      <c r="H140" s="33">
        <v>30</v>
      </c>
      <c r="I140" s="35">
        <f>StockInData[[#This Row],[Quantity]]*2.5</f>
        <v>75</v>
      </c>
    </row>
    <row r="141" spans="1:9" x14ac:dyDescent="0.25">
      <c r="A141" s="33">
        <v>140</v>
      </c>
      <c r="B141" s="34">
        <f t="shared" si="5"/>
        <v>43549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7">
        <f t="shared" si="4"/>
        <v>44191</v>
      </c>
      <c r="H141" s="33">
        <v>25</v>
      </c>
      <c r="I141" s="35">
        <f>StockInData[[#This Row],[Quantity]]*2.5</f>
        <v>62.5</v>
      </c>
    </row>
    <row r="142" spans="1:9" x14ac:dyDescent="0.25">
      <c r="A142" s="33">
        <v>141</v>
      </c>
      <c r="B142" s="34">
        <f t="shared" si="5"/>
        <v>43550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7">
        <f t="shared" si="4"/>
        <v>44193</v>
      </c>
      <c r="H142" s="33">
        <v>20</v>
      </c>
      <c r="I142" s="35">
        <f>StockInData[[#This Row],[Quantity]]*2.5</f>
        <v>50</v>
      </c>
    </row>
    <row r="143" spans="1:9" x14ac:dyDescent="0.25">
      <c r="A143" s="33">
        <v>142</v>
      </c>
      <c r="B143" s="34">
        <f t="shared" si="5"/>
        <v>43551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7">
        <f t="shared" si="4"/>
        <v>44195</v>
      </c>
      <c r="H143" s="33">
        <v>19</v>
      </c>
      <c r="I143" s="35">
        <f>StockInData[[#This Row],[Quantity]]*2.5</f>
        <v>47.5</v>
      </c>
    </row>
    <row r="144" spans="1:9" x14ac:dyDescent="0.25">
      <c r="A144" s="33">
        <v>143</v>
      </c>
      <c r="B144" s="34">
        <f t="shared" si="5"/>
        <v>43552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7">
        <f t="shared" si="4"/>
        <v>44197</v>
      </c>
      <c r="H144" s="33">
        <v>23</v>
      </c>
      <c r="I144" s="35">
        <f>StockInData[[#This Row],[Quantity]]*2.5</f>
        <v>57.5</v>
      </c>
    </row>
    <row r="145" spans="1:9" x14ac:dyDescent="0.25">
      <c r="A145" s="33">
        <v>144</v>
      </c>
      <c r="B145" s="34">
        <f t="shared" si="5"/>
        <v>43553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7">
        <f t="shared" si="4"/>
        <v>44199</v>
      </c>
      <c r="H145" s="33">
        <v>65</v>
      </c>
      <c r="I145" s="35">
        <f>StockInData[[#This Row],[Quantity]]*2.5</f>
        <v>162.5</v>
      </c>
    </row>
    <row r="146" spans="1:9" x14ac:dyDescent="0.25">
      <c r="A146" s="33">
        <v>145</v>
      </c>
      <c r="B146" s="34">
        <f t="shared" si="5"/>
        <v>43554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7">
        <f t="shared" si="4"/>
        <v>44201</v>
      </c>
      <c r="H146" s="33">
        <v>74</v>
      </c>
      <c r="I146" s="35">
        <f>StockInData[[#This Row],[Quantity]]*2.5</f>
        <v>185</v>
      </c>
    </row>
    <row r="147" spans="1:9" x14ac:dyDescent="0.25">
      <c r="A147" s="33">
        <v>146</v>
      </c>
      <c r="B147" s="34">
        <f t="shared" si="5"/>
        <v>43555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7">
        <f t="shared" si="4"/>
        <v>44203</v>
      </c>
      <c r="H147" s="33">
        <v>84</v>
      </c>
      <c r="I147" s="35">
        <f>StockInData[[#This Row],[Quantity]]*2.5</f>
        <v>210</v>
      </c>
    </row>
    <row r="148" spans="1:9" x14ac:dyDescent="0.25">
      <c r="A148" s="33">
        <v>147</v>
      </c>
      <c r="B148" s="34">
        <f t="shared" si="5"/>
        <v>43556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7">
        <f t="shared" si="4"/>
        <v>44205</v>
      </c>
      <c r="H148" s="33">
        <v>99</v>
      </c>
      <c r="I148" s="35">
        <f>StockInData[[#This Row],[Quantity]]*2.5</f>
        <v>247.5</v>
      </c>
    </row>
    <row r="149" spans="1:9" x14ac:dyDescent="0.25">
      <c r="A149" s="33">
        <v>148</v>
      </c>
      <c r="B149" s="34">
        <f t="shared" si="5"/>
        <v>43557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7">
        <f t="shared" si="4"/>
        <v>44207</v>
      </c>
      <c r="H149" s="33">
        <v>101</v>
      </c>
      <c r="I149" s="35">
        <f>StockInData[[#This Row],[Quantity]]*2.5</f>
        <v>252.5</v>
      </c>
    </row>
    <row r="150" spans="1:9" x14ac:dyDescent="0.25">
      <c r="A150" s="33">
        <v>149</v>
      </c>
      <c r="B150" s="34">
        <f t="shared" si="5"/>
        <v>43558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7">
        <f t="shared" si="4"/>
        <v>44209</v>
      </c>
      <c r="H150" s="33">
        <v>100</v>
      </c>
      <c r="I150" s="35">
        <f>StockInData[[#This Row],[Quantity]]*2.5</f>
        <v>250</v>
      </c>
    </row>
    <row r="151" spans="1:9" x14ac:dyDescent="0.25">
      <c r="A151" s="33">
        <v>150</v>
      </c>
      <c r="B151" s="34">
        <f t="shared" si="5"/>
        <v>43559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7">
        <f t="shared" si="4"/>
        <v>44211</v>
      </c>
      <c r="H151" s="33">
        <v>100</v>
      </c>
      <c r="I151" s="35">
        <f>StockInData[[#This Row],[Quantity]]*2.5</f>
        <v>250</v>
      </c>
    </row>
    <row r="152" spans="1:9" x14ac:dyDescent="0.25">
      <c r="A152" s="33">
        <v>151</v>
      </c>
      <c r="B152" s="34">
        <f t="shared" si="5"/>
        <v>43560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7">
        <f t="shared" si="4"/>
        <v>44213</v>
      </c>
      <c r="H152" s="33">
        <v>100</v>
      </c>
      <c r="I152" s="35">
        <f>StockInData[[#This Row],[Quantity]]*2.5</f>
        <v>250</v>
      </c>
    </row>
    <row r="153" spans="1:9" x14ac:dyDescent="0.25">
      <c r="A153" s="33">
        <v>152</v>
      </c>
      <c r="B153" s="34">
        <f t="shared" si="5"/>
        <v>43561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7">
        <f t="shared" si="4"/>
        <v>44215</v>
      </c>
      <c r="H153" s="33">
        <v>40</v>
      </c>
      <c r="I153" s="35">
        <f>StockInData[[#This Row],[Quantity]]*2.5</f>
        <v>100</v>
      </c>
    </row>
    <row r="154" spans="1:9" x14ac:dyDescent="0.25">
      <c r="A154" s="33">
        <v>153</v>
      </c>
      <c r="B154" s="34">
        <f t="shared" si="5"/>
        <v>43562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7">
        <f t="shared" si="4"/>
        <v>44217</v>
      </c>
      <c r="H154" s="33">
        <v>30</v>
      </c>
      <c r="I154" s="35">
        <f>StockInData[[#This Row],[Quantity]]*2.5</f>
        <v>75</v>
      </c>
    </row>
    <row r="155" spans="1:9" x14ac:dyDescent="0.25">
      <c r="A155" s="33">
        <v>154</v>
      </c>
      <c r="B155" s="34">
        <f t="shared" si="5"/>
        <v>43563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7">
        <f t="shared" si="4"/>
        <v>44219</v>
      </c>
      <c r="H155" s="33">
        <v>25</v>
      </c>
      <c r="I155" s="35">
        <f>StockInData[[#This Row],[Quantity]]*2.5</f>
        <v>62.5</v>
      </c>
    </row>
    <row r="156" spans="1:9" x14ac:dyDescent="0.25">
      <c r="A156" s="33">
        <v>155</v>
      </c>
      <c r="B156" s="34">
        <f t="shared" si="5"/>
        <v>43564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7">
        <f t="shared" si="4"/>
        <v>44221</v>
      </c>
      <c r="H156" s="33">
        <v>20</v>
      </c>
      <c r="I156" s="35">
        <f>StockInData[[#This Row],[Quantity]]*2.5</f>
        <v>50</v>
      </c>
    </row>
    <row r="157" spans="1:9" x14ac:dyDescent="0.25">
      <c r="A157" s="33">
        <v>156</v>
      </c>
      <c r="B157" s="34">
        <f t="shared" si="5"/>
        <v>43565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7">
        <f t="shared" si="4"/>
        <v>44223</v>
      </c>
      <c r="H157" s="33">
        <v>19</v>
      </c>
      <c r="I157" s="35">
        <f>StockInData[[#This Row],[Quantity]]*2.5</f>
        <v>47.5</v>
      </c>
    </row>
    <row r="158" spans="1:9" x14ac:dyDescent="0.25">
      <c r="A158" s="33">
        <v>157</v>
      </c>
      <c r="B158" s="34">
        <f t="shared" si="5"/>
        <v>43566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7">
        <f t="shared" si="4"/>
        <v>44225</v>
      </c>
      <c r="H158" s="33">
        <v>23</v>
      </c>
      <c r="I158" s="35">
        <f>StockInData[[#This Row],[Quantity]]*2.5</f>
        <v>57.5</v>
      </c>
    </row>
    <row r="159" spans="1:9" x14ac:dyDescent="0.25">
      <c r="A159" s="33">
        <v>158</v>
      </c>
      <c r="B159" s="34">
        <f t="shared" si="5"/>
        <v>43567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7">
        <f t="shared" si="4"/>
        <v>44227</v>
      </c>
      <c r="H159" s="33">
        <v>65</v>
      </c>
      <c r="I159" s="35">
        <f>StockInData[[#This Row],[Quantity]]*2.5</f>
        <v>162.5</v>
      </c>
    </row>
    <row r="160" spans="1:9" x14ac:dyDescent="0.25">
      <c r="A160" s="33">
        <v>159</v>
      </c>
      <c r="B160" s="34">
        <f t="shared" si="5"/>
        <v>43568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7">
        <f t="shared" si="4"/>
        <v>44229</v>
      </c>
      <c r="H160" s="33">
        <v>74</v>
      </c>
      <c r="I160" s="35">
        <f>StockInData[[#This Row],[Quantity]]*2.5</f>
        <v>185</v>
      </c>
    </row>
    <row r="161" spans="1:9" x14ac:dyDescent="0.25">
      <c r="A161" s="33">
        <v>160</v>
      </c>
      <c r="B161" s="34">
        <f t="shared" si="5"/>
        <v>43569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7">
        <f t="shared" si="4"/>
        <v>44231</v>
      </c>
      <c r="H161" s="33">
        <v>84</v>
      </c>
      <c r="I161" s="35">
        <f>StockInData[[#This Row],[Quantity]]*2.5</f>
        <v>210</v>
      </c>
    </row>
    <row r="162" spans="1:9" x14ac:dyDescent="0.25">
      <c r="A162" s="33">
        <v>161</v>
      </c>
      <c r="B162" s="34">
        <f t="shared" si="5"/>
        <v>43570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7">
        <f t="shared" si="4"/>
        <v>44233</v>
      </c>
      <c r="H162" s="33">
        <v>99</v>
      </c>
      <c r="I162" s="35">
        <f>StockInData[[#This Row],[Quantity]]*2.5</f>
        <v>247.5</v>
      </c>
    </row>
    <row r="163" spans="1:9" x14ac:dyDescent="0.25">
      <c r="A163" s="33">
        <v>162</v>
      </c>
      <c r="B163" s="34">
        <f t="shared" si="5"/>
        <v>43571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7">
        <f t="shared" si="4"/>
        <v>44235</v>
      </c>
      <c r="H163" s="33">
        <v>101</v>
      </c>
      <c r="I163" s="35">
        <f>StockInData[[#This Row],[Quantity]]*2.5</f>
        <v>252.5</v>
      </c>
    </row>
    <row r="164" spans="1:9" x14ac:dyDescent="0.25">
      <c r="A164" s="33">
        <v>163</v>
      </c>
      <c r="B164" s="34">
        <f t="shared" si="5"/>
        <v>43572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7">
        <f t="shared" si="4"/>
        <v>44237</v>
      </c>
      <c r="H164" s="33">
        <v>60</v>
      </c>
      <c r="I164" s="35">
        <f>StockInData[[#This Row],[Quantity]]*2.5</f>
        <v>150</v>
      </c>
    </row>
    <row r="165" spans="1:9" x14ac:dyDescent="0.25">
      <c r="A165" s="33">
        <v>164</v>
      </c>
      <c r="B165" s="34">
        <f t="shared" si="5"/>
        <v>43573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7">
        <f t="shared" si="4"/>
        <v>44239</v>
      </c>
      <c r="H165" s="33">
        <v>40</v>
      </c>
      <c r="I165" s="35">
        <f>StockInData[[#This Row],[Quantity]]*2.5</f>
        <v>100</v>
      </c>
    </row>
    <row r="166" spans="1:9" x14ac:dyDescent="0.25">
      <c r="A166" s="33">
        <v>165</v>
      </c>
      <c r="B166" s="34">
        <f t="shared" si="5"/>
        <v>43574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7">
        <f t="shared" si="4"/>
        <v>44241</v>
      </c>
      <c r="H166" s="33">
        <v>30</v>
      </c>
      <c r="I166" s="35">
        <f>StockInData[[#This Row],[Quantity]]*2.5</f>
        <v>75</v>
      </c>
    </row>
    <row r="167" spans="1:9" x14ac:dyDescent="0.25">
      <c r="A167" s="33">
        <v>166</v>
      </c>
      <c r="B167" s="34">
        <f t="shared" si="5"/>
        <v>43575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7">
        <f t="shared" si="4"/>
        <v>44243</v>
      </c>
      <c r="H167" s="33">
        <v>25</v>
      </c>
      <c r="I167" s="35">
        <f>StockInData[[#This Row],[Quantity]]*2.5</f>
        <v>62.5</v>
      </c>
    </row>
    <row r="168" spans="1:9" x14ac:dyDescent="0.25">
      <c r="A168" s="33">
        <v>167</v>
      </c>
      <c r="B168" s="34">
        <f t="shared" si="5"/>
        <v>43576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7">
        <f t="shared" si="4"/>
        <v>44245</v>
      </c>
      <c r="H168" s="33">
        <v>20</v>
      </c>
      <c r="I168" s="35">
        <f>StockInData[[#This Row],[Quantity]]*2.5</f>
        <v>50</v>
      </c>
    </row>
    <row r="169" spans="1:9" x14ac:dyDescent="0.25">
      <c r="A169" s="33">
        <v>168</v>
      </c>
      <c r="B169" s="34">
        <f t="shared" si="5"/>
        <v>43577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7">
        <f t="shared" si="4"/>
        <v>44247</v>
      </c>
      <c r="H169" s="33">
        <v>19</v>
      </c>
      <c r="I169" s="35">
        <f>StockInData[[#This Row],[Quantity]]*2.5</f>
        <v>47.5</v>
      </c>
    </row>
    <row r="170" spans="1:9" x14ac:dyDescent="0.25">
      <c r="A170" s="33">
        <v>169</v>
      </c>
      <c r="B170" s="34">
        <f t="shared" si="5"/>
        <v>43578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7">
        <f t="shared" si="4"/>
        <v>44249</v>
      </c>
      <c r="H170" s="33">
        <v>23</v>
      </c>
      <c r="I170" s="35">
        <f>StockInData[[#This Row],[Quantity]]*2.5</f>
        <v>57.5</v>
      </c>
    </row>
    <row r="171" spans="1:9" x14ac:dyDescent="0.25">
      <c r="A171" s="33">
        <v>170</v>
      </c>
      <c r="B171" s="34">
        <f t="shared" si="5"/>
        <v>43579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7">
        <f t="shared" si="4"/>
        <v>44251</v>
      </c>
      <c r="H171" s="33">
        <v>65</v>
      </c>
      <c r="I171" s="35">
        <f>StockInData[[#This Row],[Quantity]]*2.5</f>
        <v>162.5</v>
      </c>
    </row>
    <row r="172" spans="1:9" x14ac:dyDescent="0.25">
      <c r="A172" s="33">
        <v>171</v>
      </c>
      <c r="B172" s="34">
        <f t="shared" si="5"/>
        <v>43580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7">
        <f t="shared" si="4"/>
        <v>44253</v>
      </c>
      <c r="H172" s="33">
        <v>74</v>
      </c>
      <c r="I172" s="35">
        <f>StockInData[[#This Row],[Quantity]]*2.5</f>
        <v>185</v>
      </c>
    </row>
    <row r="173" spans="1:9" x14ac:dyDescent="0.25">
      <c r="A173" s="33">
        <v>172</v>
      </c>
      <c r="B173" s="34">
        <f t="shared" si="5"/>
        <v>43581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7">
        <f t="shared" si="4"/>
        <v>44255</v>
      </c>
      <c r="H173" s="33">
        <v>84</v>
      </c>
      <c r="I173" s="35">
        <f>StockInData[[#This Row],[Quantity]]*2.5</f>
        <v>210</v>
      </c>
    </row>
    <row r="174" spans="1:9" x14ac:dyDescent="0.25">
      <c r="A174" s="33">
        <v>173</v>
      </c>
      <c r="B174" s="34">
        <f t="shared" si="5"/>
        <v>43582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7">
        <f t="shared" si="4"/>
        <v>44257</v>
      </c>
      <c r="H174" s="33">
        <v>99</v>
      </c>
      <c r="I174" s="35">
        <f>StockInData[[#This Row],[Quantity]]*2.5</f>
        <v>247.5</v>
      </c>
    </row>
    <row r="175" spans="1:9" x14ac:dyDescent="0.25">
      <c r="A175" s="33">
        <v>174</v>
      </c>
      <c r="B175" s="34">
        <f t="shared" si="5"/>
        <v>43583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7">
        <f t="shared" si="4"/>
        <v>44259</v>
      </c>
      <c r="H175" s="33">
        <v>101</v>
      </c>
      <c r="I175" s="35">
        <f>StockInData[[#This Row],[Quantity]]*2.5</f>
        <v>252.5</v>
      </c>
    </row>
    <row r="176" spans="1:9" x14ac:dyDescent="0.25">
      <c r="A176" s="33">
        <v>175</v>
      </c>
      <c r="B176" s="34">
        <f t="shared" si="5"/>
        <v>43584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7">
        <f t="shared" si="4"/>
        <v>44261</v>
      </c>
      <c r="H176" s="33">
        <v>60</v>
      </c>
      <c r="I176" s="35">
        <f>StockInData[[#This Row],[Quantity]]*2.5</f>
        <v>150</v>
      </c>
    </row>
    <row r="177" spans="1:9" x14ac:dyDescent="0.25">
      <c r="A177" s="33">
        <v>176</v>
      </c>
      <c r="B177" s="34">
        <f t="shared" si="5"/>
        <v>43585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7">
        <f t="shared" si="4"/>
        <v>44263</v>
      </c>
      <c r="H177" s="33">
        <v>40</v>
      </c>
      <c r="I177" s="35">
        <f>StockInData[[#This Row],[Quantity]]*2.5</f>
        <v>100</v>
      </c>
    </row>
    <row r="178" spans="1:9" x14ac:dyDescent="0.25">
      <c r="A178" s="33">
        <v>177</v>
      </c>
      <c r="B178" s="34">
        <f t="shared" si="5"/>
        <v>43586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7">
        <f t="shared" si="4"/>
        <v>44265</v>
      </c>
      <c r="H178" s="33">
        <v>30</v>
      </c>
      <c r="I178" s="35">
        <f>StockInData[[#This Row],[Quantity]]*2.5</f>
        <v>75</v>
      </c>
    </row>
    <row r="179" spans="1:9" x14ac:dyDescent="0.25">
      <c r="A179" s="33">
        <v>178</v>
      </c>
      <c r="B179" s="34">
        <f t="shared" si="5"/>
        <v>43587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7">
        <f t="shared" si="4"/>
        <v>44267</v>
      </c>
      <c r="H179" s="33">
        <v>25</v>
      </c>
      <c r="I179" s="35">
        <f>StockInData[[#This Row],[Quantity]]*2.5</f>
        <v>62.5</v>
      </c>
    </row>
    <row r="180" spans="1:9" x14ac:dyDescent="0.25">
      <c r="A180" s="33">
        <v>179</v>
      </c>
      <c r="B180" s="34">
        <f t="shared" si="5"/>
        <v>43588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7">
        <f t="shared" si="4"/>
        <v>44269</v>
      </c>
      <c r="H180" s="33">
        <v>20</v>
      </c>
      <c r="I180" s="35">
        <f>StockInData[[#This Row],[Quantity]]*2.5</f>
        <v>50</v>
      </c>
    </row>
    <row r="181" spans="1:9" x14ac:dyDescent="0.25">
      <c r="A181" s="33">
        <v>180</v>
      </c>
      <c r="B181" s="34">
        <f t="shared" si="5"/>
        <v>43589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7">
        <f t="shared" si="4"/>
        <v>44271</v>
      </c>
      <c r="H181" s="33">
        <v>19</v>
      </c>
      <c r="I181" s="35">
        <f>StockInData[[#This Row],[Quantity]]*2.5</f>
        <v>47.5</v>
      </c>
    </row>
    <row r="182" spans="1:9" x14ac:dyDescent="0.25">
      <c r="A182" s="33">
        <v>181</v>
      </c>
      <c r="B182" s="34">
        <f t="shared" si="5"/>
        <v>43590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7">
        <f t="shared" si="4"/>
        <v>44273</v>
      </c>
      <c r="H182" s="33">
        <v>23</v>
      </c>
      <c r="I182" s="35">
        <f>StockInData[[#This Row],[Quantity]]*2.5</f>
        <v>57.5</v>
      </c>
    </row>
    <row r="183" spans="1:9" x14ac:dyDescent="0.25">
      <c r="A183" s="33">
        <v>182</v>
      </c>
      <c r="B183" s="34">
        <f t="shared" si="5"/>
        <v>43591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7">
        <f t="shared" si="4"/>
        <v>44275</v>
      </c>
      <c r="H183" s="33">
        <v>65</v>
      </c>
      <c r="I183" s="35">
        <f>StockInData[[#This Row],[Quantity]]*2.5</f>
        <v>162.5</v>
      </c>
    </row>
    <row r="184" spans="1:9" x14ac:dyDescent="0.25">
      <c r="A184" s="33">
        <v>183</v>
      </c>
      <c r="B184" s="34">
        <f t="shared" si="5"/>
        <v>43592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7">
        <f t="shared" si="4"/>
        <v>44277</v>
      </c>
      <c r="H184" s="33">
        <v>74</v>
      </c>
      <c r="I184" s="35">
        <f>StockInData[[#This Row],[Quantity]]*2.5</f>
        <v>185</v>
      </c>
    </row>
    <row r="185" spans="1:9" x14ac:dyDescent="0.25">
      <c r="A185" s="33">
        <v>184</v>
      </c>
      <c r="B185" s="34">
        <f t="shared" si="5"/>
        <v>43593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7">
        <f t="shared" si="4"/>
        <v>44279</v>
      </c>
      <c r="H185" s="33">
        <v>84</v>
      </c>
      <c r="I185" s="35">
        <f>StockInData[[#This Row],[Quantity]]*2.5</f>
        <v>210</v>
      </c>
    </row>
    <row r="186" spans="1:9" x14ac:dyDescent="0.25">
      <c r="A186" s="33">
        <v>185</v>
      </c>
      <c r="B186" s="34">
        <f t="shared" si="5"/>
        <v>43594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7">
        <f t="shared" si="4"/>
        <v>44281</v>
      </c>
      <c r="H186" s="33">
        <v>99</v>
      </c>
      <c r="I186" s="35">
        <f>StockInData[[#This Row],[Quantity]]*2.5</f>
        <v>247.5</v>
      </c>
    </row>
    <row r="187" spans="1:9" x14ac:dyDescent="0.25">
      <c r="A187" s="33">
        <v>186</v>
      </c>
      <c r="B187" s="34">
        <f t="shared" si="5"/>
        <v>43595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7">
        <f t="shared" si="4"/>
        <v>44283</v>
      </c>
      <c r="H187" s="33">
        <v>101</v>
      </c>
      <c r="I187" s="35">
        <f>StockInData[[#This Row],[Quantity]]*2.5</f>
        <v>252.5</v>
      </c>
    </row>
    <row r="188" spans="1:9" x14ac:dyDescent="0.25">
      <c r="A188" s="33">
        <v>187</v>
      </c>
      <c r="B188" s="34">
        <f t="shared" si="5"/>
        <v>43596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7">
        <f t="shared" si="4"/>
        <v>44285</v>
      </c>
      <c r="H188" s="33">
        <v>100</v>
      </c>
      <c r="I188" s="35">
        <f>StockInData[[#This Row],[Quantity]]*2.5</f>
        <v>250</v>
      </c>
    </row>
    <row r="189" spans="1:9" x14ac:dyDescent="0.25">
      <c r="A189" s="33">
        <v>188</v>
      </c>
      <c r="B189" s="34">
        <f t="shared" si="5"/>
        <v>43597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7">
        <f t="shared" si="4"/>
        <v>44287</v>
      </c>
      <c r="H189" s="33">
        <v>60</v>
      </c>
      <c r="I189" s="35">
        <f>StockInData[[#This Row],[Quantity]]*2.5</f>
        <v>150</v>
      </c>
    </row>
    <row r="190" spans="1:9" x14ac:dyDescent="0.25">
      <c r="A190" s="33">
        <v>189</v>
      </c>
      <c r="B190" s="34">
        <f t="shared" si="5"/>
        <v>43598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7">
        <f t="shared" si="4"/>
        <v>44289</v>
      </c>
      <c r="H190" s="33">
        <v>40</v>
      </c>
      <c r="I190" s="35">
        <f>StockInData[[#This Row],[Quantity]]*2.5</f>
        <v>100</v>
      </c>
    </row>
    <row r="191" spans="1:9" x14ac:dyDescent="0.25">
      <c r="A191" s="33">
        <v>190</v>
      </c>
      <c r="B191" s="34">
        <f t="shared" si="5"/>
        <v>43599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7">
        <f t="shared" si="4"/>
        <v>44291</v>
      </c>
      <c r="H191" s="33">
        <v>30</v>
      </c>
      <c r="I191" s="35">
        <f>StockInData[[#This Row],[Quantity]]*2.5</f>
        <v>75</v>
      </c>
    </row>
    <row r="192" spans="1:9" x14ac:dyDescent="0.25">
      <c r="A192" s="33">
        <v>191</v>
      </c>
      <c r="B192" s="34">
        <f t="shared" si="5"/>
        <v>43600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7">
        <f t="shared" si="4"/>
        <v>44293</v>
      </c>
      <c r="H192" s="33">
        <v>25</v>
      </c>
      <c r="I192" s="35">
        <f>StockInData[[#This Row],[Quantity]]*2.5</f>
        <v>62.5</v>
      </c>
    </row>
    <row r="193" spans="1:9" x14ac:dyDescent="0.25">
      <c r="A193" s="33">
        <v>192</v>
      </c>
      <c r="B193" s="34">
        <f t="shared" si="5"/>
        <v>43601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7">
        <f t="shared" si="4"/>
        <v>44295</v>
      </c>
      <c r="H193" s="33">
        <v>20</v>
      </c>
      <c r="I193" s="35">
        <f>StockInData[[#This Row],[Quantity]]*2.5</f>
        <v>50</v>
      </c>
    </row>
    <row r="194" spans="1:9" x14ac:dyDescent="0.25">
      <c r="A194" s="33">
        <v>193</v>
      </c>
      <c r="B194" s="34">
        <f t="shared" si="5"/>
        <v>43602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7">
        <f t="shared" si="4"/>
        <v>44297</v>
      </c>
      <c r="H194" s="33">
        <v>19</v>
      </c>
      <c r="I194" s="35">
        <f>StockInData[[#This Row],[Quantity]]*2.5</f>
        <v>47.5</v>
      </c>
    </row>
    <row r="195" spans="1:9" x14ac:dyDescent="0.25">
      <c r="A195" s="33">
        <v>194</v>
      </c>
      <c r="B195" s="34">
        <f t="shared" si="5"/>
        <v>43603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7">
        <f t="shared" si="4"/>
        <v>44299</v>
      </c>
      <c r="H195" s="33">
        <v>23</v>
      </c>
      <c r="I195" s="35">
        <f>StockInData[[#This Row],[Quantity]]*2.5</f>
        <v>57.5</v>
      </c>
    </row>
    <row r="196" spans="1:9" x14ac:dyDescent="0.25">
      <c r="A196" s="33">
        <v>195</v>
      </c>
      <c r="B196" s="34">
        <f t="shared" si="5"/>
        <v>43604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7">
        <f t="shared" ref="G196:G259" si="6">G195+2</f>
        <v>44301</v>
      </c>
      <c r="H196" s="33">
        <v>65</v>
      </c>
      <c r="I196" s="35">
        <f>StockInData[[#This Row],[Quantity]]*2.5</f>
        <v>162.5</v>
      </c>
    </row>
    <row r="197" spans="1:9" x14ac:dyDescent="0.25">
      <c r="A197" s="33">
        <v>196</v>
      </c>
      <c r="B197" s="34">
        <f t="shared" ref="B197:B260" si="7">B196+1</f>
        <v>43605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7">
        <f t="shared" si="6"/>
        <v>44303</v>
      </c>
      <c r="H197" s="33">
        <v>74</v>
      </c>
      <c r="I197" s="35">
        <f>StockInData[[#This Row],[Quantity]]*2.5</f>
        <v>185</v>
      </c>
    </row>
    <row r="198" spans="1:9" x14ac:dyDescent="0.25">
      <c r="A198" s="33">
        <v>197</v>
      </c>
      <c r="B198" s="34">
        <f t="shared" si="7"/>
        <v>43606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7">
        <f t="shared" si="6"/>
        <v>44305</v>
      </c>
      <c r="H198" s="33">
        <v>84</v>
      </c>
      <c r="I198" s="35">
        <f>StockInData[[#This Row],[Quantity]]*2.5</f>
        <v>210</v>
      </c>
    </row>
    <row r="199" spans="1:9" x14ac:dyDescent="0.25">
      <c r="A199" s="33">
        <v>198</v>
      </c>
      <c r="B199" s="34">
        <f t="shared" si="7"/>
        <v>43607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7">
        <f t="shared" si="6"/>
        <v>44307</v>
      </c>
      <c r="H199" s="33">
        <v>99</v>
      </c>
      <c r="I199" s="35">
        <f>StockInData[[#This Row],[Quantity]]*2.5</f>
        <v>247.5</v>
      </c>
    </row>
    <row r="200" spans="1:9" x14ac:dyDescent="0.25">
      <c r="A200" s="33">
        <v>199</v>
      </c>
      <c r="B200" s="34">
        <f t="shared" si="7"/>
        <v>43608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7">
        <f t="shared" si="6"/>
        <v>44309</v>
      </c>
      <c r="H200" s="33">
        <v>101</v>
      </c>
      <c r="I200" s="35">
        <f>StockInData[[#This Row],[Quantity]]*2.5</f>
        <v>252.5</v>
      </c>
    </row>
    <row r="201" spans="1:9" x14ac:dyDescent="0.25">
      <c r="A201" s="33">
        <v>200</v>
      </c>
      <c r="B201" s="34">
        <f t="shared" si="7"/>
        <v>43609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7">
        <f t="shared" si="6"/>
        <v>44311</v>
      </c>
      <c r="H201" s="33">
        <v>100</v>
      </c>
      <c r="I201" s="35">
        <f>StockInData[[#This Row],[Quantity]]*2.5</f>
        <v>250</v>
      </c>
    </row>
    <row r="202" spans="1:9" x14ac:dyDescent="0.25">
      <c r="A202" s="33">
        <v>201</v>
      </c>
      <c r="B202" s="34">
        <f t="shared" si="7"/>
        <v>43610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7">
        <f t="shared" si="6"/>
        <v>44313</v>
      </c>
      <c r="H202" s="33">
        <v>100</v>
      </c>
      <c r="I202" s="35">
        <f>StockInData[[#This Row],[Quantity]]*2.5</f>
        <v>250</v>
      </c>
    </row>
    <row r="203" spans="1:9" x14ac:dyDescent="0.25">
      <c r="A203" s="33">
        <v>202</v>
      </c>
      <c r="B203" s="34">
        <f t="shared" si="7"/>
        <v>43611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7">
        <f t="shared" si="6"/>
        <v>44315</v>
      </c>
      <c r="H203" s="33">
        <v>100</v>
      </c>
      <c r="I203" s="35">
        <f>StockInData[[#This Row],[Quantity]]*2.5</f>
        <v>250</v>
      </c>
    </row>
    <row r="204" spans="1:9" x14ac:dyDescent="0.25">
      <c r="A204" s="33">
        <v>203</v>
      </c>
      <c r="B204" s="34">
        <f t="shared" si="7"/>
        <v>43612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7">
        <f t="shared" si="6"/>
        <v>44317</v>
      </c>
      <c r="H204" s="33">
        <v>100</v>
      </c>
      <c r="I204" s="35">
        <f>StockInData[[#This Row],[Quantity]]*2.5</f>
        <v>250</v>
      </c>
    </row>
    <row r="205" spans="1:9" x14ac:dyDescent="0.25">
      <c r="A205" s="33">
        <v>204</v>
      </c>
      <c r="B205" s="34">
        <f t="shared" si="7"/>
        <v>43613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7">
        <f t="shared" si="6"/>
        <v>44319</v>
      </c>
      <c r="H205" s="33">
        <v>40</v>
      </c>
      <c r="I205" s="35">
        <f>StockInData[[#This Row],[Quantity]]*2.5</f>
        <v>100</v>
      </c>
    </row>
    <row r="206" spans="1:9" x14ac:dyDescent="0.25">
      <c r="A206" s="33">
        <v>205</v>
      </c>
      <c r="B206" s="34">
        <f t="shared" si="7"/>
        <v>43614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7">
        <f t="shared" si="6"/>
        <v>44321</v>
      </c>
      <c r="H206" s="33">
        <v>30</v>
      </c>
      <c r="I206" s="35">
        <f>StockInData[[#This Row],[Quantity]]*2.5</f>
        <v>75</v>
      </c>
    </row>
    <row r="207" spans="1:9" x14ac:dyDescent="0.25">
      <c r="A207" s="33">
        <v>206</v>
      </c>
      <c r="B207" s="34">
        <f t="shared" si="7"/>
        <v>43615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7">
        <f t="shared" si="6"/>
        <v>44323</v>
      </c>
      <c r="H207" s="33">
        <v>25</v>
      </c>
      <c r="I207" s="35">
        <f>StockInData[[#This Row],[Quantity]]*2.5</f>
        <v>62.5</v>
      </c>
    </row>
    <row r="208" spans="1:9" x14ac:dyDescent="0.25">
      <c r="A208" s="33">
        <v>207</v>
      </c>
      <c r="B208" s="34">
        <f t="shared" si="7"/>
        <v>43616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7">
        <f t="shared" si="6"/>
        <v>44325</v>
      </c>
      <c r="H208" s="33">
        <v>20</v>
      </c>
      <c r="I208" s="35">
        <f>StockInData[[#This Row],[Quantity]]*2.5</f>
        <v>50</v>
      </c>
    </row>
    <row r="209" spans="1:9" x14ac:dyDescent="0.25">
      <c r="A209" s="33">
        <v>208</v>
      </c>
      <c r="B209" s="34">
        <f t="shared" si="7"/>
        <v>43617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7">
        <f t="shared" si="6"/>
        <v>44327</v>
      </c>
      <c r="H209" s="33">
        <v>19</v>
      </c>
      <c r="I209" s="35">
        <f>StockInData[[#This Row],[Quantity]]*2.5</f>
        <v>47.5</v>
      </c>
    </row>
    <row r="210" spans="1:9" x14ac:dyDescent="0.25">
      <c r="A210" s="33">
        <v>209</v>
      </c>
      <c r="B210" s="34">
        <f t="shared" si="7"/>
        <v>43618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7">
        <f t="shared" si="6"/>
        <v>44329</v>
      </c>
      <c r="H210" s="33">
        <v>23</v>
      </c>
      <c r="I210" s="35">
        <f>StockInData[[#This Row],[Quantity]]*2.5</f>
        <v>57.5</v>
      </c>
    </row>
    <row r="211" spans="1:9" x14ac:dyDescent="0.25">
      <c r="A211" s="33">
        <v>210</v>
      </c>
      <c r="B211" s="34">
        <f t="shared" si="7"/>
        <v>43619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7">
        <f t="shared" si="6"/>
        <v>44331</v>
      </c>
      <c r="H211" s="33">
        <v>65</v>
      </c>
      <c r="I211" s="35">
        <f>StockInData[[#This Row],[Quantity]]*2.5</f>
        <v>162.5</v>
      </c>
    </row>
    <row r="212" spans="1:9" x14ac:dyDescent="0.25">
      <c r="A212" s="33">
        <v>211</v>
      </c>
      <c r="B212" s="34">
        <f t="shared" si="7"/>
        <v>43620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7">
        <f t="shared" si="6"/>
        <v>44333</v>
      </c>
      <c r="H212" s="33">
        <v>74</v>
      </c>
      <c r="I212" s="35">
        <f>StockInData[[#This Row],[Quantity]]*2.5</f>
        <v>185</v>
      </c>
    </row>
    <row r="213" spans="1:9" x14ac:dyDescent="0.25">
      <c r="A213" s="33">
        <v>212</v>
      </c>
      <c r="B213" s="34">
        <f t="shared" si="7"/>
        <v>43621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7">
        <f t="shared" si="6"/>
        <v>44335</v>
      </c>
      <c r="H213" s="33">
        <v>84</v>
      </c>
      <c r="I213" s="35">
        <f>StockInData[[#This Row],[Quantity]]*2.5</f>
        <v>210</v>
      </c>
    </row>
    <row r="214" spans="1:9" x14ac:dyDescent="0.25">
      <c r="A214" s="33">
        <v>213</v>
      </c>
      <c r="B214" s="34">
        <f t="shared" si="7"/>
        <v>43622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7">
        <f t="shared" si="6"/>
        <v>44337</v>
      </c>
      <c r="H214" s="33">
        <v>99</v>
      </c>
      <c r="I214" s="35">
        <f>StockInData[[#This Row],[Quantity]]*2.5</f>
        <v>247.5</v>
      </c>
    </row>
    <row r="215" spans="1:9" x14ac:dyDescent="0.25">
      <c r="A215" s="33">
        <v>214</v>
      </c>
      <c r="B215" s="34">
        <f t="shared" si="7"/>
        <v>43623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7">
        <f t="shared" si="6"/>
        <v>44339</v>
      </c>
      <c r="H215" s="33">
        <v>101</v>
      </c>
      <c r="I215" s="35">
        <f>StockInData[[#This Row],[Quantity]]*2.5</f>
        <v>252.5</v>
      </c>
    </row>
    <row r="216" spans="1:9" x14ac:dyDescent="0.25">
      <c r="A216" s="33">
        <v>215</v>
      </c>
      <c r="B216" s="34">
        <f t="shared" si="7"/>
        <v>43624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7">
        <f t="shared" si="6"/>
        <v>44341</v>
      </c>
      <c r="H216" s="33">
        <v>60</v>
      </c>
      <c r="I216" s="35">
        <f>StockInData[[#This Row],[Quantity]]*2.5</f>
        <v>150</v>
      </c>
    </row>
    <row r="217" spans="1:9" x14ac:dyDescent="0.25">
      <c r="A217" s="33">
        <v>216</v>
      </c>
      <c r="B217" s="34">
        <f t="shared" si="7"/>
        <v>43625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7">
        <f t="shared" si="6"/>
        <v>44343</v>
      </c>
      <c r="H217" s="33">
        <v>40</v>
      </c>
      <c r="I217" s="35">
        <f>StockInData[[#This Row],[Quantity]]*2.5</f>
        <v>100</v>
      </c>
    </row>
    <row r="218" spans="1:9" x14ac:dyDescent="0.25">
      <c r="A218" s="33">
        <v>217</v>
      </c>
      <c r="B218" s="34">
        <f t="shared" si="7"/>
        <v>43626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7">
        <f t="shared" si="6"/>
        <v>44345</v>
      </c>
      <c r="H218" s="33">
        <v>30</v>
      </c>
      <c r="I218" s="35">
        <f>StockInData[[#This Row],[Quantity]]*2.5</f>
        <v>75</v>
      </c>
    </row>
    <row r="219" spans="1:9" x14ac:dyDescent="0.25">
      <c r="A219" s="33">
        <v>218</v>
      </c>
      <c r="B219" s="34">
        <f t="shared" si="7"/>
        <v>43627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7">
        <f t="shared" si="6"/>
        <v>44347</v>
      </c>
      <c r="H219" s="33">
        <v>25</v>
      </c>
      <c r="I219" s="35">
        <f>StockInData[[#This Row],[Quantity]]*2.5</f>
        <v>62.5</v>
      </c>
    </row>
    <row r="220" spans="1:9" x14ac:dyDescent="0.25">
      <c r="A220" s="33">
        <v>219</v>
      </c>
      <c r="B220" s="34">
        <f t="shared" si="7"/>
        <v>43628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7">
        <f t="shared" si="6"/>
        <v>44349</v>
      </c>
      <c r="H220" s="33">
        <v>20</v>
      </c>
      <c r="I220" s="35">
        <f>StockInData[[#This Row],[Quantity]]*2.5</f>
        <v>50</v>
      </c>
    </row>
    <row r="221" spans="1:9" x14ac:dyDescent="0.25">
      <c r="A221" s="33">
        <v>220</v>
      </c>
      <c r="B221" s="34">
        <f t="shared" si="7"/>
        <v>43629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7">
        <f t="shared" si="6"/>
        <v>44351</v>
      </c>
      <c r="H221" s="33">
        <v>19</v>
      </c>
      <c r="I221" s="35">
        <f>StockInData[[#This Row],[Quantity]]*2.5</f>
        <v>47.5</v>
      </c>
    </row>
    <row r="222" spans="1:9" x14ac:dyDescent="0.25">
      <c r="A222" s="33">
        <v>221</v>
      </c>
      <c r="B222" s="34">
        <f t="shared" si="7"/>
        <v>43630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7">
        <f t="shared" si="6"/>
        <v>44353</v>
      </c>
      <c r="H222" s="33">
        <v>23</v>
      </c>
      <c r="I222" s="35">
        <f>StockInData[[#This Row],[Quantity]]*2.5</f>
        <v>57.5</v>
      </c>
    </row>
    <row r="223" spans="1:9" x14ac:dyDescent="0.25">
      <c r="A223" s="33">
        <v>222</v>
      </c>
      <c r="B223" s="34">
        <f t="shared" si="7"/>
        <v>43631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7">
        <f t="shared" si="6"/>
        <v>44355</v>
      </c>
      <c r="H223" s="33">
        <v>65</v>
      </c>
      <c r="I223" s="35">
        <f>StockInData[[#This Row],[Quantity]]*2.5</f>
        <v>162.5</v>
      </c>
    </row>
    <row r="224" spans="1:9" x14ac:dyDescent="0.25">
      <c r="A224" s="33">
        <v>223</v>
      </c>
      <c r="B224" s="34">
        <f t="shared" si="7"/>
        <v>43632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7">
        <f t="shared" si="6"/>
        <v>44357</v>
      </c>
      <c r="H224" s="33">
        <v>74</v>
      </c>
      <c r="I224" s="35">
        <f>StockInData[[#This Row],[Quantity]]*2.5</f>
        <v>185</v>
      </c>
    </row>
    <row r="225" spans="1:9" x14ac:dyDescent="0.25">
      <c r="A225" s="33">
        <v>224</v>
      </c>
      <c r="B225" s="34">
        <f t="shared" si="7"/>
        <v>43633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7">
        <f t="shared" si="6"/>
        <v>44359</v>
      </c>
      <c r="H225" s="33">
        <v>84</v>
      </c>
      <c r="I225" s="35">
        <f>StockInData[[#This Row],[Quantity]]*2.5</f>
        <v>210</v>
      </c>
    </row>
    <row r="226" spans="1:9" x14ac:dyDescent="0.25">
      <c r="A226" s="33">
        <v>225</v>
      </c>
      <c r="B226" s="34">
        <f t="shared" si="7"/>
        <v>43634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7">
        <f t="shared" si="6"/>
        <v>44361</v>
      </c>
      <c r="H226" s="33">
        <v>99</v>
      </c>
      <c r="I226" s="35">
        <f>StockInData[[#This Row],[Quantity]]*2.5</f>
        <v>247.5</v>
      </c>
    </row>
    <row r="227" spans="1:9" x14ac:dyDescent="0.25">
      <c r="A227" s="33">
        <v>226</v>
      </c>
      <c r="B227" s="34">
        <f t="shared" si="7"/>
        <v>43635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7">
        <f t="shared" si="6"/>
        <v>44363</v>
      </c>
      <c r="H227" s="33">
        <v>101</v>
      </c>
      <c r="I227" s="35">
        <f>StockInData[[#This Row],[Quantity]]*2.5</f>
        <v>252.5</v>
      </c>
    </row>
    <row r="228" spans="1:9" x14ac:dyDescent="0.25">
      <c r="A228" s="33">
        <v>227</v>
      </c>
      <c r="B228" s="34">
        <f t="shared" si="7"/>
        <v>43636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7">
        <f t="shared" si="6"/>
        <v>44365</v>
      </c>
      <c r="H228" s="33">
        <v>60</v>
      </c>
      <c r="I228" s="35">
        <f>StockInData[[#This Row],[Quantity]]*2.5</f>
        <v>150</v>
      </c>
    </row>
    <row r="229" spans="1:9" x14ac:dyDescent="0.25">
      <c r="A229" s="33">
        <v>228</v>
      </c>
      <c r="B229" s="34">
        <f t="shared" si="7"/>
        <v>43637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7">
        <f t="shared" si="6"/>
        <v>44367</v>
      </c>
      <c r="H229" s="33">
        <v>40</v>
      </c>
      <c r="I229" s="35">
        <f>StockInData[[#This Row],[Quantity]]*2.5</f>
        <v>100</v>
      </c>
    </row>
    <row r="230" spans="1:9" x14ac:dyDescent="0.25">
      <c r="A230" s="33">
        <v>229</v>
      </c>
      <c r="B230" s="34">
        <f t="shared" si="7"/>
        <v>43638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7">
        <f t="shared" si="6"/>
        <v>44369</v>
      </c>
      <c r="H230" s="33">
        <v>30</v>
      </c>
      <c r="I230" s="35">
        <f>StockInData[[#This Row],[Quantity]]*2.5</f>
        <v>75</v>
      </c>
    </row>
    <row r="231" spans="1:9" x14ac:dyDescent="0.25">
      <c r="A231" s="33">
        <v>230</v>
      </c>
      <c r="B231" s="34">
        <f t="shared" si="7"/>
        <v>43639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7">
        <f t="shared" si="6"/>
        <v>44371</v>
      </c>
      <c r="H231" s="33">
        <v>25</v>
      </c>
      <c r="I231" s="35">
        <f>StockInData[[#This Row],[Quantity]]*2.5</f>
        <v>62.5</v>
      </c>
    </row>
    <row r="232" spans="1:9" x14ac:dyDescent="0.25">
      <c r="A232" s="33">
        <v>231</v>
      </c>
      <c r="B232" s="34">
        <f t="shared" si="7"/>
        <v>43640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7">
        <f t="shared" si="6"/>
        <v>44373</v>
      </c>
      <c r="H232" s="33">
        <v>20</v>
      </c>
      <c r="I232" s="35">
        <f>StockInData[[#This Row],[Quantity]]*2.5</f>
        <v>50</v>
      </c>
    </row>
    <row r="233" spans="1:9" x14ac:dyDescent="0.25">
      <c r="A233" s="33">
        <v>232</v>
      </c>
      <c r="B233" s="34">
        <f t="shared" si="7"/>
        <v>43641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7">
        <f t="shared" si="6"/>
        <v>44375</v>
      </c>
      <c r="H233" s="33">
        <v>19</v>
      </c>
      <c r="I233" s="35">
        <f>StockInData[[#This Row],[Quantity]]*2.5</f>
        <v>47.5</v>
      </c>
    </row>
    <row r="234" spans="1:9" x14ac:dyDescent="0.25">
      <c r="A234" s="33">
        <v>233</v>
      </c>
      <c r="B234" s="34">
        <f t="shared" si="7"/>
        <v>43642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7">
        <f t="shared" si="6"/>
        <v>44377</v>
      </c>
      <c r="H234" s="33">
        <v>23</v>
      </c>
      <c r="I234" s="35">
        <f>StockInData[[#This Row],[Quantity]]*2.5</f>
        <v>57.5</v>
      </c>
    </row>
    <row r="235" spans="1:9" x14ac:dyDescent="0.25">
      <c r="A235" s="33">
        <v>234</v>
      </c>
      <c r="B235" s="34">
        <f t="shared" si="7"/>
        <v>43643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7">
        <f t="shared" si="6"/>
        <v>44379</v>
      </c>
      <c r="H235" s="33">
        <v>65</v>
      </c>
      <c r="I235" s="35">
        <f>StockInData[[#This Row],[Quantity]]*2.5</f>
        <v>162.5</v>
      </c>
    </row>
    <row r="236" spans="1:9" x14ac:dyDescent="0.25">
      <c r="A236" s="33">
        <v>235</v>
      </c>
      <c r="B236" s="34">
        <f t="shared" si="7"/>
        <v>43644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7">
        <f t="shared" si="6"/>
        <v>44381</v>
      </c>
      <c r="H236" s="33">
        <v>74</v>
      </c>
      <c r="I236" s="35">
        <f>StockInData[[#This Row],[Quantity]]*2.5</f>
        <v>185</v>
      </c>
    </row>
    <row r="237" spans="1:9" x14ac:dyDescent="0.25">
      <c r="A237" s="33">
        <v>236</v>
      </c>
      <c r="B237" s="34">
        <f t="shared" si="7"/>
        <v>43645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7">
        <f t="shared" si="6"/>
        <v>44383</v>
      </c>
      <c r="H237" s="33">
        <v>84</v>
      </c>
      <c r="I237" s="35">
        <f>StockInData[[#This Row],[Quantity]]*2.5</f>
        <v>210</v>
      </c>
    </row>
    <row r="238" spans="1:9" x14ac:dyDescent="0.25">
      <c r="A238" s="33">
        <v>237</v>
      </c>
      <c r="B238" s="34">
        <f t="shared" si="7"/>
        <v>43646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7">
        <f t="shared" si="6"/>
        <v>44385</v>
      </c>
      <c r="H238" s="33">
        <v>99</v>
      </c>
      <c r="I238" s="35">
        <f>StockInData[[#This Row],[Quantity]]*2.5</f>
        <v>247.5</v>
      </c>
    </row>
    <row r="239" spans="1:9" x14ac:dyDescent="0.25">
      <c r="A239" s="33">
        <v>238</v>
      </c>
      <c r="B239" s="34">
        <f t="shared" si="7"/>
        <v>43647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7">
        <f t="shared" si="6"/>
        <v>44387</v>
      </c>
      <c r="H239" s="33">
        <v>101</v>
      </c>
      <c r="I239" s="35">
        <f>StockInData[[#This Row],[Quantity]]*2.5</f>
        <v>252.5</v>
      </c>
    </row>
    <row r="240" spans="1:9" x14ac:dyDescent="0.25">
      <c r="A240" s="33">
        <v>239</v>
      </c>
      <c r="B240" s="34">
        <f t="shared" si="7"/>
        <v>43648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7">
        <f t="shared" si="6"/>
        <v>44389</v>
      </c>
      <c r="H240" s="33">
        <v>100</v>
      </c>
      <c r="I240" s="35">
        <f>StockInData[[#This Row],[Quantity]]*2.5</f>
        <v>250</v>
      </c>
    </row>
    <row r="241" spans="1:9" x14ac:dyDescent="0.25">
      <c r="A241" s="33">
        <v>240</v>
      </c>
      <c r="B241" s="34">
        <f t="shared" si="7"/>
        <v>43649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7">
        <f t="shared" si="6"/>
        <v>44391</v>
      </c>
      <c r="H241" s="33">
        <v>60</v>
      </c>
      <c r="I241" s="35">
        <f>StockInData[[#This Row],[Quantity]]*2.5</f>
        <v>150</v>
      </c>
    </row>
    <row r="242" spans="1:9" x14ac:dyDescent="0.25">
      <c r="A242" s="33">
        <v>241</v>
      </c>
      <c r="B242" s="34">
        <f t="shared" si="7"/>
        <v>43650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7">
        <f t="shared" si="6"/>
        <v>44393</v>
      </c>
      <c r="H242" s="33">
        <v>40</v>
      </c>
      <c r="I242" s="35">
        <f>StockInData[[#This Row],[Quantity]]*2.5</f>
        <v>100</v>
      </c>
    </row>
    <row r="243" spans="1:9" x14ac:dyDescent="0.25">
      <c r="A243" s="33">
        <v>242</v>
      </c>
      <c r="B243" s="34">
        <f t="shared" si="7"/>
        <v>43651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7">
        <f t="shared" si="6"/>
        <v>44395</v>
      </c>
      <c r="H243" s="33">
        <v>30</v>
      </c>
      <c r="I243" s="35">
        <f>StockInData[[#This Row],[Quantity]]*2.5</f>
        <v>75</v>
      </c>
    </row>
    <row r="244" spans="1:9" x14ac:dyDescent="0.25">
      <c r="A244" s="33">
        <v>243</v>
      </c>
      <c r="B244" s="34">
        <f t="shared" si="7"/>
        <v>43652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7">
        <f t="shared" si="6"/>
        <v>44397</v>
      </c>
      <c r="H244" s="33">
        <v>25</v>
      </c>
      <c r="I244" s="35">
        <f>StockInData[[#This Row],[Quantity]]*2.5</f>
        <v>62.5</v>
      </c>
    </row>
    <row r="245" spans="1:9" x14ac:dyDescent="0.25">
      <c r="A245" s="33">
        <v>244</v>
      </c>
      <c r="B245" s="34">
        <f t="shared" si="7"/>
        <v>43653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7">
        <f t="shared" si="6"/>
        <v>44399</v>
      </c>
      <c r="H245" s="33">
        <v>20</v>
      </c>
      <c r="I245" s="35">
        <f>StockInData[[#This Row],[Quantity]]*2.5</f>
        <v>50</v>
      </c>
    </row>
    <row r="246" spans="1:9" x14ac:dyDescent="0.25">
      <c r="A246" s="33">
        <v>245</v>
      </c>
      <c r="B246" s="34">
        <f t="shared" si="7"/>
        <v>43654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7">
        <f t="shared" si="6"/>
        <v>44401</v>
      </c>
      <c r="H246" s="33">
        <v>19</v>
      </c>
      <c r="I246" s="35">
        <f>StockInData[[#This Row],[Quantity]]*2.5</f>
        <v>47.5</v>
      </c>
    </row>
    <row r="247" spans="1:9" x14ac:dyDescent="0.25">
      <c r="A247" s="33">
        <v>246</v>
      </c>
      <c r="B247" s="34">
        <f t="shared" si="7"/>
        <v>43655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7">
        <f t="shared" si="6"/>
        <v>44403</v>
      </c>
      <c r="H247" s="33">
        <v>23</v>
      </c>
      <c r="I247" s="35">
        <f>StockInData[[#This Row],[Quantity]]*2.5</f>
        <v>57.5</v>
      </c>
    </row>
    <row r="248" spans="1:9" x14ac:dyDescent="0.25">
      <c r="A248" s="33">
        <v>247</v>
      </c>
      <c r="B248" s="34">
        <f t="shared" si="7"/>
        <v>43656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7">
        <f t="shared" si="6"/>
        <v>44405</v>
      </c>
      <c r="H248" s="33">
        <v>65</v>
      </c>
      <c r="I248" s="35">
        <f>StockInData[[#This Row],[Quantity]]*2.5</f>
        <v>162.5</v>
      </c>
    </row>
    <row r="249" spans="1:9" x14ac:dyDescent="0.25">
      <c r="A249" s="33">
        <v>248</v>
      </c>
      <c r="B249" s="34">
        <f t="shared" si="7"/>
        <v>43657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7">
        <f t="shared" si="6"/>
        <v>44407</v>
      </c>
      <c r="H249" s="33">
        <v>74</v>
      </c>
      <c r="I249" s="35">
        <f>StockInData[[#This Row],[Quantity]]*2.5</f>
        <v>185</v>
      </c>
    </row>
    <row r="250" spans="1:9" x14ac:dyDescent="0.25">
      <c r="A250" s="33">
        <v>249</v>
      </c>
      <c r="B250" s="34">
        <f t="shared" si="7"/>
        <v>43658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7">
        <f t="shared" si="6"/>
        <v>44409</v>
      </c>
      <c r="H250" s="33">
        <v>84</v>
      </c>
      <c r="I250" s="35">
        <f>StockInData[[#This Row],[Quantity]]*2.5</f>
        <v>210</v>
      </c>
    </row>
    <row r="251" spans="1:9" x14ac:dyDescent="0.25">
      <c r="A251" s="33">
        <v>250</v>
      </c>
      <c r="B251" s="34">
        <f t="shared" si="7"/>
        <v>43659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7">
        <f t="shared" si="6"/>
        <v>44411</v>
      </c>
      <c r="H251" s="33">
        <v>99</v>
      </c>
      <c r="I251" s="35">
        <f>StockInData[[#This Row],[Quantity]]*2.5</f>
        <v>247.5</v>
      </c>
    </row>
    <row r="252" spans="1:9" x14ac:dyDescent="0.25">
      <c r="A252" s="33">
        <v>251</v>
      </c>
      <c r="B252" s="34">
        <f t="shared" si="7"/>
        <v>43660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7">
        <f t="shared" si="6"/>
        <v>44413</v>
      </c>
      <c r="H252" s="33">
        <v>101</v>
      </c>
      <c r="I252" s="35">
        <f>StockInData[[#This Row],[Quantity]]*2.5</f>
        <v>252.5</v>
      </c>
    </row>
    <row r="253" spans="1:9" x14ac:dyDescent="0.25">
      <c r="A253" s="33">
        <v>252</v>
      </c>
      <c r="B253" s="34">
        <f t="shared" si="7"/>
        <v>43661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7">
        <f t="shared" si="6"/>
        <v>44415</v>
      </c>
      <c r="H253" s="33">
        <v>100</v>
      </c>
      <c r="I253" s="35">
        <f>StockInData[[#This Row],[Quantity]]*2.5</f>
        <v>250</v>
      </c>
    </row>
    <row r="254" spans="1:9" x14ac:dyDescent="0.25">
      <c r="A254" s="33">
        <v>253</v>
      </c>
      <c r="B254" s="34">
        <f t="shared" si="7"/>
        <v>43662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7">
        <f t="shared" si="6"/>
        <v>44417</v>
      </c>
      <c r="H254" s="33">
        <v>100</v>
      </c>
      <c r="I254" s="35">
        <f>StockInData[[#This Row],[Quantity]]*2.5</f>
        <v>250</v>
      </c>
    </row>
    <row r="255" spans="1:9" x14ac:dyDescent="0.25">
      <c r="A255" s="33">
        <v>254</v>
      </c>
      <c r="B255" s="34">
        <f t="shared" si="7"/>
        <v>43663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7">
        <f t="shared" si="6"/>
        <v>44419</v>
      </c>
      <c r="H255" s="33">
        <v>100</v>
      </c>
      <c r="I255" s="35">
        <f>StockInData[[#This Row],[Quantity]]*2.5</f>
        <v>250</v>
      </c>
    </row>
    <row r="256" spans="1:9" x14ac:dyDescent="0.25">
      <c r="A256" s="33">
        <v>255</v>
      </c>
      <c r="B256" s="34">
        <f t="shared" si="7"/>
        <v>43664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7">
        <f t="shared" si="6"/>
        <v>44421</v>
      </c>
      <c r="H256" s="33">
        <v>100</v>
      </c>
      <c r="I256" s="35">
        <f>StockInData[[#This Row],[Quantity]]*2.5</f>
        <v>250</v>
      </c>
    </row>
    <row r="257" spans="1:9" x14ac:dyDescent="0.25">
      <c r="A257" s="33">
        <v>256</v>
      </c>
      <c r="B257" s="34">
        <f t="shared" si="7"/>
        <v>43665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7">
        <f t="shared" si="6"/>
        <v>44423</v>
      </c>
      <c r="H257" s="33">
        <v>100</v>
      </c>
      <c r="I257" s="35">
        <f>StockInData[[#This Row],[Quantity]]*2.5</f>
        <v>250</v>
      </c>
    </row>
    <row r="258" spans="1:9" x14ac:dyDescent="0.25">
      <c r="A258" s="33">
        <v>257</v>
      </c>
      <c r="B258" s="34">
        <f t="shared" si="7"/>
        <v>43666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7">
        <f t="shared" si="6"/>
        <v>44425</v>
      </c>
      <c r="H258" s="33">
        <v>100</v>
      </c>
      <c r="I258" s="35">
        <f>StockInData[[#This Row],[Quantity]]*2.5</f>
        <v>250</v>
      </c>
    </row>
    <row r="259" spans="1:9" x14ac:dyDescent="0.25">
      <c r="A259" s="33">
        <v>258</v>
      </c>
      <c r="B259" s="34">
        <f t="shared" si="7"/>
        <v>43667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7">
        <f t="shared" si="6"/>
        <v>44427</v>
      </c>
      <c r="H259" s="33">
        <v>40</v>
      </c>
      <c r="I259" s="35">
        <f>StockInData[[#This Row],[Quantity]]*2.5</f>
        <v>100</v>
      </c>
    </row>
    <row r="260" spans="1:9" x14ac:dyDescent="0.25">
      <c r="A260" s="33">
        <v>259</v>
      </c>
      <c r="B260" s="34">
        <f t="shared" si="7"/>
        <v>43668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7">
        <f t="shared" ref="G260:G323" si="8">G259+2</f>
        <v>44429</v>
      </c>
      <c r="H260" s="33">
        <v>30</v>
      </c>
      <c r="I260" s="35">
        <f>StockInData[[#This Row],[Quantity]]*2.5</f>
        <v>75</v>
      </c>
    </row>
    <row r="261" spans="1:9" x14ac:dyDescent="0.25">
      <c r="A261" s="33">
        <v>260</v>
      </c>
      <c r="B261" s="34">
        <f t="shared" ref="B261:B324" si="9">B260+1</f>
        <v>43669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7">
        <f t="shared" si="8"/>
        <v>44431</v>
      </c>
      <c r="H261" s="33">
        <v>25</v>
      </c>
      <c r="I261" s="35">
        <f>StockInData[[#This Row],[Quantity]]*2.5</f>
        <v>62.5</v>
      </c>
    </row>
    <row r="262" spans="1:9" x14ac:dyDescent="0.25">
      <c r="A262" s="33">
        <v>261</v>
      </c>
      <c r="B262" s="34">
        <f t="shared" si="9"/>
        <v>43670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7">
        <f t="shared" si="8"/>
        <v>44433</v>
      </c>
      <c r="H262" s="33">
        <v>20</v>
      </c>
      <c r="I262" s="35">
        <f>StockInData[[#This Row],[Quantity]]*2.5</f>
        <v>50</v>
      </c>
    </row>
    <row r="263" spans="1:9" x14ac:dyDescent="0.25">
      <c r="A263" s="33">
        <v>262</v>
      </c>
      <c r="B263" s="34">
        <f t="shared" si="9"/>
        <v>43671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7">
        <f t="shared" si="8"/>
        <v>44435</v>
      </c>
      <c r="H263" s="33">
        <v>19</v>
      </c>
      <c r="I263" s="35">
        <f>StockInData[[#This Row],[Quantity]]*2.5</f>
        <v>47.5</v>
      </c>
    </row>
    <row r="264" spans="1:9" x14ac:dyDescent="0.25">
      <c r="A264" s="33">
        <v>263</v>
      </c>
      <c r="B264" s="34">
        <f t="shared" si="9"/>
        <v>43672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7">
        <f t="shared" si="8"/>
        <v>44437</v>
      </c>
      <c r="H264" s="33">
        <v>23</v>
      </c>
      <c r="I264" s="35">
        <f>StockInData[[#This Row],[Quantity]]*2.5</f>
        <v>57.5</v>
      </c>
    </row>
    <row r="265" spans="1:9" x14ac:dyDescent="0.25">
      <c r="A265" s="33">
        <v>264</v>
      </c>
      <c r="B265" s="34">
        <f t="shared" si="9"/>
        <v>43673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7">
        <f t="shared" si="8"/>
        <v>44439</v>
      </c>
      <c r="H265" s="33">
        <v>65</v>
      </c>
      <c r="I265" s="35">
        <f>StockInData[[#This Row],[Quantity]]*2.5</f>
        <v>162.5</v>
      </c>
    </row>
    <row r="266" spans="1:9" x14ac:dyDescent="0.25">
      <c r="A266" s="33">
        <v>265</v>
      </c>
      <c r="B266" s="34">
        <f t="shared" si="9"/>
        <v>43674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7">
        <f t="shared" si="8"/>
        <v>44441</v>
      </c>
      <c r="H266" s="33">
        <v>74</v>
      </c>
      <c r="I266" s="35">
        <f>StockInData[[#This Row],[Quantity]]*2.5</f>
        <v>185</v>
      </c>
    </row>
    <row r="267" spans="1:9" x14ac:dyDescent="0.25">
      <c r="A267" s="33">
        <v>266</v>
      </c>
      <c r="B267" s="34">
        <f t="shared" si="9"/>
        <v>43675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7">
        <f t="shared" si="8"/>
        <v>44443</v>
      </c>
      <c r="H267" s="33">
        <v>84</v>
      </c>
      <c r="I267" s="35">
        <f>StockInData[[#This Row],[Quantity]]*2.5</f>
        <v>210</v>
      </c>
    </row>
    <row r="268" spans="1:9" x14ac:dyDescent="0.25">
      <c r="A268" s="33">
        <v>267</v>
      </c>
      <c r="B268" s="34">
        <f t="shared" si="9"/>
        <v>43676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7">
        <f t="shared" si="8"/>
        <v>44445</v>
      </c>
      <c r="H268" s="33">
        <v>99</v>
      </c>
      <c r="I268" s="35">
        <f>StockInData[[#This Row],[Quantity]]*2.5</f>
        <v>247.5</v>
      </c>
    </row>
    <row r="269" spans="1:9" x14ac:dyDescent="0.25">
      <c r="A269" s="33">
        <v>268</v>
      </c>
      <c r="B269" s="34">
        <f t="shared" si="9"/>
        <v>43677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7">
        <f t="shared" si="8"/>
        <v>44447</v>
      </c>
      <c r="H269" s="33">
        <v>101</v>
      </c>
      <c r="I269" s="35">
        <f>StockInData[[#This Row],[Quantity]]*2.5</f>
        <v>252.5</v>
      </c>
    </row>
    <row r="270" spans="1:9" x14ac:dyDescent="0.25">
      <c r="A270" s="33">
        <v>269</v>
      </c>
      <c r="B270" s="34">
        <f t="shared" si="9"/>
        <v>43678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7">
        <f t="shared" si="8"/>
        <v>44449</v>
      </c>
      <c r="H270" s="33">
        <v>60</v>
      </c>
      <c r="I270" s="35">
        <f>StockInData[[#This Row],[Quantity]]*2.5</f>
        <v>150</v>
      </c>
    </row>
    <row r="271" spans="1:9" x14ac:dyDescent="0.25">
      <c r="A271" s="33">
        <v>270</v>
      </c>
      <c r="B271" s="34">
        <f t="shared" si="9"/>
        <v>43679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7">
        <f t="shared" si="8"/>
        <v>44451</v>
      </c>
      <c r="H271" s="33">
        <v>40</v>
      </c>
      <c r="I271" s="35">
        <f>StockInData[[#This Row],[Quantity]]*2.5</f>
        <v>100</v>
      </c>
    </row>
    <row r="272" spans="1:9" x14ac:dyDescent="0.25">
      <c r="A272" s="33">
        <v>271</v>
      </c>
      <c r="B272" s="34">
        <f t="shared" si="9"/>
        <v>43680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7">
        <f t="shared" si="8"/>
        <v>44453</v>
      </c>
      <c r="H272" s="33">
        <v>30</v>
      </c>
      <c r="I272" s="35">
        <f>StockInData[[#This Row],[Quantity]]*2.5</f>
        <v>75</v>
      </c>
    </row>
    <row r="273" spans="1:9" x14ac:dyDescent="0.25">
      <c r="A273" s="33">
        <v>272</v>
      </c>
      <c r="B273" s="34">
        <f t="shared" si="9"/>
        <v>43681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7">
        <f t="shared" si="8"/>
        <v>44455</v>
      </c>
      <c r="H273" s="33">
        <v>25</v>
      </c>
      <c r="I273" s="35">
        <f>StockInData[[#This Row],[Quantity]]*2.5</f>
        <v>62.5</v>
      </c>
    </row>
    <row r="274" spans="1:9" x14ac:dyDescent="0.25">
      <c r="A274" s="33">
        <v>273</v>
      </c>
      <c r="B274" s="34">
        <f t="shared" si="9"/>
        <v>43682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7">
        <f t="shared" si="8"/>
        <v>44457</v>
      </c>
      <c r="H274" s="33">
        <v>20</v>
      </c>
      <c r="I274" s="35">
        <f>StockInData[[#This Row],[Quantity]]*2.5</f>
        <v>50</v>
      </c>
    </row>
    <row r="275" spans="1:9" x14ac:dyDescent="0.25">
      <c r="A275" s="33">
        <v>274</v>
      </c>
      <c r="B275" s="34">
        <f t="shared" si="9"/>
        <v>43683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7">
        <f t="shared" si="8"/>
        <v>44459</v>
      </c>
      <c r="H275" s="33">
        <v>19</v>
      </c>
      <c r="I275" s="35">
        <f>StockInData[[#This Row],[Quantity]]*2.5</f>
        <v>47.5</v>
      </c>
    </row>
    <row r="276" spans="1:9" x14ac:dyDescent="0.25">
      <c r="A276" s="33">
        <v>275</v>
      </c>
      <c r="B276" s="34">
        <f t="shared" si="9"/>
        <v>43684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7">
        <f t="shared" si="8"/>
        <v>44461</v>
      </c>
      <c r="H276" s="33">
        <v>23</v>
      </c>
      <c r="I276" s="35">
        <f>StockInData[[#This Row],[Quantity]]*2.5</f>
        <v>57.5</v>
      </c>
    </row>
    <row r="277" spans="1:9" x14ac:dyDescent="0.25">
      <c r="A277" s="33">
        <v>276</v>
      </c>
      <c r="B277" s="34">
        <f t="shared" si="9"/>
        <v>43685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7">
        <f t="shared" si="8"/>
        <v>44463</v>
      </c>
      <c r="H277" s="33">
        <v>65</v>
      </c>
      <c r="I277" s="35">
        <f>StockInData[[#This Row],[Quantity]]*2.5</f>
        <v>162.5</v>
      </c>
    </row>
    <row r="278" spans="1:9" x14ac:dyDescent="0.25">
      <c r="A278" s="33">
        <v>277</v>
      </c>
      <c r="B278" s="34">
        <f t="shared" si="9"/>
        <v>43686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7">
        <f t="shared" si="8"/>
        <v>44465</v>
      </c>
      <c r="H278" s="33">
        <v>74</v>
      </c>
      <c r="I278" s="35">
        <f>StockInData[[#This Row],[Quantity]]*2.5</f>
        <v>185</v>
      </c>
    </row>
    <row r="279" spans="1:9" x14ac:dyDescent="0.25">
      <c r="A279" s="33">
        <v>278</v>
      </c>
      <c r="B279" s="34">
        <f t="shared" si="9"/>
        <v>43687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7">
        <f t="shared" si="8"/>
        <v>44467</v>
      </c>
      <c r="H279" s="33">
        <v>84</v>
      </c>
      <c r="I279" s="35">
        <f>StockInData[[#This Row],[Quantity]]*2.5</f>
        <v>210</v>
      </c>
    </row>
    <row r="280" spans="1:9" x14ac:dyDescent="0.25">
      <c r="A280" s="33">
        <v>279</v>
      </c>
      <c r="B280" s="34">
        <f t="shared" si="9"/>
        <v>43688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7">
        <f t="shared" si="8"/>
        <v>44469</v>
      </c>
      <c r="H280" s="33">
        <v>99</v>
      </c>
      <c r="I280" s="35">
        <f>StockInData[[#This Row],[Quantity]]*2.5</f>
        <v>247.5</v>
      </c>
    </row>
    <row r="281" spans="1:9" x14ac:dyDescent="0.25">
      <c r="A281" s="33">
        <v>280</v>
      </c>
      <c r="B281" s="34">
        <f t="shared" si="9"/>
        <v>43689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7">
        <f t="shared" si="8"/>
        <v>44471</v>
      </c>
      <c r="H281" s="33">
        <v>101</v>
      </c>
      <c r="I281" s="35">
        <f>StockInData[[#This Row],[Quantity]]*2.5</f>
        <v>252.5</v>
      </c>
    </row>
    <row r="282" spans="1:9" x14ac:dyDescent="0.25">
      <c r="A282" s="33">
        <v>281</v>
      </c>
      <c r="B282" s="34">
        <f t="shared" si="9"/>
        <v>43690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7">
        <f t="shared" si="8"/>
        <v>44473</v>
      </c>
      <c r="H282" s="33">
        <v>60</v>
      </c>
      <c r="I282" s="35">
        <f>StockInData[[#This Row],[Quantity]]*2.5</f>
        <v>150</v>
      </c>
    </row>
    <row r="283" spans="1:9" x14ac:dyDescent="0.25">
      <c r="A283" s="33">
        <v>282</v>
      </c>
      <c r="B283" s="34">
        <f t="shared" si="9"/>
        <v>43691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7">
        <f t="shared" si="8"/>
        <v>44475</v>
      </c>
      <c r="H283" s="33">
        <v>40</v>
      </c>
      <c r="I283" s="35">
        <f>StockInData[[#This Row],[Quantity]]*2.5</f>
        <v>100</v>
      </c>
    </row>
    <row r="284" spans="1:9" x14ac:dyDescent="0.25">
      <c r="A284" s="33">
        <v>283</v>
      </c>
      <c r="B284" s="34">
        <f t="shared" si="9"/>
        <v>43692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7">
        <f t="shared" si="8"/>
        <v>44477</v>
      </c>
      <c r="H284" s="33">
        <v>30</v>
      </c>
      <c r="I284" s="35">
        <f>StockInData[[#This Row],[Quantity]]*2.5</f>
        <v>75</v>
      </c>
    </row>
    <row r="285" spans="1:9" x14ac:dyDescent="0.25">
      <c r="A285" s="33">
        <v>284</v>
      </c>
      <c r="B285" s="34">
        <f t="shared" si="9"/>
        <v>43693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7">
        <f t="shared" si="8"/>
        <v>44479</v>
      </c>
      <c r="H285" s="33">
        <v>25</v>
      </c>
      <c r="I285" s="35">
        <f>StockInData[[#This Row],[Quantity]]*2.5</f>
        <v>62.5</v>
      </c>
    </row>
    <row r="286" spans="1:9" x14ac:dyDescent="0.25">
      <c r="A286" s="33">
        <v>285</v>
      </c>
      <c r="B286" s="34">
        <f t="shared" si="9"/>
        <v>43694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7">
        <f t="shared" si="8"/>
        <v>44481</v>
      </c>
      <c r="H286" s="33">
        <v>20</v>
      </c>
      <c r="I286" s="35">
        <f>StockInData[[#This Row],[Quantity]]*2.5</f>
        <v>50</v>
      </c>
    </row>
    <row r="287" spans="1:9" x14ac:dyDescent="0.25">
      <c r="A287" s="33">
        <v>286</v>
      </c>
      <c r="B287" s="34">
        <f t="shared" si="9"/>
        <v>43695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7">
        <f t="shared" si="8"/>
        <v>44483</v>
      </c>
      <c r="H287" s="33">
        <v>19</v>
      </c>
      <c r="I287" s="35">
        <f>StockInData[[#This Row],[Quantity]]*2.5</f>
        <v>47.5</v>
      </c>
    </row>
    <row r="288" spans="1:9" x14ac:dyDescent="0.25">
      <c r="A288" s="33">
        <v>287</v>
      </c>
      <c r="B288" s="34">
        <f t="shared" si="9"/>
        <v>43696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7">
        <f t="shared" si="8"/>
        <v>44485</v>
      </c>
      <c r="H288" s="33">
        <v>23</v>
      </c>
      <c r="I288" s="35">
        <f>StockInData[[#This Row],[Quantity]]*2.5</f>
        <v>57.5</v>
      </c>
    </row>
    <row r="289" spans="1:9" x14ac:dyDescent="0.25">
      <c r="A289" s="33">
        <v>288</v>
      </c>
      <c r="B289" s="34">
        <f t="shared" si="9"/>
        <v>43697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7">
        <f t="shared" si="8"/>
        <v>44487</v>
      </c>
      <c r="H289" s="33">
        <v>65</v>
      </c>
      <c r="I289" s="35">
        <f>StockInData[[#This Row],[Quantity]]*2.5</f>
        <v>162.5</v>
      </c>
    </row>
    <row r="290" spans="1:9" x14ac:dyDescent="0.25">
      <c r="A290" s="33">
        <v>289</v>
      </c>
      <c r="B290" s="34">
        <f t="shared" si="9"/>
        <v>43698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7">
        <f t="shared" si="8"/>
        <v>44489</v>
      </c>
      <c r="H290" s="33">
        <v>74</v>
      </c>
      <c r="I290" s="35">
        <f>StockInData[[#This Row],[Quantity]]*2.5</f>
        <v>185</v>
      </c>
    </row>
    <row r="291" spans="1:9" x14ac:dyDescent="0.25">
      <c r="A291" s="33">
        <v>290</v>
      </c>
      <c r="B291" s="34">
        <f t="shared" si="9"/>
        <v>43699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7">
        <f t="shared" si="8"/>
        <v>44491</v>
      </c>
      <c r="H291" s="33">
        <v>84</v>
      </c>
      <c r="I291" s="35">
        <f>StockInData[[#This Row],[Quantity]]*2.5</f>
        <v>210</v>
      </c>
    </row>
    <row r="292" spans="1:9" x14ac:dyDescent="0.25">
      <c r="A292" s="33">
        <v>291</v>
      </c>
      <c r="B292" s="34">
        <f t="shared" si="9"/>
        <v>43700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7">
        <f t="shared" si="8"/>
        <v>44493</v>
      </c>
      <c r="H292" s="33">
        <v>99</v>
      </c>
      <c r="I292" s="35">
        <f>StockInData[[#This Row],[Quantity]]*2.5</f>
        <v>247.5</v>
      </c>
    </row>
    <row r="293" spans="1:9" x14ac:dyDescent="0.25">
      <c r="A293" s="33">
        <v>292</v>
      </c>
      <c r="B293" s="34">
        <f t="shared" si="9"/>
        <v>43701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7">
        <f t="shared" si="8"/>
        <v>44495</v>
      </c>
      <c r="H293" s="33">
        <v>101</v>
      </c>
      <c r="I293" s="35">
        <f>StockInData[[#This Row],[Quantity]]*2.5</f>
        <v>252.5</v>
      </c>
    </row>
    <row r="294" spans="1:9" x14ac:dyDescent="0.25">
      <c r="A294" s="33">
        <v>293</v>
      </c>
      <c r="B294" s="34">
        <f t="shared" si="9"/>
        <v>43702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7">
        <f t="shared" si="8"/>
        <v>44497</v>
      </c>
      <c r="H294" s="33">
        <v>100</v>
      </c>
      <c r="I294" s="35">
        <f>StockInData[[#This Row],[Quantity]]*2.5</f>
        <v>250</v>
      </c>
    </row>
    <row r="295" spans="1:9" x14ac:dyDescent="0.25">
      <c r="A295" s="33">
        <v>294</v>
      </c>
      <c r="B295" s="34">
        <f t="shared" si="9"/>
        <v>43703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7">
        <f t="shared" si="8"/>
        <v>44499</v>
      </c>
      <c r="H295" s="33">
        <v>60</v>
      </c>
      <c r="I295" s="35">
        <f>StockInData[[#This Row],[Quantity]]*2.5</f>
        <v>150</v>
      </c>
    </row>
    <row r="296" spans="1:9" x14ac:dyDescent="0.25">
      <c r="A296" s="33">
        <v>295</v>
      </c>
      <c r="B296" s="34">
        <f t="shared" si="9"/>
        <v>43704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7">
        <f t="shared" si="8"/>
        <v>44501</v>
      </c>
      <c r="H296" s="33">
        <v>40</v>
      </c>
      <c r="I296" s="35">
        <f>StockInData[[#This Row],[Quantity]]*2.5</f>
        <v>100</v>
      </c>
    </row>
    <row r="297" spans="1:9" x14ac:dyDescent="0.25">
      <c r="A297" s="33">
        <v>296</v>
      </c>
      <c r="B297" s="34">
        <f t="shared" si="9"/>
        <v>43705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7">
        <f t="shared" si="8"/>
        <v>44503</v>
      </c>
      <c r="H297" s="33">
        <v>30</v>
      </c>
      <c r="I297" s="35">
        <f>StockInData[[#This Row],[Quantity]]*2.5</f>
        <v>75</v>
      </c>
    </row>
    <row r="298" spans="1:9" x14ac:dyDescent="0.25">
      <c r="A298" s="33">
        <v>297</v>
      </c>
      <c r="B298" s="34">
        <f t="shared" si="9"/>
        <v>43706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7">
        <f t="shared" si="8"/>
        <v>44505</v>
      </c>
      <c r="H298" s="33">
        <v>25</v>
      </c>
      <c r="I298" s="35">
        <f>StockInData[[#This Row],[Quantity]]*2.5</f>
        <v>62.5</v>
      </c>
    </row>
    <row r="299" spans="1:9" x14ac:dyDescent="0.25">
      <c r="A299" s="33">
        <v>298</v>
      </c>
      <c r="B299" s="34">
        <f t="shared" si="9"/>
        <v>43707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7">
        <f t="shared" si="8"/>
        <v>44507</v>
      </c>
      <c r="H299" s="33">
        <v>20</v>
      </c>
      <c r="I299" s="35">
        <f>StockInData[[#This Row],[Quantity]]*2.5</f>
        <v>50</v>
      </c>
    </row>
    <row r="300" spans="1:9" x14ac:dyDescent="0.25">
      <c r="A300" s="33">
        <v>299</v>
      </c>
      <c r="B300" s="34">
        <f t="shared" si="9"/>
        <v>43708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7">
        <f t="shared" si="8"/>
        <v>44509</v>
      </c>
      <c r="H300" s="33">
        <v>19</v>
      </c>
      <c r="I300" s="35">
        <f>StockInData[[#This Row],[Quantity]]*2.5</f>
        <v>47.5</v>
      </c>
    </row>
    <row r="301" spans="1:9" x14ac:dyDescent="0.25">
      <c r="A301" s="33">
        <v>300</v>
      </c>
      <c r="B301" s="34">
        <f t="shared" si="9"/>
        <v>43709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7">
        <f t="shared" si="8"/>
        <v>44511</v>
      </c>
      <c r="H301" s="33">
        <v>23</v>
      </c>
      <c r="I301" s="35">
        <f>StockInData[[#This Row],[Quantity]]*2.5</f>
        <v>57.5</v>
      </c>
    </row>
    <row r="302" spans="1:9" x14ac:dyDescent="0.25">
      <c r="A302" s="33">
        <v>301</v>
      </c>
      <c r="B302" s="34">
        <f t="shared" si="9"/>
        <v>43710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7">
        <f t="shared" si="8"/>
        <v>44513</v>
      </c>
      <c r="H302" s="33">
        <v>65</v>
      </c>
      <c r="I302" s="35">
        <f>StockInData[[#This Row],[Quantity]]*2.5</f>
        <v>162.5</v>
      </c>
    </row>
    <row r="303" spans="1:9" x14ac:dyDescent="0.25">
      <c r="A303" s="33">
        <v>302</v>
      </c>
      <c r="B303" s="34">
        <f t="shared" si="9"/>
        <v>43711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7">
        <f t="shared" si="8"/>
        <v>44515</v>
      </c>
      <c r="H303" s="33">
        <v>74</v>
      </c>
      <c r="I303" s="35">
        <f>StockInData[[#This Row],[Quantity]]*2.5</f>
        <v>185</v>
      </c>
    </row>
    <row r="304" spans="1:9" x14ac:dyDescent="0.25">
      <c r="A304" s="33">
        <v>303</v>
      </c>
      <c r="B304" s="34">
        <f t="shared" si="9"/>
        <v>43712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7">
        <f t="shared" si="8"/>
        <v>44517</v>
      </c>
      <c r="H304" s="33">
        <v>84</v>
      </c>
      <c r="I304" s="35">
        <f>StockInData[[#This Row],[Quantity]]*2.5</f>
        <v>210</v>
      </c>
    </row>
    <row r="305" spans="1:9" x14ac:dyDescent="0.25">
      <c r="A305" s="33">
        <v>304</v>
      </c>
      <c r="B305" s="34">
        <f t="shared" si="9"/>
        <v>43713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7">
        <f t="shared" si="8"/>
        <v>44519</v>
      </c>
      <c r="H305" s="33">
        <v>99</v>
      </c>
      <c r="I305" s="35">
        <f>StockInData[[#This Row],[Quantity]]*2.5</f>
        <v>247.5</v>
      </c>
    </row>
    <row r="306" spans="1:9" x14ac:dyDescent="0.25">
      <c r="A306" s="33">
        <v>305</v>
      </c>
      <c r="B306" s="34">
        <f t="shared" si="9"/>
        <v>43714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7">
        <f t="shared" si="8"/>
        <v>44521</v>
      </c>
      <c r="H306" s="33">
        <v>101</v>
      </c>
      <c r="I306" s="35">
        <f>StockInData[[#This Row],[Quantity]]*2.5</f>
        <v>252.5</v>
      </c>
    </row>
    <row r="307" spans="1:9" x14ac:dyDescent="0.25">
      <c r="A307" s="33">
        <v>306</v>
      </c>
      <c r="B307" s="34">
        <f t="shared" si="9"/>
        <v>43715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7">
        <f t="shared" si="8"/>
        <v>44523</v>
      </c>
      <c r="H307" s="33">
        <v>100</v>
      </c>
      <c r="I307" s="35">
        <f>StockInData[[#This Row],[Quantity]]*2.5</f>
        <v>250</v>
      </c>
    </row>
    <row r="308" spans="1:9" x14ac:dyDescent="0.25">
      <c r="A308" s="33">
        <v>307</v>
      </c>
      <c r="B308" s="34">
        <f t="shared" si="9"/>
        <v>43716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7">
        <f t="shared" si="8"/>
        <v>44525</v>
      </c>
      <c r="H308" s="33">
        <v>100</v>
      </c>
      <c r="I308" s="35">
        <f>StockInData[[#This Row],[Quantity]]*2.5</f>
        <v>250</v>
      </c>
    </row>
    <row r="309" spans="1:9" x14ac:dyDescent="0.25">
      <c r="A309" s="33">
        <v>308</v>
      </c>
      <c r="B309" s="34">
        <f t="shared" si="9"/>
        <v>43717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7">
        <f t="shared" si="8"/>
        <v>44527</v>
      </c>
      <c r="H309" s="33">
        <v>100</v>
      </c>
      <c r="I309" s="35">
        <f>StockInData[[#This Row],[Quantity]]*2.5</f>
        <v>250</v>
      </c>
    </row>
    <row r="310" spans="1:9" x14ac:dyDescent="0.25">
      <c r="A310" s="33">
        <v>309</v>
      </c>
      <c r="B310" s="34">
        <f t="shared" si="9"/>
        <v>43718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7">
        <f t="shared" si="8"/>
        <v>44529</v>
      </c>
      <c r="H310" s="33">
        <v>100</v>
      </c>
      <c r="I310" s="35">
        <f>StockInData[[#This Row],[Quantity]]*2.5</f>
        <v>250</v>
      </c>
    </row>
    <row r="311" spans="1:9" x14ac:dyDescent="0.25">
      <c r="A311" s="33">
        <v>310</v>
      </c>
      <c r="B311" s="34">
        <f t="shared" si="9"/>
        <v>43719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7">
        <f t="shared" si="8"/>
        <v>44531</v>
      </c>
      <c r="H311" s="33">
        <v>40</v>
      </c>
      <c r="I311" s="35">
        <f>StockInData[[#This Row],[Quantity]]*2.5</f>
        <v>100</v>
      </c>
    </row>
    <row r="312" spans="1:9" x14ac:dyDescent="0.25">
      <c r="A312" s="33">
        <v>311</v>
      </c>
      <c r="B312" s="34">
        <f t="shared" si="9"/>
        <v>43720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7">
        <f t="shared" si="8"/>
        <v>44533</v>
      </c>
      <c r="H312" s="33">
        <v>30</v>
      </c>
      <c r="I312" s="35">
        <f>StockInData[[#This Row],[Quantity]]*2.5</f>
        <v>75</v>
      </c>
    </row>
    <row r="313" spans="1:9" x14ac:dyDescent="0.25">
      <c r="A313" s="33">
        <v>312</v>
      </c>
      <c r="B313" s="34">
        <f t="shared" si="9"/>
        <v>43721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7">
        <f t="shared" si="8"/>
        <v>44535</v>
      </c>
      <c r="H313" s="33">
        <v>25</v>
      </c>
      <c r="I313" s="35">
        <f>StockInData[[#This Row],[Quantity]]*2.5</f>
        <v>62.5</v>
      </c>
    </row>
    <row r="314" spans="1:9" x14ac:dyDescent="0.25">
      <c r="A314" s="33">
        <v>313</v>
      </c>
      <c r="B314" s="34">
        <f t="shared" si="9"/>
        <v>43722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7">
        <f t="shared" si="8"/>
        <v>44537</v>
      </c>
      <c r="H314" s="33">
        <v>20</v>
      </c>
      <c r="I314" s="35">
        <f>StockInData[[#This Row],[Quantity]]*2.5</f>
        <v>50</v>
      </c>
    </row>
    <row r="315" spans="1:9" x14ac:dyDescent="0.25">
      <c r="A315" s="33">
        <v>314</v>
      </c>
      <c r="B315" s="34">
        <f t="shared" si="9"/>
        <v>43723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7">
        <f t="shared" si="8"/>
        <v>44539</v>
      </c>
      <c r="H315" s="33">
        <v>19</v>
      </c>
      <c r="I315" s="35">
        <f>StockInData[[#This Row],[Quantity]]*2.5</f>
        <v>47.5</v>
      </c>
    </row>
    <row r="316" spans="1:9" x14ac:dyDescent="0.25">
      <c r="A316" s="33">
        <v>315</v>
      </c>
      <c r="B316" s="34">
        <f t="shared" si="9"/>
        <v>43724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7">
        <f t="shared" si="8"/>
        <v>44541</v>
      </c>
      <c r="H316" s="33">
        <v>23</v>
      </c>
      <c r="I316" s="35">
        <f>StockInData[[#This Row],[Quantity]]*2.5</f>
        <v>57.5</v>
      </c>
    </row>
    <row r="317" spans="1:9" x14ac:dyDescent="0.25">
      <c r="A317" s="33">
        <v>316</v>
      </c>
      <c r="B317" s="34">
        <f t="shared" si="9"/>
        <v>43725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7">
        <f t="shared" si="8"/>
        <v>44543</v>
      </c>
      <c r="H317" s="33">
        <v>65</v>
      </c>
      <c r="I317" s="35">
        <f>StockInData[[#This Row],[Quantity]]*2.5</f>
        <v>162.5</v>
      </c>
    </row>
    <row r="318" spans="1:9" x14ac:dyDescent="0.25">
      <c r="A318" s="33">
        <v>317</v>
      </c>
      <c r="B318" s="34">
        <f t="shared" si="9"/>
        <v>43726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7">
        <f t="shared" si="8"/>
        <v>44545</v>
      </c>
      <c r="H318" s="33">
        <v>74</v>
      </c>
      <c r="I318" s="35">
        <f>StockInData[[#This Row],[Quantity]]*2.5</f>
        <v>185</v>
      </c>
    </row>
    <row r="319" spans="1:9" x14ac:dyDescent="0.25">
      <c r="A319" s="33">
        <v>318</v>
      </c>
      <c r="B319" s="34">
        <f t="shared" si="9"/>
        <v>43727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7">
        <f t="shared" si="8"/>
        <v>44547</v>
      </c>
      <c r="H319" s="33">
        <v>84</v>
      </c>
      <c r="I319" s="35">
        <f>StockInData[[#This Row],[Quantity]]*2.5</f>
        <v>210</v>
      </c>
    </row>
    <row r="320" spans="1:9" x14ac:dyDescent="0.25">
      <c r="A320" s="33">
        <v>319</v>
      </c>
      <c r="B320" s="34">
        <f t="shared" si="9"/>
        <v>43728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7">
        <f t="shared" si="8"/>
        <v>44549</v>
      </c>
      <c r="H320" s="33">
        <v>99</v>
      </c>
      <c r="I320" s="35">
        <f>StockInData[[#This Row],[Quantity]]*2.5</f>
        <v>247.5</v>
      </c>
    </row>
    <row r="321" spans="1:9" x14ac:dyDescent="0.25">
      <c r="A321" s="33">
        <v>320</v>
      </c>
      <c r="B321" s="34">
        <f t="shared" si="9"/>
        <v>43729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7">
        <f t="shared" si="8"/>
        <v>44551</v>
      </c>
      <c r="H321" s="33">
        <v>101</v>
      </c>
      <c r="I321" s="35">
        <f>StockInData[[#This Row],[Quantity]]*2.5</f>
        <v>252.5</v>
      </c>
    </row>
    <row r="322" spans="1:9" x14ac:dyDescent="0.25">
      <c r="A322" s="33">
        <v>321</v>
      </c>
      <c r="B322" s="34">
        <f t="shared" si="9"/>
        <v>43730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7">
        <f t="shared" si="8"/>
        <v>44553</v>
      </c>
      <c r="H322" s="33">
        <v>60</v>
      </c>
      <c r="I322" s="35">
        <f>StockInData[[#This Row],[Quantity]]*2.5</f>
        <v>150</v>
      </c>
    </row>
    <row r="323" spans="1:9" x14ac:dyDescent="0.25">
      <c r="A323" s="33">
        <v>322</v>
      </c>
      <c r="B323" s="34">
        <f t="shared" si="9"/>
        <v>43731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7">
        <f t="shared" si="8"/>
        <v>44555</v>
      </c>
      <c r="H323" s="33">
        <v>40</v>
      </c>
      <c r="I323" s="35">
        <f>StockInData[[#This Row],[Quantity]]*2.5</f>
        <v>100</v>
      </c>
    </row>
    <row r="324" spans="1:9" x14ac:dyDescent="0.25">
      <c r="A324" s="33">
        <v>323</v>
      </c>
      <c r="B324" s="34">
        <f t="shared" si="9"/>
        <v>43732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7">
        <f t="shared" ref="G324:G387" si="10">G323+2</f>
        <v>44557</v>
      </c>
      <c r="H324" s="33">
        <v>30</v>
      </c>
      <c r="I324" s="35">
        <f>StockInData[[#This Row],[Quantity]]*2.5</f>
        <v>75</v>
      </c>
    </row>
    <row r="325" spans="1:9" x14ac:dyDescent="0.25">
      <c r="A325" s="33">
        <v>324</v>
      </c>
      <c r="B325" s="34">
        <f t="shared" ref="B325:B388" si="11">B324+1</f>
        <v>43733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7">
        <f t="shared" si="10"/>
        <v>44559</v>
      </c>
      <c r="H325" s="33">
        <v>25</v>
      </c>
      <c r="I325" s="35">
        <f>StockInData[[#This Row],[Quantity]]*2.5</f>
        <v>62.5</v>
      </c>
    </row>
    <row r="326" spans="1:9" x14ac:dyDescent="0.25">
      <c r="A326" s="33">
        <v>325</v>
      </c>
      <c r="B326" s="34">
        <f t="shared" si="11"/>
        <v>43734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7">
        <f t="shared" si="10"/>
        <v>44561</v>
      </c>
      <c r="H326" s="33">
        <v>20</v>
      </c>
      <c r="I326" s="35">
        <f>StockInData[[#This Row],[Quantity]]*2.5</f>
        <v>50</v>
      </c>
    </row>
    <row r="327" spans="1:9" x14ac:dyDescent="0.25">
      <c r="A327" s="33">
        <v>326</v>
      </c>
      <c r="B327" s="34">
        <f t="shared" si="11"/>
        <v>43735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7">
        <f t="shared" si="10"/>
        <v>44563</v>
      </c>
      <c r="H327" s="33">
        <v>19</v>
      </c>
      <c r="I327" s="35">
        <f>StockInData[[#This Row],[Quantity]]*2.5</f>
        <v>47.5</v>
      </c>
    </row>
    <row r="328" spans="1:9" x14ac:dyDescent="0.25">
      <c r="A328" s="33">
        <v>327</v>
      </c>
      <c r="B328" s="34">
        <f t="shared" si="11"/>
        <v>43736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7">
        <f t="shared" si="10"/>
        <v>44565</v>
      </c>
      <c r="H328" s="33">
        <v>23</v>
      </c>
      <c r="I328" s="35">
        <f>StockInData[[#This Row],[Quantity]]*2.5</f>
        <v>57.5</v>
      </c>
    </row>
    <row r="329" spans="1:9" x14ac:dyDescent="0.25">
      <c r="A329" s="33">
        <v>328</v>
      </c>
      <c r="B329" s="34">
        <f t="shared" si="11"/>
        <v>43737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7">
        <f t="shared" si="10"/>
        <v>44567</v>
      </c>
      <c r="H329" s="33">
        <v>65</v>
      </c>
      <c r="I329" s="35">
        <f>StockInData[[#This Row],[Quantity]]*2.5</f>
        <v>162.5</v>
      </c>
    </row>
    <row r="330" spans="1:9" x14ac:dyDescent="0.25">
      <c r="A330" s="33">
        <v>329</v>
      </c>
      <c r="B330" s="34">
        <f t="shared" si="11"/>
        <v>43738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7">
        <f t="shared" si="10"/>
        <v>44569</v>
      </c>
      <c r="H330" s="33">
        <v>74</v>
      </c>
      <c r="I330" s="35">
        <f>StockInData[[#This Row],[Quantity]]*2.5</f>
        <v>185</v>
      </c>
    </row>
    <row r="331" spans="1:9" x14ac:dyDescent="0.25">
      <c r="A331" s="33">
        <v>330</v>
      </c>
      <c r="B331" s="34">
        <f t="shared" si="11"/>
        <v>43739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7">
        <f t="shared" si="10"/>
        <v>44571</v>
      </c>
      <c r="H331" s="33">
        <v>84</v>
      </c>
      <c r="I331" s="35">
        <f>StockInData[[#This Row],[Quantity]]*2.5</f>
        <v>210</v>
      </c>
    </row>
    <row r="332" spans="1:9" x14ac:dyDescent="0.25">
      <c r="A332" s="33">
        <v>331</v>
      </c>
      <c r="B332" s="34">
        <f t="shared" si="11"/>
        <v>43740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7">
        <f t="shared" si="10"/>
        <v>44573</v>
      </c>
      <c r="H332" s="33">
        <v>99</v>
      </c>
      <c r="I332" s="35">
        <f>StockInData[[#This Row],[Quantity]]*2.5</f>
        <v>247.5</v>
      </c>
    </row>
    <row r="333" spans="1:9" x14ac:dyDescent="0.25">
      <c r="A333" s="33">
        <v>332</v>
      </c>
      <c r="B333" s="34">
        <f t="shared" si="11"/>
        <v>43741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7">
        <f t="shared" si="10"/>
        <v>44575</v>
      </c>
      <c r="H333" s="33">
        <v>101</v>
      </c>
      <c r="I333" s="35">
        <f>StockInData[[#This Row],[Quantity]]*2.5</f>
        <v>252.5</v>
      </c>
    </row>
    <row r="334" spans="1:9" x14ac:dyDescent="0.25">
      <c r="A334" s="33">
        <v>333</v>
      </c>
      <c r="B334" s="34">
        <f t="shared" si="11"/>
        <v>43742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7">
        <f t="shared" si="10"/>
        <v>44577</v>
      </c>
      <c r="H334" s="33">
        <v>60</v>
      </c>
      <c r="I334" s="35">
        <f>StockInData[[#This Row],[Quantity]]*2.5</f>
        <v>150</v>
      </c>
    </row>
    <row r="335" spans="1:9" x14ac:dyDescent="0.25">
      <c r="A335" s="33">
        <v>334</v>
      </c>
      <c r="B335" s="34">
        <f t="shared" si="11"/>
        <v>43743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7">
        <f t="shared" si="10"/>
        <v>44579</v>
      </c>
      <c r="H335" s="33">
        <v>40</v>
      </c>
      <c r="I335" s="35">
        <f>StockInData[[#This Row],[Quantity]]*2.5</f>
        <v>100</v>
      </c>
    </row>
    <row r="336" spans="1:9" x14ac:dyDescent="0.25">
      <c r="A336" s="33">
        <v>335</v>
      </c>
      <c r="B336" s="34">
        <f t="shared" si="11"/>
        <v>43744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7">
        <f t="shared" si="10"/>
        <v>44581</v>
      </c>
      <c r="H336" s="33">
        <v>30</v>
      </c>
      <c r="I336" s="35">
        <f>StockInData[[#This Row],[Quantity]]*2.5</f>
        <v>75</v>
      </c>
    </row>
    <row r="337" spans="1:9" x14ac:dyDescent="0.25">
      <c r="A337" s="33">
        <v>336</v>
      </c>
      <c r="B337" s="34">
        <f t="shared" si="11"/>
        <v>43745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7">
        <f t="shared" si="10"/>
        <v>44583</v>
      </c>
      <c r="H337" s="33">
        <v>25</v>
      </c>
      <c r="I337" s="35">
        <f>StockInData[[#This Row],[Quantity]]*2.5</f>
        <v>62.5</v>
      </c>
    </row>
    <row r="338" spans="1:9" x14ac:dyDescent="0.25">
      <c r="A338" s="33">
        <v>337</v>
      </c>
      <c r="B338" s="34">
        <f t="shared" si="11"/>
        <v>43746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7">
        <f t="shared" si="10"/>
        <v>44585</v>
      </c>
      <c r="H338" s="33">
        <v>20</v>
      </c>
      <c r="I338" s="35">
        <f>StockInData[[#This Row],[Quantity]]*2.5</f>
        <v>50</v>
      </c>
    </row>
    <row r="339" spans="1:9" x14ac:dyDescent="0.25">
      <c r="A339" s="33">
        <v>338</v>
      </c>
      <c r="B339" s="34">
        <f t="shared" si="11"/>
        <v>43747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7">
        <f t="shared" si="10"/>
        <v>44587</v>
      </c>
      <c r="H339" s="33">
        <v>19</v>
      </c>
      <c r="I339" s="35">
        <f>StockInData[[#This Row],[Quantity]]*2.5</f>
        <v>47.5</v>
      </c>
    </row>
    <row r="340" spans="1:9" x14ac:dyDescent="0.25">
      <c r="A340" s="33">
        <v>339</v>
      </c>
      <c r="B340" s="34">
        <f t="shared" si="11"/>
        <v>43748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7">
        <f t="shared" si="10"/>
        <v>44589</v>
      </c>
      <c r="H340" s="33">
        <v>23</v>
      </c>
      <c r="I340" s="35">
        <f>StockInData[[#This Row],[Quantity]]*2.5</f>
        <v>57.5</v>
      </c>
    </row>
    <row r="341" spans="1:9" x14ac:dyDescent="0.25">
      <c r="A341" s="33">
        <v>340</v>
      </c>
      <c r="B341" s="34">
        <f t="shared" si="11"/>
        <v>43749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7">
        <f t="shared" si="10"/>
        <v>44591</v>
      </c>
      <c r="H341" s="33">
        <v>65</v>
      </c>
      <c r="I341" s="35">
        <f>StockInData[[#This Row],[Quantity]]*2.5</f>
        <v>162.5</v>
      </c>
    </row>
    <row r="342" spans="1:9" x14ac:dyDescent="0.25">
      <c r="A342" s="33">
        <v>341</v>
      </c>
      <c r="B342" s="34">
        <f t="shared" si="11"/>
        <v>43750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7">
        <f t="shared" si="10"/>
        <v>44593</v>
      </c>
      <c r="H342" s="33">
        <v>74</v>
      </c>
      <c r="I342" s="35">
        <f>StockInData[[#This Row],[Quantity]]*2.5</f>
        <v>185</v>
      </c>
    </row>
    <row r="343" spans="1:9" x14ac:dyDescent="0.25">
      <c r="A343" s="33">
        <v>342</v>
      </c>
      <c r="B343" s="34">
        <f t="shared" si="11"/>
        <v>43751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7">
        <f t="shared" si="10"/>
        <v>44595</v>
      </c>
      <c r="H343" s="33">
        <v>84</v>
      </c>
      <c r="I343" s="35">
        <f>StockInData[[#This Row],[Quantity]]*2.5</f>
        <v>210</v>
      </c>
    </row>
    <row r="344" spans="1:9" x14ac:dyDescent="0.25">
      <c r="A344" s="33">
        <v>343</v>
      </c>
      <c r="B344" s="34">
        <f t="shared" si="11"/>
        <v>43752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7">
        <f t="shared" si="10"/>
        <v>44597</v>
      </c>
      <c r="H344" s="33">
        <v>99</v>
      </c>
      <c r="I344" s="35">
        <f>StockInData[[#This Row],[Quantity]]*2.5</f>
        <v>247.5</v>
      </c>
    </row>
    <row r="345" spans="1:9" x14ac:dyDescent="0.25">
      <c r="A345" s="33">
        <v>344</v>
      </c>
      <c r="B345" s="34">
        <f t="shared" si="11"/>
        <v>43753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7">
        <f t="shared" si="10"/>
        <v>44599</v>
      </c>
      <c r="H345" s="33">
        <v>101</v>
      </c>
      <c r="I345" s="35">
        <f>StockInData[[#This Row],[Quantity]]*2.5</f>
        <v>252.5</v>
      </c>
    </row>
    <row r="346" spans="1:9" x14ac:dyDescent="0.25">
      <c r="A346" s="33">
        <v>345</v>
      </c>
      <c r="B346" s="34">
        <f t="shared" si="11"/>
        <v>43754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7">
        <f t="shared" si="10"/>
        <v>44601</v>
      </c>
      <c r="H346" s="33">
        <v>100</v>
      </c>
      <c r="I346" s="35">
        <f>StockInData[[#This Row],[Quantity]]*2.5</f>
        <v>250</v>
      </c>
    </row>
    <row r="347" spans="1:9" x14ac:dyDescent="0.25">
      <c r="A347" s="33">
        <v>346</v>
      </c>
      <c r="B347" s="34">
        <f t="shared" si="11"/>
        <v>43755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7">
        <f t="shared" si="10"/>
        <v>44603</v>
      </c>
      <c r="H347" s="33">
        <v>60</v>
      </c>
      <c r="I347" s="35">
        <f>StockInData[[#This Row],[Quantity]]*2.5</f>
        <v>150</v>
      </c>
    </row>
    <row r="348" spans="1:9" x14ac:dyDescent="0.25">
      <c r="A348" s="33">
        <v>347</v>
      </c>
      <c r="B348" s="34">
        <f t="shared" si="11"/>
        <v>43756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7">
        <f t="shared" si="10"/>
        <v>44605</v>
      </c>
      <c r="H348" s="33">
        <v>40</v>
      </c>
      <c r="I348" s="35">
        <f>StockInData[[#This Row],[Quantity]]*2.5</f>
        <v>100</v>
      </c>
    </row>
    <row r="349" spans="1:9" x14ac:dyDescent="0.25">
      <c r="A349" s="33">
        <v>348</v>
      </c>
      <c r="B349" s="34">
        <f t="shared" si="11"/>
        <v>43757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7">
        <f t="shared" si="10"/>
        <v>44607</v>
      </c>
      <c r="H349" s="33">
        <v>30</v>
      </c>
      <c r="I349" s="35">
        <f>StockInData[[#This Row],[Quantity]]*2.5</f>
        <v>75</v>
      </c>
    </row>
    <row r="350" spans="1:9" x14ac:dyDescent="0.25">
      <c r="A350" s="33">
        <v>349</v>
      </c>
      <c r="B350" s="34">
        <f t="shared" si="11"/>
        <v>43758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7">
        <f t="shared" si="10"/>
        <v>44609</v>
      </c>
      <c r="H350" s="33">
        <v>25</v>
      </c>
      <c r="I350" s="35">
        <f>StockInData[[#This Row],[Quantity]]*2.5</f>
        <v>62.5</v>
      </c>
    </row>
    <row r="351" spans="1:9" x14ac:dyDescent="0.25">
      <c r="A351" s="33">
        <v>350</v>
      </c>
      <c r="B351" s="34">
        <f t="shared" si="11"/>
        <v>43759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7">
        <f t="shared" si="10"/>
        <v>44611</v>
      </c>
      <c r="H351" s="33">
        <v>20</v>
      </c>
      <c r="I351" s="35">
        <f>StockInData[[#This Row],[Quantity]]*2.5</f>
        <v>50</v>
      </c>
    </row>
    <row r="352" spans="1:9" x14ac:dyDescent="0.25">
      <c r="A352" s="33">
        <v>351</v>
      </c>
      <c r="B352" s="34">
        <f t="shared" si="11"/>
        <v>43760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7">
        <f t="shared" si="10"/>
        <v>44613</v>
      </c>
      <c r="H352" s="33">
        <v>19</v>
      </c>
      <c r="I352" s="35">
        <f>StockInData[[#This Row],[Quantity]]*2.5</f>
        <v>47.5</v>
      </c>
    </row>
    <row r="353" spans="1:9" x14ac:dyDescent="0.25">
      <c r="A353" s="33">
        <v>352</v>
      </c>
      <c r="B353" s="34">
        <f t="shared" si="11"/>
        <v>43761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7">
        <f t="shared" si="10"/>
        <v>44615</v>
      </c>
      <c r="H353" s="33">
        <v>23</v>
      </c>
      <c r="I353" s="35">
        <f>StockInData[[#This Row],[Quantity]]*2.5</f>
        <v>57.5</v>
      </c>
    </row>
    <row r="354" spans="1:9" x14ac:dyDescent="0.25">
      <c r="A354" s="33">
        <v>353</v>
      </c>
      <c r="B354" s="34">
        <f t="shared" si="11"/>
        <v>43762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7">
        <f t="shared" si="10"/>
        <v>44617</v>
      </c>
      <c r="H354" s="33">
        <v>65</v>
      </c>
      <c r="I354" s="35">
        <f>StockInData[[#This Row],[Quantity]]*2.5</f>
        <v>162.5</v>
      </c>
    </row>
    <row r="355" spans="1:9" x14ac:dyDescent="0.25">
      <c r="A355" s="33">
        <v>354</v>
      </c>
      <c r="B355" s="34">
        <f t="shared" si="11"/>
        <v>43763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7">
        <f t="shared" si="10"/>
        <v>44619</v>
      </c>
      <c r="H355" s="33">
        <v>74</v>
      </c>
      <c r="I355" s="35">
        <f>StockInData[[#This Row],[Quantity]]*2.5</f>
        <v>185</v>
      </c>
    </row>
    <row r="356" spans="1:9" x14ac:dyDescent="0.25">
      <c r="A356" s="33">
        <v>355</v>
      </c>
      <c r="B356" s="34">
        <f t="shared" si="11"/>
        <v>43764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7">
        <f t="shared" si="10"/>
        <v>44621</v>
      </c>
      <c r="H356" s="33">
        <v>84</v>
      </c>
      <c r="I356" s="35">
        <f>StockInData[[#This Row],[Quantity]]*2.5</f>
        <v>210</v>
      </c>
    </row>
    <row r="357" spans="1:9" x14ac:dyDescent="0.25">
      <c r="A357" s="33">
        <v>356</v>
      </c>
      <c r="B357" s="34">
        <f t="shared" si="11"/>
        <v>43765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7">
        <f t="shared" si="10"/>
        <v>44623</v>
      </c>
      <c r="H357" s="33">
        <v>99</v>
      </c>
      <c r="I357" s="35">
        <f>StockInData[[#This Row],[Quantity]]*2.5</f>
        <v>247.5</v>
      </c>
    </row>
    <row r="358" spans="1:9" x14ac:dyDescent="0.25">
      <c r="A358" s="33">
        <v>357</v>
      </c>
      <c r="B358" s="34">
        <f t="shared" si="11"/>
        <v>43766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7">
        <f t="shared" si="10"/>
        <v>44625</v>
      </c>
      <c r="H358" s="33">
        <v>101</v>
      </c>
      <c r="I358" s="35">
        <f>StockInData[[#This Row],[Quantity]]*2.5</f>
        <v>252.5</v>
      </c>
    </row>
    <row r="359" spans="1:9" x14ac:dyDescent="0.25">
      <c r="A359" s="33">
        <v>358</v>
      </c>
      <c r="B359" s="34">
        <f t="shared" si="11"/>
        <v>43767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7">
        <f t="shared" si="10"/>
        <v>44627</v>
      </c>
      <c r="H359" s="33">
        <v>100</v>
      </c>
      <c r="I359" s="35">
        <f>StockInData[[#This Row],[Quantity]]*2.5</f>
        <v>250</v>
      </c>
    </row>
    <row r="360" spans="1:9" x14ac:dyDescent="0.25">
      <c r="A360" s="33">
        <v>359</v>
      </c>
      <c r="B360" s="34">
        <f t="shared" si="11"/>
        <v>43768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7">
        <f t="shared" si="10"/>
        <v>44629</v>
      </c>
      <c r="H360" s="33">
        <v>100</v>
      </c>
      <c r="I360" s="35">
        <f>StockInData[[#This Row],[Quantity]]*2.5</f>
        <v>250</v>
      </c>
    </row>
    <row r="361" spans="1:9" x14ac:dyDescent="0.25">
      <c r="A361" s="33">
        <v>360</v>
      </c>
      <c r="B361" s="34">
        <f t="shared" si="11"/>
        <v>43769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7">
        <f t="shared" si="10"/>
        <v>44631</v>
      </c>
      <c r="H361" s="33">
        <v>100</v>
      </c>
      <c r="I361" s="35">
        <f>StockInData[[#This Row],[Quantity]]*2.5</f>
        <v>250</v>
      </c>
    </row>
    <row r="362" spans="1:9" x14ac:dyDescent="0.25">
      <c r="A362" s="33">
        <v>361</v>
      </c>
      <c r="B362" s="34">
        <f t="shared" si="11"/>
        <v>43770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7">
        <f t="shared" si="10"/>
        <v>44633</v>
      </c>
      <c r="H362" s="33">
        <v>40</v>
      </c>
      <c r="I362" s="35">
        <f>StockInData[[#This Row],[Quantity]]*2.5</f>
        <v>100</v>
      </c>
    </row>
    <row r="363" spans="1:9" x14ac:dyDescent="0.25">
      <c r="A363" s="33">
        <v>362</v>
      </c>
      <c r="B363" s="34">
        <f t="shared" si="11"/>
        <v>43771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7">
        <f t="shared" si="10"/>
        <v>44635</v>
      </c>
      <c r="H363" s="33">
        <v>30</v>
      </c>
      <c r="I363" s="35">
        <f>StockInData[[#This Row],[Quantity]]*2.5</f>
        <v>75</v>
      </c>
    </row>
    <row r="364" spans="1:9" x14ac:dyDescent="0.25">
      <c r="A364" s="33">
        <v>363</v>
      </c>
      <c r="B364" s="34">
        <f t="shared" si="11"/>
        <v>43772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7">
        <f t="shared" si="10"/>
        <v>44637</v>
      </c>
      <c r="H364" s="33">
        <v>25</v>
      </c>
      <c r="I364" s="35">
        <f>StockInData[[#This Row],[Quantity]]*2.5</f>
        <v>62.5</v>
      </c>
    </row>
    <row r="365" spans="1:9" x14ac:dyDescent="0.25">
      <c r="A365" s="33">
        <v>364</v>
      </c>
      <c r="B365" s="34">
        <f t="shared" si="11"/>
        <v>43773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7">
        <f t="shared" si="10"/>
        <v>44639</v>
      </c>
      <c r="H365" s="33">
        <v>20</v>
      </c>
      <c r="I365" s="35">
        <f>StockInData[[#This Row],[Quantity]]*2.5</f>
        <v>50</v>
      </c>
    </row>
    <row r="366" spans="1:9" x14ac:dyDescent="0.25">
      <c r="A366" s="33">
        <v>365</v>
      </c>
      <c r="B366" s="34">
        <f t="shared" si="11"/>
        <v>43774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7">
        <f t="shared" si="10"/>
        <v>44641</v>
      </c>
      <c r="H366" s="33">
        <v>19</v>
      </c>
      <c r="I366" s="35">
        <f>StockInData[[#This Row],[Quantity]]*2.5</f>
        <v>47.5</v>
      </c>
    </row>
    <row r="367" spans="1:9" x14ac:dyDescent="0.25">
      <c r="A367" s="33">
        <v>366</v>
      </c>
      <c r="B367" s="34">
        <f t="shared" si="11"/>
        <v>43775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7">
        <f t="shared" si="10"/>
        <v>44643</v>
      </c>
      <c r="H367" s="33">
        <v>23</v>
      </c>
      <c r="I367" s="35">
        <f>StockInData[[#This Row],[Quantity]]*2.5</f>
        <v>57.5</v>
      </c>
    </row>
    <row r="368" spans="1:9" x14ac:dyDescent="0.25">
      <c r="A368" s="33">
        <v>367</v>
      </c>
      <c r="B368" s="34">
        <f t="shared" si="11"/>
        <v>43776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7">
        <f t="shared" si="10"/>
        <v>44645</v>
      </c>
      <c r="H368" s="33">
        <v>65</v>
      </c>
      <c r="I368" s="35">
        <f>StockInData[[#This Row],[Quantity]]*2.5</f>
        <v>162.5</v>
      </c>
    </row>
    <row r="369" spans="1:9" x14ac:dyDescent="0.25">
      <c r="A369" s="33">
        <v>368</v>
      </c>
      <c r="B369" s="34">
        <f t="shared" si="11"/>
        <v>43777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7">
        <f t="shared" si="10"/>
        <v>44647</v>
      </c>
      <c r="H369" s="33">
        <v>74</v>
      </c>
      <c r="I369" s="35">
        <f>StockInData[[#This Row],[Quantity]]*2.5</f>
        <v>185</v>
      </c>
    </row>
    <row r="370" spans="1:9" x14ac:dyDescent="0.25">
      <c r="A370" s="33">
        <v>369</v>
      </c>
      <c r="B370" s="34">
        <f t="shared" si="11"/>
        <v>43778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7">
        <f t="shared" si="10"/>
        <v>44649</v>
      </c>
      <c r="H370" s="33">
        <v>84</v>
      </c>
      <c r="I370" s="35">
        <f>StockInData[[#This Row],[Quantity]]*2.5</f>
        <v>210</v>
      </c>
    </row>
    <row r="371" spans="1:9" x14ac:dyDescent="0.25">
      <c r="A371" s="33">
        <v>370</v>
      </c>
      <c r="B371" s="34">
        <f t="shared" si="11"/>
        <v>43779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7">
        <f t="shared" si="10"/>
        <v>44651</v>
      </c>
      <c r="H371" s="33">
        <v>99</v>
      </c>
      <c r="I371" s="35">
        <f>StockInData[[#This Row],[Quantity]]*2.5</f>
        <v>247.5</v>
      </c>
    </row>
    <row r="372" spans="1:9" x14ac:dyDescent="0.25">
      <c r="A372" s="33">
        <v>371</v>
      </c>
      <c r="B372" s="34">
        <f t="shared" si="11"/>
        <v>43780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7">
        <f t="shared" si="10"/>
        <v>44653</v>
      </c>
      <c r="H372" s="33">
        <v>101</v>
      </c>
      <c r="I372" s="35">
        <f>StockInData[[#This Row],[Quantity]]*2.5</f>
        <v>252.5</v>
      </c>
    </row>
    <row r="373" spans="1:9" x14ac:dyDescent="0.25">
      <c r="A373" s="33">
        <v>372</v>
      </c>
      <c r="B373" s="34">
        <f t="shared" si="11"/>
        <v>43781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7">
        <f t="shared" si="10"/>
        <v>44655</v>
      </c>
      <c r="H373" s="33">
        <v>60</v>
      </c>
      <c r="I373" s="35">
        <f>StockInData[[#This Row],[Quantity]]*2.5</f>
        <v>150</v>
      </c>
    </row>
    <row r="374" spans="1:9" x14ac:dyDescent="0.25">
      <c r="A374" s="33">
        <v>373</v>
      </c>
      <c r="B374" s="34">
        <f t="shared" si="11"/>
        <v>43782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7">
        <f t="shared" si="10"/>
        <v>44657</v>
      </c>
      <c r="H374" s="33">
        <v>40</v>
      </c>
      <c r="I374" s="35">
        <f>StockInData[[#This Row],[Quantity]]*2.5</f>
        <v>100</v>
      </c>
    </row>
    <row r="375" spans="1:9" x14ac:dyDescent="0.25">
      <c r="A375" s="33">
        <v>374</v>
      </c>
      <c r="B375" s="34">
        <f t="shared" si="11"/>
        <v>43783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7">
        <f t="shared" si="10"/>
        <v>44659</v>
      </c>
      <c r="H375" s="33">
        <v>30</v>
      </c>
      <c r="I375" s="35">
        <f>StockInData[[#This Row],[Quantity]]*2.5</f>
        <v>75</v>
      </c>
    </row>
    <row r="376" spans="1:9" x14ac:dyDescent="0.25">
      <c r="A376" s="33">
        <v>375</v>
      </c>
      <c r="B376" s="34">
        <f t="shared" si="11"/>
        <v>43784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7">
        <f t="shared" si="10"/>
        <v>44661</v>
      </c>
      <c r="H376" s="33">
        <v>25</v>
      </c>
      <c r="I376" s="35">
        <f>StockInData[[#This Row],[Quantity]]*2.5</f>
        <v>62.5</v>
      </c>
    </row>
    <row r="377" spans="1:9" x14ac:dyDescent="0.25">
      <c r="A377" s="33">
        <v>376</v>
      </c>
      <c r="B377" s="34">
        <f t="shared" si="11"/>
        <v>43785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7">
        <f t="shared" si="10"/>
        <v>44663</v>
      </c>
      <c r="H377" s="33">
        <v>20</v>
      </c>
      <c r="I377" s="35">
        <f>StockInData[[#This Row],[Quantity]]*2.5</f>
        <v>50</v>
      </c>
    </row>
    <row r="378" spans="1:9" x14ac:dyDescent="0.25">
      <c r="A378" s="33">
        <v>377</v>
      </c>
      <c r="B378" s="34">
        <f t="shared" si="11"/>
        <v>43786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7">
        <f t="shared" si="10"/>
        <v>44665</v>
      </c>
      <c r="H378" s="33">
        <v>19</v>
      </c>
      <c r="I378" s="35">
        <f>StockInData[[#This Row],[Quantity]]*2.5</f>
        <v>47.5</v>
      </c>
    </row>
    <row r="379" spans="1:9" x14ac:dyDescent="0.25">
      <c r="A379" s="33">
        <v>378</v>
      </c>
      <c r="B379" s="34">
        <f t="shared" si="11"/>
        <v>43787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7">
        <f t="shared" si="10"/>
        <v>44667</v>
      </c>
      <c r="H379" s="33">
        <v>23</v>
      </c>
      <c r="I379" s="35">
        <f>StockInData[[#This Row],[Quantity]]*2.5</f>
        <v>57.5</v>
      </c>
    </row>
    <row r="380" spans="1:9" x14ac:dyDescent="0.25">
      <c r="A380" s="33">
        <v>379</v>
      </c>
      <c r="B380" s="34">
        <f t="shared" si="11"/>
        <v>43788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7">
        <f t="shared" si="10"/>
        <v>44669</v>
      </c>
      <c r="H380" s="33">
        <v>65</v>
      </c>
      <c r="I380" s="35">
        <f>StockInData[[#This Row],[Quantity]]*2.5</f>
        <v>162.5</v>
      </c>
    </row>
    <row r="381" spans="1:9" x14ac:dyDescent="0.25">
      <c r="A381" s="33">
        <v>380</v>
      </c>
      <c r="B381" s="34">
        <f t="shared" si="11"/>
        <v>43789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7">
        <f t="shared" si="10"/>
        <v>44671</v>
      </c>
      <c r="H381" s="33">
        <v>74</v>
      </c>
      <c r="I381" s="35">
        <f>StockInData[[#This Row],[Quantity]]*2.5</f>
        <v>185</v>
      </c>
    </row>
    <row r="382" spans="1:9" x14ac:dyDescent="0.25">
      <c r="A382" s="33">
        <v>381</v>
      </c>
      <c r="B382" s="34">
        <f t="shared" si="11"/>
        <v>43790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7">
        <f t="shared" si="10"/>
        <v>44673</v>
      </c>
      <c r="H382" s="33">
        <v>84</v>
      </c>
      <c r="I382" s="35">
        <f>StockInData[[#This Row],[Quantity]]*2.5</f>
        <v>210</v>
      </c>
    </row>
    <row r="383" spans="1:9" x14ac:dyDescent="0.25">
      <c r="A383" s="33">
        <v>382</v>
      </c>
      <c r="B383" s="34">
        <f t="shared" si="11"/>
        <v>43791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7">
        <f t="shared" si="10"/>
        <v>44675</v>
      </c>
      <c r="H383" s="33">
        <v>99</v>
      </c>
      <c r="I383" s="35">
        <f>StockInData[[#This Row],[Quantity]]*2.5</f>
        <v>247.5</v>
      </c>
    </row>
    <row r="384" spans="1:9" x14ac:dyDescent="0.25">
      <c r="A384" s="33">
        <v>383</v>
      </c>
      <c r="B384" s="34">
        <f t="shared" si="11"/>
        <v>43792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7">
        <f t="shared" si="10"/>
        <v>44677</v>
      </c>
      <c r="H384" s="33">
        <v>101</v>
      </c>
      <c r="I384" s="35">
        <f>StockInData[[#This Row],[Quantity]]*2.5</f>
        <v>252.5</v>
      </c>
    </row>
    <row r="385" spans="1:9" x14ac:dyDescent="0.25">
      <c r="A385" s="33">
        <v>384</v>
      </c>
      <c r="B385" s="34">
        <f t="shared" si="11"/>
        <v>43793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7">
        <f t="shared" si="10"/>
        <v>44679</v>
      </c>
      <c r="H385" s="33">
        <v>60</v>
      </c>
      <c r="I385" s="35">
        <f>StockInData[[#This Row],[Quantity]]*2.5</f>
        <v>150</v>
      </c>
    </row>
    <row r="386" spans="1:9" x14ac:dyDescent="0.25">
      <c r="A386" s="33">
        <v>385</v>
      </c>
      <c r="B386" s="34">
        <f t="shared" si="11"/>
        <v>43794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7">
        <f t="shared" si="10"/>
        <v>44681</v>
      </c>
      <c r="H386" s="33">
        <v>40</v>
      </c>
      <c r="I386" s="35">
        <f>StockInData[[#This Row],[Quantity]]*2.5</f>
        <v>100</v>
      </c>
    </row>
    <row r="387" spans="1:9" x14ac:dyDescent="0.25">
      <c r="A387" s="33">
        <v>386</v>
      </c>
      <c r="B387" s="34">
        <f t="shared" si="11"/>
        <v>43795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7">
        <f t="shared" si="10"/>
        <v>44683</v>
      </c>
      <c r="H387" s="33">
        <v>30</v>
      </c>
      <c r="I387" s="35">
        <f>StockInData[[#This Row],[Quantity]]*2.5</f>
        <v>75</v>
      </c>
    </row>
    <row r="388" spans="1:9" x14ac:dyDescent="0.25">
      <c r="A388" s="33">
        <v>387</v>
      </c>
      <c r="B388" s="34">
        <f t="shared" si="11"/>
        <v>43796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7">
        <f t="shared" ref="G388:G425" si="12">G387+2</f>
        <v>44685</v>
      </c>
      <c r="H388" s="33">
        <v>25</v>
      </c>
      <c r="I388" s="35">
        <f>StockInData[[#This Row],[Quantity]]*2.5</f>
        <v>62.5</v>
      </c>
    </row>
    <row r="389" spans="1:9" x14ac:dyDescent="0.25">
      <c r="A389" s="33">
        <v>388</v>
      </c>
      <c r="B389" s="34">
        <f t="shared" ref="B389:B425" si="13">B388+1</f>
        <v>43797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7">
        <f t="shared" si="12"/>
        <v>44687</v>
      </c>
      <c r="H389" s="33">
        <v>20</v>
      </c>
      <c r="I389" s="35">
        <f>StockInData[[#This Row],[Quantity]]*2.5</f>
        <v>50</v>
      </c>
    </row>
    <row r="390" spans="1:9" x14ac:dyDescent="0.25">
      <c r="A390" s="33">
        <v>389</v>
      </c>
      <c r="B390" s="34">
        <f t="shared" si="13"/>
        <v>43798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7">
        <f t="shared" si="12"/>
        <v>44689</v>
      </c>
      <c r="H390" s="33">
        <v>19</v>
      </c>
      <c r="I390" s="35">
        <f>StockInData[[#This Row],[Quantity]]*2.5</f>
        <v>47.5</v>
      </c>
    </row>
    <row r="391" spans="1:9" x14ac:dyDescent="0.25">
      <c r="A391" s="33">
        <v>390</v>
      </c>
      <c r="B391" s="34">
        <f t="shared" si="13"/>
        <v>43799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7">
        <f t="shared" si="12"/>
        <v>44691</v>
      </c>
      <c r="H391" s="33">
        <v>23</v>
      </c>
      <c r="I391" s="35">
        <f>StockInData[[#This Row],[Quantity]]*2.5</f>
        <v>57.5</v>
      </c>
    </row>
    <row r="392" spans="1:9" x14ac:dyDescent="0.25">
      <c r="A392" s="33">
        <v>391</v>
      </c>
      <c r="B392" s="34">
        <f t="shared" si="13"/>
        <v>43800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7">
        <f t="shared" si="12"/>
        <v>44693</v>
      </c>
      <c r="H392" s="33">
        <v>65</v>
      </c>
      <c r="I392" s="35">
        <f>StockInData[[#This Row],[Quantity]]*2.5</f>
        <v>162.5</v>
      </c>
    </row>
    <row r="393" spans="1:9" x14ac:dyDescent="0.25">
      <c r="A393" s="33">
        <v>392</v>
      </c>
      <c r="B393" s="34">
        <f t="shared" si="13"/>
        <v>43801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7">
        <f t="shared" si="12"/>
        <v>44695</v>
      </c>
      <c r="H393" s="33">
        <v>74</v>
      </c>
      <c r="I393" s="35">
        <f>StockInData[[#This Row],[Quantity]]*2.5</f>
        <v>185</v>
      </c>
    </row>
    <row r="394" spans="1:9" x14ac:dyDescent="0.25">
      <c r="A394" s="33">
        <v>393</v>
      </c>
      <c r="B394" s="34">
        <f t="shared" si="13"/>
        <v>43802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7">
        <f t="shared" si="12"/>
        <v>44697</v>
      </c>
      <c r="H394" s="33">
        <v>84</v>
      </c>
      <c r="I394" s="35">
        <f>StockInData[[#This Row],[Quantity]]*2.5</f>
        <v>210</v>
      </c>
    </row>
    <row r="395" spans="1:9" x14ac:dyDescent="0.25">
      <c r="A395" s="33">
        <v>394</v>
      </c>
      <c r="B395" s="34">
        <f t="shared" si="13"/>
        <v>43803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7">
        <f t="shared" si="12"/>
        <v>44699</v>
      </c>
      <c r="H395" s="33">
        <v>99</v>
      </c>
      <c r="I395" s="35">
        <f>StockInData[[#This Row],[Quantity]]*2.5</f>
        <v>247.5</v>
      </c>
    </row>
    <row r="396" spans="1:9" x14ac:dyDescent="0.25">
      <c r="A396" s="33">
        <v>395</v>
      </c>
      <c r="B396" s="34">
        <f t="shared" si="13"/>
        <v>43804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7">
        <f t="shared" si="12"/>
        <v>44701</v>
      </c>
      <c r="H396" s="33">
        <v>101</v>
      </c>
      <c r="I396" s="35">
        <f>StockInData[[#This Row],[Quantity]]*2.5</f>
        <v>252.5</v>
      </c>
    </row>
    <row r="397" spans="1:9" x14ac:dyDescent="0.25">
      <c r="A397" s="33">
        <v>396</v>
      </c>
      <c r="B397" s="34">
        <f t="shared" si="13"/>
        <v>43805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7">
        <f t="shared" si="12"/>
        <v>44703</v>
      </c>
      <c r="H397" s="33">
        <v>100</v>
      </c>
      <c r="I397" s="35">
        <f>StockInData[[#This Row],[Quantity]]*2.5</f>
        <v>250</v>
      </c>
    </row>
    <row r="398" spans="1:9" x14ac:dyDescent="0.25">
      <c r="A398" s="33">
        <v>397</v>
      </c>
      <c r="B398" s="34">
        <f t="shared" si="13"/>
        <v>43806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7">
        <f t="shared" si="12"/>
        <v>44705</v>
      </c>
      <c r="H398" s="33">
        <v>60</v>
      </c>
      <c r="I398" s="35">
        <f>StockInData[[#This Row],[Quantity]]*2.5</f>
        <v>150</v>
      </c>
    </row>
    <row r="399" spans="1:9" x14ac:dyDescent="0.25">
      <c r="A399" s="33">
        <v>398</v>
      </c>
      <c r="B399" s="34">
        <f t="shared" si="13"/>
        <v>43807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7">
        <f t="shared" si="12"/>
        <v>44707</v>
      </c>
      <c r="H399" s="33">
        <v>40</v>
      </c>
      <c r="I399" s="35">
        <f>StockInData[[#This Row],[Quantity]]*2.5</f>
        <v>100</v>
      </c>
    </row>
    <row r="400" spans="1:9" x14ac:dyDescent="0.25">
      <c r="A400" s="33">
        <v>399</v>
      </c>
      <c r="B400" s="34">
        <f t="shared" si="13"/>
        <v>43808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7">
        <f t="shared" si="12"/>
        <v>44709</v>
      </c>
      <c r="H400" s="33">
        <v>30</v>
      </c>
      <c r="I400" s="35">
        <f>StockInData[[#This Row],[Quantity]]*2.5</f>
        <v>75</v>
      </c>
    </row>
    <row r="401" spans="1:9" x14ac:dyDescent="0.25">
      <c r="A401" s="33">
        <v>400</v>
      </c>
      <c r="B401" s="34">
        <f t="shared" si="13"/>
        <v>43809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7">
        <f t="shared" si="12"/>
        <v>44711</v>
      </c>
      <c r="H401" s="33">
        <v>25</v>
      </c>
      <c r="I401" s="35">
        <f>StockInData[[#This Row],[Quantity]]*2.5</f>
        <v>62.5</v>
      </c>
    </row>
    <row r="402" spans="1:9" x14ac:dyDescent="0.25">
      <c r="A402" s="33">
        <v>401</v>
      </c>
      <c r="B402" s="34">
        <f t="shared" si="13"/>
        <v>43810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7">
        <f t="shared" si="12"/>
        <v>44713</v>
      </c>
      <c r="H402" s="33">
        <v>20</v>
      </c>
      <c r="I402" s="35">
        <f>StockInData[[#This Row],[Quantity]]*2.5</f>
        <v>50</v>
      </c>
    </row>
    <row r="403" spans="1:9" x14ac:dyDescent="0.25">
      <c r="A403" s="33">
        <v>402</v>
      </c>
      <c r="B403" s="34">
        <f t="shared" si="13"/>
        <v>43811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7">
        <f t="shared" si="12"/>
        <v>44715</v>
      </c>
      <c r="H403" s="33">
        <v>19</v>
      </c>
      <c r="I403" s="35">
        <f>StockInData[[#This Row],[Quantity]]*2.5</f>
        <v>47.5</v>
      </c>
    </row>
    <row r="404" spans="1:9" x14ac:dyDescent="0.25">
      <c r="A404" s="33">
        <v>403</v>
      </c>
      <c r="B404" s="34">
        <f t="shared" si="13"/>
        <v>43812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7">
        <f t="shared" si="12"/>
        <v>44717</v>
      </c>
      <c r="H404" s="33">
        <v>23</v>
      </c>
      <c r="I404" s="35">
        <f>StockInData[[#This Row],[Quantity]]*2.5</f>
        <v>57.5</v>
      </c>
    </row>
    <row r="405" spans="1:9" x14ac:dyDescent="0.25">
      <c r="A405" s="33">
        <v>404</v>
      </c>
      <c r="B405" s="34">
        <f t="shared" si="13"/>
        <v>43813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7">
        <f t="shared" si="12"/>
        <v>44719</v>
      </c>
      <c r="H405" s="33">
        <v>65</v>
      </c>
      <c r="I405" s="35">
        <f>StockInData[[#This Row],[Quantity]]*2.5</f>
        <v>162.5</v>
      </c>
    </row>
    <row r="406" spans="1:9" x14ac:dyDescent="0.25">
      <c r="A406" s="33">
        <v>405</v>
      </c>
      <c r="B406" s="34">
        <f t="shared" si="13"/>
        <v>43814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7">
        <f t="shared" si="12"/>
        <v>44721</v>
      </c>
      <c r="H406" s="33">
        <v>74</v>
      </c>
      <c r="I406" s="35">
        <f>StockInData[[#This Row],[Quantity]]*2.5</f>
        <v>185</v>
      </c>
    </row>
    <row r="407" spans="1:9" x14ac:dyDescent="0.25">
      <c r="A407" s="33">
        <v>406</v>
      </c>
      <c r="B407" s="34">
        <f t="shared" si="13"/>
        <v>43815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7">
        <f t="shared" si="12"/>
        <v>44723</v>
      </c>
      <c r="H407" s="33">
        <v>84</v>
      </c>
      <c r="I407" s="35">
        <f>StockInData[[#This Row],[Quantity]]*2.5</f>
        <v>210</v>
      </c>
    </row>
    <row r="408" spans="1:9" x14ac:dyDescent="0.25">
      <c r="A408" s="33">
        <v>407</v>
      </c>
      <c r="B408" s="34">
        <f t="shared" si="13"/>
        <v>43816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7">
        <f t="shared" si="12"/>
        <v>44725</v>
      </c>
      <c r="H408" s="33">
        <v>99</v>
      </c>
      <c r="I408" s="35">
        <f>StockInData[[#This Row],[Quantity]]*2.5</f>
        <v>247.5</v>
      </c>
    </row>
    <row r="409" spans="1:9" x14ac:dyDescent="0.25">
      <c r="A409" s="33">
        <v>408</v>
      </c>
      <c r="B409" s="34">
        <f t="shared" si="13"/>
        <v>43817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7">
        <f t="shared" si="12"/>
        <v>44727</v>
      </c>
      <c r="H409" s="33">
        <v>40</v>
      </c>
      <c r="I409" s="35">
        <f>StockInData[[#This Row],[Quantity]]*2.5</f>
        <v>100</v>
      </c>
    </row>
    <row r="410" spans="1:9" x14ac:dyDescent="0.25">
      <c r="A410" s="33">
        <v>409</v>
      </c>
      <c r="B410" s="34">
        <f t="shared" si="13"/>
        <v>43818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7">
        <f t="shared" si="12"/>
        <v>44729</v>
      </c>
      <c r="H410" s="33">
        <v>30</v>
      </c>
      <c r="I410" s="35">
        <f>StockInData[[#This Row],[Quantity]]*2.5</f>
        <v>75</v>
      </c>
    </row>
    <row r="411" spans="1:9" x14ac:dyDescent="0.25">
      <c r="A411" s="33">
        <v>410</v>
      </c>
      <c r="B411" s="34">
        <f t="shared" si="13"/>
        <v>43819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7">
        <f t="shared" si="12"/>
        <v>44731</v>
      </c>
      <c r="H411" s="33">
        <v>25</v>
      </c>
      <c r="I411" s="35">
        <f>StockInData[[#This Row],[Quantity]]*2.5</f>
        <v>62.5</v>
      </c>
    </row>
    <row r="412" spans="1:9" x14ac:dyDescent="0.25">
      <c r="A412" s="33">
        <v>411</v>
      </c>
      <c r="B412" s="34">
        <f t="shared" si="13"/>
        <v>43820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7">
        <f t="shared" si="12"/>
        <v>44733</v>
      </c>
      <c r="H412" s="33">
        <v>20</v>
      </c>
      <c r="I412" s="35">
        <f>StockInData[[#This Row],[Quantity]]*2.5</f>
        <v>50</v>
      </c>
    </row>
    <row r="413" spans="1:9" x14ac:dyDescent="0.25">
      <c r="A413" s="33">
        <v>412</v>
      </c>
      <c r="B413" s="34">
        <f t="shared" si="13"/>
        <v>43821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7">
        <f t="shared" si="12"/>
        <v>44735</v>
      </c>
      <c r="H413" s="33">
        <v>19</v>
      </c>
      <c r="I413" s="35">
        <f>StockInData[[#This Row],[Quantity]]*2.5</f>
        <v>47.5</v>
      </c>
    </row>
    <row r="414" spans="1:9" x14ac:dyDescent="0.25">
      <c r="A414" s="33">
        <v>413</v>
      </c>
      <c r="B414" s="34">
        <f t="shared" si="13"/>
        <v>43822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7">
        <f t="shared" si="12"/>
        <v>44737</v>
      </c>
      <c r="H414" s="33">
        <v>23</v>
      </c>
      <c r="I414" s="35">
        <f>StockInData[[#This Row],[Quantity]]*2.5</f>
        <v>57.5</v>
      </c>
    </row>
    <row r="415" spans="1:9" x14ac:dyDescent="0.25">
      <c r="A415" s="33">
        <v>414</v>
      </c>
      <c r="B415" s="34">
        <f t="shared" si="13"/>
        <v>43823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7">
        <f t="shared" si="12"/>
        <v>44739</v>
      </c>
      <c r="H415" s="33">
        <v>65</v>
      </c>
      <c r="I415" s="35">
        <f>StockInData[[#This Row],[Quantity]]*2.5</f>
        <v>162.5</v>
      </c>
    </row>
    <row r="416" spans="1:9" x14ac:dyDescent="0.25">
      <c r="A416" s="33">
        <v>415</v>
      </c>
      <c r="B416" s="34">
        <f t="shared" si="13"/>
        <v>43824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7">
        <f t="shared" si="12"/>
        <v>44741</v>
      </c>
      <c r="H416" s="33">
        <v>74</v>
      </c>
      <c r="I416" s="35">
        <f>StockInData[[#This Row],[Quantity]]*2.5</f>
        <v>185</v>
      </c>
    </row>
    <row r="417" spans="1:9" x14ac:dyDescent="0.25">
      <c r="A417" s="33">
        <v>416</v>
      </c>
      <c r="B417" s="34">
        <f t="shared" si="13"/>
        <v>43825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7">
        <f t="shared" si="12"/>
        <v>44743</v>
      </c>
      <c r="H417" s="33">
        <v>84</v>
      </c>
      <c r="I417" s="35">
        <f>StockInData[[#This Row],[Quantity]]*2.5</f>
        <v>210</v>
      </c>
    </row>
    <row r="418" spans="1:9" x14ac:dyDescent="0.25">
      <c r="A418" s="33">
        <v>417</v>
      </c>
      <c r="B418" s="34">
        <f t="shared" si="13"/>
        <v>43826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7">
        <f t="shared" si="12"/>
        <v>44745</v>
      </c>
      <c r="H418" s="33">
        <v>99</v>
      </c>
      <c r="I418" s="35">
        <f>StockInData[[#This Row],[Quantity]]*2.5</f>
        <v>247.5</v>
      </c>
    </row>
    <row r="419" spans="1:9" x14ac:dyDescent="0.25">
      <c r="A419" s="33">
        <v>418</v>
      </c>
      <c r="B419" s="34">
        <f t="shared" si="13"/>
        <v>43827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7">
        <f t="shared" si="12"/>
        <v>44747</v>
      </c>
      <c r="H419" s="33">
        <v>101</v>
      </c>
      <c r="I419" s="35">
        <f>StockInData[[#This Row],[Quantity]]*2.5</f>
        <v>252.5</v>
      </c>
    </row>
    <row r="420" spans="1:9" x14ac:dyDescent="0.25">
      <c r="A420" s="33">
        <v>419</v>
      </c>
      <c r="B420" s="34">
        <f t="shared" si="13"/>
        <v>43828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7">
        <f t="shared" si="12"/>
        <v>44749</v>
      </c>
      <c r="H420" s="33">
        <v>60</v>
      </c>
      <c r="I420" s="35">
        <f>StockInData[[#This Row],[Quantity]]*2.5</f>
        <v>150</v>
      </c>
    </row>
    <row r="421" spans="1:9" x14ac:dyDescent="0.25">
      <c r="A421" s="33">
        <v>420</v>
      </c>
      <c r="B421" s="34">
        <f t="shared" si="13"/>
        <v>43829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7">
        <f t="shared" si="12"/>
        <v>44751</v>
      </c>
      <c r="H421" s="33">
        <v>40</v>
      </c>
      <c r="I421" s="35">
        <f>StockInData[[#This Row],[Quantity]]*2.5</f>
        <v>100</v>
      </c>
    </row>
    <row r="422" spans="1:9" x14ac:dyDescent="0.25">
      <c r="A422" s="33">
        <v>421</v>
      </c>
      <c r="B422" s="34">
        <f t="shared" si="13"/>
        <v>43830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7">
        <f t="shared" si="12"/>
        <v>44753</v>
      </c>
      <c r="H422" s="33">
        <v>30</v>
      </c>
      <c r="I422" s="35">
        <f>StockInData[[#This Row],[Quantity]]*2.5</f>
        <v>75</v>
      </c>
    </row>
    <row r="423" spans="1:9" x14ac:dyDescent="0.25">
      <c r="A423" s="33">
        <v>422</v>
      </c>
      <c r="B423" s="34">
        <f t="shared" si="13"/>
        <v>43831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7">
        <f t="shared" si="12"/>
        <v>44755</v>
      </c>
      <c r="H423" s="33">
        <v>25</v>
      </c>
      <c r="I423" s="35">
        <f>StockInData[[#This Row],[Quantity]]*2.5</f>
        <v>62.5</v>
      </c>
    </row>
    <row r="424" spans="1:9" x14ac:dyDescent="0.25">
      <c r="A424" s="33">
        <v>423</v>
      </c>
      <c r="B424" s="34">
        <f t="shared" si="13"/>
        <v>43832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7">
        <f t="shared" si="12"/>
        <v>44757</v>
      </c>
      <c r="H424" s="33">
        <v>20</v>
      </c>
      <c r="I424" s="35">
        <f>StockInData[[#This Row],[Quantity]]*2.5</f>
        <v>50</v>
      </c>
    </row>
    <row r="425" spans="1:9" x14ac:dyDescent="0.25">
      <c r="A425" s="33">
        <v>424</v>
      </c>
      <c r="B425" s="34">
        <f t="shared" si="13"/>
        <v>43833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7">
        <f t="shared" si="12"/>
        <v>44759</v>
      </c>
      <c r="H425" s="33">
        <v>19</v>
      </c>
      <c r="I425" s="35">
        <f>StockInData[[#This Row],[Quantity]]*2.5</f>
        <v>47.5</v>
      </c>
    </row>
    <row r="426" spans="1:9" x14ac:dyDescent="0.25">
      <c r="A426" s="60">
        <v>425</v>
      </c>
      <c r="B426" s="61">
        <v>43797</v>
      </c>
      <c r="C426" s="62" t="s">
        <v>859</v>
      </c>
      <c r="D426" s="63" t="s">
        <v>860</v>
      </c>
      <c r="E426" s="62" t="s">
        <v>869</v>
      </c>
      <c r="F426" s="62" t="s">
        <v>870</v>
      </c>
      <c r="G426" s="65">
        <v>44751</v>
      </c>
      <c r="H426" s="60">
        <v>20</v>
      </c>
      <c r="I426" s="64">
        <v>200</v>
      </c>
    </row>
    <row r="427" spans="1:9" x14ac:dyDescent="0.25">
      <c r="A427" s="60">
        <v>426</v>
      </c>
      <c r="B427" s="61">
        <v>43797</v>
      </c>
      <c r="C427" s="62" t="s">
        <v>1039</v>
      </c>
      <c r="D427" s="63" t="s">
        <v>1044</v>
      </c>
      <c r="E427" s="62" t="s">
        <v>869</v>
      </c>
      <c r="F427" s="62" t="s">
        <v>1045</v>
      </c>
      <c r="G427" s="65" t="s">
        <v>1040</v>
      </c>
      <c r="H427" s="60">
        <v>55</v>
      </c>
      <c r="I427" s="64">
        <v>1100</v>
      </c>
    </row>
  </sheetData>
  <pageMargins left="0.7" right="0.7" top="0.75" bottom="0.75" header="0.3" footer="0.3"/>
  <pageSetup orientation="portrait" r:id="rId1"/>
  <ignoredErrors>
    <ignoredError sqref="G2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7"/>
  <sheetViews>
    <sheetView showGridLines="0" workbookViewId="0">
      <pane xSplit="8" ySplit="3" topLeftCell="I547" activePane="bottomRight" state="frozen"/>
      <selection pane="topRight" activeCell="I1" sqref="I1"/>
      <selection pane="bottomLeft" activeCell="A4" sqref="A4"/>
      <selection pane="bottomRight" activeCell="D554" sqref="D55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60">
        <v>425</v>
      </c>
      <c r="B426" s="61">
        <v>43533</v>
      </c>
      <c r="C426" s="62" t="s">
        <v>33</v>
      </c>
      <c r="D426" s="63" t="s">
        <v>34</v>
      </c>
      <c r="E426" s="62"/>
      <c r="F426" s="62"/>
      <c r="G426" s="60">
        <v>6</v>
      </c>
      <c r="H426" s="64">
        <v>6.5400000000000009</v>
      </c>
    </row>
    <row r="427" spans="1:8" x14ac:dyDescent="0.25">
      <c r="A427" s="60">
        <v>426</v>
      </c>
      <c r="B427" s="61">
        <v>43533</v>
      </c>
      <c r="C427" s="62" t="s">
        <v>884</v>
      </c>
      <c r="D427" s="63" t="s">
        <v>885</v>
      </c>
      <c r="E427" s="62"/>
      <c r="F427" s="62"/>
      <c r="G427" s="60">
        <v>12</v>
      </c>
      <c r="H427" s="64">
        <v>8.2799999999999994</v>
      </c>
    </row>
    <row r="428" spans="1:8" x14ac:dyDescent="0.25">
      <c r="A428" s="60">
        <v>427</v>
      </c>
      <c r="B428" s="61">
        <v>43533</v>
      </c>
      <c r="C428" s="62" t="s">
        <v>886</v>
      </c>
      <c r="D428" s="63" t="s">
        <v>887</v>
      </c>
      <c r="E428" s="62"/>
      <c r="F428" s="62"/>
      <c r="G428" s="60">
        <v>16</v>
      </c>
      <c r="H428" s="64">
        <v>22.24</v>
      </c>
    </row>
    <row r="429" spans="1:8" x14ac:dyDescent="0.25">
      <c r="A429" s="60">
        <v>428</v>
      </c>
      <c r="B429" s="61">
        <v>43533</v>
      </c>
      <c r="C429" s="62" t="s">
        <v>888</v>
      </c>
      <c r="D429" s="63" t="s">
        <v>889</v>
      </c>
      <c r="E429" s="62"/>
      <c r="F429" s="62"/>
      <c r="G429" s="60">
        <v>15</v>
      </c>
      <c r="H429" s="64">
        <v>16.350000000000001</v>
      </c>
    </row>
    <row r="430" spans="1:8" x14ac:dyDescent="0.25">
      <c r="A430" s="60">
        <v>429</v>
      </c>
      <c r="B430" s="61">
        <v>43533</v>
      </c>
      <c r="C430" s="62" t="s">
        <v>890</v>
      </c>
      <c r="D430" s="63" t="s">
        <v>891</v>
      </c>
      <c r="E430" s="62"/>
      <c r="F430" s="62"/>
      <c r="G430" s="60">
        <v>15</v>
      </c>
      <c r="H430" s="64">
        <v>14.85</v>
      </c>
    </row>
    <row r="431" spans="1:8" x14ac:dyDescent="0.25">
      <c r="A431" s="60">
        <v>430</v>
      </c>
      <c r="B431" s="61">
        <v>43533</v>
      </c>
      <c r="C431" s="62" t="s">
        <v>892</v>
      </c>
      <c r="D431" s="63" t="s">
        <v>893</v>
      </c>
      <c r="E431" s="62"/>
      <c r="F431" s="62"/>
      <c r="G431" s="60">
        <v>15</v>
      </c>
      <c r="H431" s="64">
        <v>13.35</v>
      </c>
    </row>
    <row r="432" spans="1:8" x14ac:dyDescent="0.25">
      <c r="A432" s="60">
        <v>431</v>
      </c>
      <c r="B432" s="61">
        <v>43533</v>
      </c>
      <c r="C432" s="62" t="s">
        <v>894</v>
      </c>
      <c r="D432" s="63" t="s">
        <v>895</v>
      </c>
      <c r="E432" s="62"/>
      <c r="F432" s="62"/>
      <c r="G432" s="60">
        <v>16</v>
      </c>
      <c r="H432" s="64">
        <v>14.24</v>
      </c>
    </row>
    <row r="433" spans="1:8" x14ac:dyDescent="0.25">
      <c r="A433" s="60">
        <v>432</v>
      </c>
      <c r="B433" s="61">
        <v>43533</v>
      </c>
      <c r="C433" s="62" t="s">
        <v>896</v>
      </c>
      <c r="D433" s="63" t="s">
        <v>897</v>
      </c>
      <c r="E433" s="62"/>
      <c r="F433" s="62"/>
      <c r="G433" s="60">
        <v>16</v>
      </c>
      <c r="H433" s="64">
        <v>22.24</v>
      </c>
    </row>
    <row r="434" spans="1:8" x14ac:dyDescent="0.25">
      <c r="A434" s="60">
        <v>433</v>
      </c>
      <c r="B434" s="61">
        <v>43533</v>
      </c>
      <c r="C434" s="62" t="s">
        <v>898</v>
      </c>
      <c r="D434" s="63" t="s">
        <v>899</v>
      </c>
      <c r="E434" s="62"/>
      <c r="F434" s="62"/>
      <c r="G434" s="60">
        <v>16</v>
      </c>
      <c r="H434" s="64">
        <v>20.64</v>
      </c>
    </row>
    <row r="435" spans="1:8" x14ac:dyDescent="0.25">
      <c r="A435" s="60">
        <v>434</v>
      </c>
      <c r="B435" s="61">
        <v>43533</v>
      </c>
      <c r="C435" s="62" t="s">
        <v>900</v>
      </c>
      <c r="D435" s="63" t="s">
        <v>901</v>
      </c>
      <c r="E435" s="62"/>
      <c r="F435" s="62"/>
      <c r="G435" s="60">
        <v>16</v>
      </c>
      <c r="H435" s="64">
        <v>19.04</v>
      </c>
    </row>
    <row r="436" spans="1:8" x14ac:dyDescent="0.25">
      <c r="A436" s="60">
        <v>435</v>
      </c>
      <c r="B436" s="61">
        <v>43533</v>
      </c>
      <c r="C436" s="62" t="s">
        <v>902</v>
      </c>
      <c r="D436" s="63" t="s">
        <v>903</v>
      </c>
      <c r="E436" s="62"/>
      <c r="F436" s="62"/>
      <c r="G436" s="60">
        <v>16</v>
      </c>
      <c r="H436" s="64">
        <v>23.84</v>
      </c>
    </row>
    <row r="437" spans="1:8" x14ac:dyDescent="0.25">
      <c r="A437" s="60">
        <v>436</v>
      </c>
      <c r="B437" s="61">
        <v>43533</v>
      </c>
      <c r="C437" s="62" t="s">
        <v>904</v>
      </c>
      <c r="D437" s="63" t="s">
        <v>905</v>
      </c>
      <c r="E437" s="62"/>
      <c r="F437" s="62"/>
      <c r="G437" s="60">
        <v>15</v>
      </c>
      <c r="H437" s="64">
        <v>18.75</v>
      </c>
    </row>
    <row r="438" spans="1:8" x14ac:dyDescent="0.25">
      <c r="A438" s="60">
        <v>437</v>
      </c>
      <c r="B438" s="61">
        <v>43533</v>
      </c>
      <c r="C438" s="62" t="s">
        <v>43</v>
      </c>
      <c r="D438" s="63" t="s">
        <v>44</v>
      </c>
      <c r="E438" s="62"/>
      <c r="F438" s="62"/>
      <c r="G438" s="60">
        <v>27</v>
      </c>
      <c r="H438" s="64">
        <v>9.4499999999999993</v>
      </c>
    </row>
    <row r="439" spans="1:8" x14ac:dyDescent="0.25">
      <c r="A439" s="60">
        <v>438</v>
      </c>
      <c r="B439" s="61">
        <v>43533</v>
      </c>
      <c r="C439" s="62" t="s">
        <v>95</v>
      </c>
      <c r="D439" s="63" t="s">
        <v>96</v>
      </c>
      <c r="E439" s="62"/>
      <c r="F439" s="62"/>
      <c r="G439" s="60">
        <v>12</v>
      </c>
      <c r="H439" s="64">
        <v>17.88</v>
      </c>
    </row>
    <row r="440" spans="1:8" x14ac:dyDescent="0.25">
      <c r="A440" s="60">
        <v>439</v>
      </c>
      <c r="B440" s="61">
        <v>43533</v>
      </c>
      <c r="C440" s="62" t="s">
        <v>613</v>
      </c>
      <c r="D440" s="63" t="s">
        <v>614</v>
      </c>
      <c r="E440" s="62"/>
      <c r="F440" s="62"/>
      <c r="G440" s="60">
        <v>12</v>
      </c>
      <c r="H440" s="64">
        <v>83.88</v>
      </c>
    </row>
    <row r="441" spans="1:8" x14ac:dyDescent="0.25">
      <c r="A441" s="60">
        <v>440</v>
      </c>
      <c r="B441" s="61">
        <v>43533</v>
      </c>
      <c r="C441" s="62" t="s">
        <v>884</v>
      </c>
      <c r="D441" s="63" t="s">
        <v>885</v>
      </c>
      <c r="E441" s="62"/>
      <c r="F441" s="62"/>
      <c r="G441" s="60">
        <v>12</v>
      </c>
      <c r="H441" s="64">
        <v>8.2799999999999994</v>
      </c>
    </row>
    <row r="442" spans="1:8" x14ac:dyDescent="0.25">
      <c r="A442" s="60">
        <v>441</v>
      </c>
      <c r="B442" s="61">
        <v>43533</v>
      </c>
      <c r="C442" s="62" t="s">
        <v>906</v>
      </c>
      <c r="D442" s="63" t="s">
        <v>907</v>
      </c>
      <c r="E442" s="62"/>
      <c r="F442" s="62"/>
      <c r="G442" s="60">
        <v>96</v>
      </c>
      <c r="H442" s="64">
        <v>23.04</v>
      </c>
    </row>
    <row r="443" spans="1:8" x14ac:dyDescent="0.25">
      <c r="A443" s="60">
        <v>442</v>
      </c>
      <c r="B443" s="61">
        <v>43533</v>
      </c>
      <c r="C443" s="62" t="s">
        <v>908</v>
      </c>
      <c r="D443" s="63" t="s">
        <v>909</v>
      </c>
      <c r="E443" s="62"/>
      <c r="F443" s="62"/>
      <c r="G443" s="60">
        <v>10</v>
      </c>
      <c r="H443" s="64">
        <v>8.5</v>
      </c>
    </row>
    <row r="444" spans="1:8" x14ac:dyDescent="0.25">
      <c r="A444" s="60">
        <v>443</v>
      </c>
      <c r="B444" s="61">
        <v>43533</v>
      </c>
      <c r="C444" s="62" t="s">
        <v>910</v>
      </c>
      <c r="D444" s="63" t="s">
        <v>911</v>
      </c>
      <c r="E444" s="62"/>
      <c r="F444" s="62"/>
      <c r="G444" s="60">
        <v>8</v>
      </c>
      <c r="H444" s="64">
        <v>67.92</v>
      </c>
    </row>
    <row r="445" spans="1:8" x14ac:dyDescent="0.25">
      <c r="A445" s="60">
        <v>444</v>
      </c>
      <c r="B445" s="61">
        <v>43533</v>
      </c>
      <c r="C445" s="62" t="s">
        <v>912</v>
      </c>
      <c r="D445" s="63" t="s">
        <v>913</v>
      </c>
      <c r="E445" s="62"/>
      <c r="F445" s="62"/>
      <c r="G445" s="60">
        <v>20</v>
      </c>
      <c r="H445" s="64">
        <v>25</v>
      </c>
    </row>
    <row r="446" spans="1:8" x14ac:dyDescent="0.25">
      <c r="A446" s="60">
        <v>445</v>
      </c>
      <c r="B446" s="61">
        <v>43533</v>
      </c>
      <c r="C446" s="62" t="s">
        <v>914</v>
      </c>
      <c r="D446" s="63" t="s">
        <v>915</v>
      </c>
      <c r="E446" s="62"/>
      <c r="F446" s="62"/>
      <c r="G446" s="60">
        <v>1</v>
      </c>
      <c r="H446" s="64">
        <v>27</v>
      </c>
    </row>
    <row r="447" spans="1:8" x14ac:dyDescent="0.25">
      <c r="A447" s="60">
        <v>446</v>
      </c>
      <c r="B447" s="61">
        <v>43533</v>
      </c>
      <c r="C447" s="62" t="s">
        <v>916</v>
      </c>
      <c r="D447" s="63" t="s">
        <v>917</v>
      </c>
      <c r="E447" s="62"/>
      <c r="F447" s="62"/>
      <c r="G447" s="60">
        <v>12</v>
      </c>
      <c r="H447" s="64">
        <v>6</v>
      </c>
    </row>
    <row r="448" spans="1:8" x14ac:dyDescent="0.25">
      <c r="A448" s="60">
        <v>447</v>
      </c>
      <c r="B448" s="61">
        <v>43533</v>
      </c>
      <c r="C448" s="62" t="s">
        <v>918</v>
      </c>
      <c r="D448" s="63" t="s">
        <v>919</v>
      </c>
      <c r="E448" s="62"/>
      <c r="F448" s="62"/>
      <c r="G448" s="60">
        <v>8</v>
      </c>
      <c r="H448" s="64">
        <v>34.32</v>
      </c>
    </row>
    <row r="449" spans="1:8" x14ac:dyDescent="0.25">
      <c r="A449" s="60">
        <v>448</v>
      </c>
      <c r="B449" s="61">
        <v>43533</v>
      </c>
      <c r="C449" s="62" t="s">
        <v>920</v>
      </c>
      <c r="D449" s="63" t="s">
        <v>921</v>
      </c>
      <c r="E449" s="62"/>
      <c r="F449" s="62"/>
      <c r="G449" s="60">
        <v>10</v>
      </c>
      <c r="H449" s="64">
        <v>17.899999999999999</v>
      </c>
    </row>
    <row r="450" spans="1:8" x14ac:dyDescent="0.25">
      <c r="A450" s="60">
        <v>449</v>
      </c>
      <c r="B450" s="61">
        <v>43533</v>
      </c>
      <c r="C450" s="62" t="s">
        <v>922</v>
      </c>
      <c r="D450" s="63" t="s">
        <v>923</v>
      </c>
      <c r="E450" s="62"/>
      <c r="F450" s="62"/>
      <c r="G450" s="60">
        <v>4</v>
      </c>
      <c r="H450" s="64">
        <v>5.96</v>
      </c>
    </row>
    <row r="451" spans="1:8" x14ac:dyDescent="0.25">
      <c r="A451" s="60">
        <v>450</v>
      </c>
      <c r="B451" s="61">
        <v>43533</v>
      </c>
      <c r="C451" s="62" t="s">
        <v>924</v>
      </c>
      <c r="D451" s="63" t="s">
        <v>925</v>
      </c>
      <c r="E451" s="62"/>
      <c r="F451" s="62"/>
      <c r="G451" s="60">
        <v>12</v>
      </c>
      <c r="H451" s="64">
        <v>30</v>
      </c>
    </row>
    <row r="452" spans="1:8" x14ac:dyDescent="0.25">
      <c r="A452" s="60">
        <v>451</v>
      </c>
      <c r="B452" s="61">
        <v>43533</v>
      </c>
      <c r="C452" s="62" t="s">
        <v>926</v>
      </c>
      <c r="D452" s="63" t="s">
        <v>927</v>
      </c>
      <c r="E452" s="62"/>
      <c r="F452" s="62"/>
      <c r="G452" s="60">
        <v>15</v>
      </c>
      <c r="H452" s="64">
        <v>10.35</v>
      </c>
    </row>
    <row r="453" spans="1:8" x14ac:dyDescent="0.25">
      <c r="A453" s="60">
        <v>452</v>
      </c>
      <c r="B453" s="61">
        <v>43533</v>
      </c>
      <c r="C453" s="62" t="s">
        <v>928</v>
      </c>
      <c r="D453" s="63" t="s">
        <v>929</v>
      </c>
      <c r="E453" s="62"/>
      <c r="F453" s="62"/>
      <c r="G453" s="60">
        <v>10</v>
      </c>
      <c r="H453" s="64">
        <v>7.9</v>
      </c>
    </row>
    <row r="454" spans="1:8" x14ac:dyDescent="0.25">
      <c r="A454" s="60">
        <v>453</v>
      </c>
      <c r="B454" s="61">
        <v>43533</v>
      </c>
      <c r="C454" s="62" t="s">
        <v>311</v>
      </c>
      <c r="D454" s="63" t="s">
        <v>312</v>
      </c>
      <c r="E454" s="62"/>
      <c r="F454" s="62"/>
      <c r="G454" s="60">
        <v>10</v>
      </c>
      <c r="H454" s="64">
        <v>7.9</v>
      </c>
    </row>
    <row r="455" spans="1:8" x14ac:dyDescent="0.25">
      <c r="A455" s="60">
        <v>454</v>
      </c>
      <c r="B455" s="61">
        <v>43533</v>
      </c>
      <c r="C455" s="62" t="s">
        <v>329</v>
      </c>
      <c r="D455" s="63" t="s">
        <v>330</v>
      </c>
      <c r="E455" s="62"/>
      <c r="F455" s="62"/>
      <c r="G455" s="60">
        <v>15</v>
      </c>
      <c r="H455" s="64">
        <v>12.75</v>
      </c>
    </row>
    <row r="456" spans="1:8" x14ac:dyDescent="0.25">
      <c r="A456" s="60">
        <v>455</v>
      </c>
      <c r="B456" s="61">
        <v>43533</v>
      </c>
      <c r="C456" s="62" t="s">
        <v>353</v>
      </c>
      <c r="D456" s="63" t="s">
        <v>354</v>
      </c>
      <c r="E456" s="62"/>
      <c r="F456" s="62"/>
      <c r="G456" s="60">
        <v>12</v>
      </c>
      <c r="H456" s="64">
        <v>2.4000000000000004</v>
      </c>
    </row>
    <row r="457" spans="1:8" x14ac:dyDescent="0.25">
      <c r="A457" s="60">
        <v>456</v>
      </c>
      <c r="B457" s="61">
        <v>43533</v>
      </c>
      <c r="C457" s="62" t="s">
        <v>373</v>
      </c>
      <c r="D457" s="63" t="s">
        <v>374</v>
      </c>
      <c r="E457" s="62"/>
      <c r="F457" s="62"/>
      <c r="G457" s="60">
        <v>40</v>
      </c>
      <c r="H457" s="64">
        <v>20.399999999999999</v>
      </c>
    </row>
    <row r="458" spans="1:8" x14ac:dyDescent="0.25">
      <c r="A458" s="60">
        <v>457</v>
      </c>
      <c r="B458" s="61">
        <v>43533</v>
      </c>
      <c r="C458" s="62" t="s">
        <v>487</v>
      </c>
      <c r="D458" s="63" t="s">
        <v>930</v>
      </c>
      <c r="E458" s="62"/>
      <c r="F458" s="62"/>
      <c r="G458" s="60">
        <v>6</v>
      </c>
      <c r="H458" s="64">
        <v>3</v>
      </c>
    </row>
    <row r="459" spans="1:8" x14ac:dyDescent="0.25">
      <c r="A459" s="60">
        <v>458</v>
      </c>
      <c r="B459" s="61">
        <v>43533</v>
      </c>
      <c r="C459" s="62" t="s">
        <v>489</v>
      </c>
      <c r="D459" s="63" t="s">
        <v>490</v>
      </c>
      <c r="E459" s="62"/>
      <c r="F459" s="62"/>
      <c r="G459" s="60">
        <v>6</v>
      </c>
      <c r="H459" s="64">
        <v>3</v>
      </c>
    </row>
    <row r="460" spans="1:8" x14ac:dyDescent="0.25">
      <c r="A460" s="60">
        <v>459</v>
      </c>
      <c r="B460" s="61">
        <v>43533</v>
      </c>
      <c r="C460" s="62" t="s">
        <v>511</v>
      </c>
      <c r="D460" s="63" t="s">
        <v>512</v>
      </c>
      <c r="E460" s="62"/>
      <c r="F460" s="62"/>
      <c r="G460" s="60">
        <v>6</v>
      </c>
      <c r="H460" s="64">
        <v>5.9399999999999995</v>
      </c>
    </row>
    <row r="461" spans="1:8" x14ac:dyDescent="0.25">
      <c r="A461" s="60">
        <v>460</v>
      </c>
      <c r="B461" s="61">
        <v>43533</v>
      </c>
      <c r="C461" s="62" t="s">
        <v>906</v>
      </c>
      <c r="D461" s="63" t="s">
        <v>907</v>
      </c>
      <c r="E461" s="62"/>
      <c r="F461" s="62"/>
      <c r="G461" s="60">
        <v>96</v>
      </c>
      <c r="H461" s="64">
        <v>23.04</v>
      </c>
    </row>
    <row r="462" spans="1:8" x14ac:dyDescent="0.25">
      <c r="A462" s="60">
        <v>461</v>
      </c>
      <c r="B462" s="61">
        <v>43533</v>
      </c>
      <c r="C462" s="62" t="s">
        <v>931</v>
      </c>
      <c r="D462" s="63" t="s">
        <v>932</v>
      </c>
      <c r="E462" s="62"/>
      <c r="F462" s="62"/>
      <c r="G462" s="60">
        <v>10</v>
      </c>
      <c r="H462" s="64">
        <v>9.9</v>
      </c>
    </row>
    <row r="463" spans="1:8" x14ac:dyDescent="0.25">
      <c r="A463" s="60">
        <v>462</v>
      </c>
      <c r="B463" s="61">
        <v>43533</v>
      </c>
      <c r="C463" s="62" t="s">
        <v>711</v>
      </c>
      <c r="D463" s="63" t="s">
        <v>712</v>
      </c>
      <c r="E463" s="62"/>
      <c r="F463" s="62"/>
      <c r="G463" s="60">
        <v>12</v>
      </c>
      <c r="H463" s="64">
        <v>8.2799999999999994</v>
      </c>
    </row>
    <row r="464" spans="1:8" x14ac:dyDescent="0.25">
      <c r="A464" s="60">
        <v>463</v>
      </c>
      <c r="B464" s="61">
        <v>43533</v>
      </c>
      <c r="C464" s="62" t="s">
        <v>745</v>
      </c>
      <c r="D464" s="63" t="s">
        <v>746</v>
      </c>
      <c r="E464" s="62"/>
      <c r="F464" s="62"/>
      <c r="G464" s="60">
        <v>12</v>
      </c>
      <c r="H464" s="64">
        <v>7.08</v>
      </c>
    </row>
    <row r="465" spans="1:8" x14ac:dyDescent="0.25">
      <c r="A465" s="60">
        <v>464</v>
      </c>
      <c r="B465" s="61">
        <v>43533</v>
      </c>
      <c r="C465" s="62" t="s">
        <v>910</v>
      </c>
      <c r="D465" s="63" t="s">
        <v>911</v>
      </c>
      <c r="E465" s="62"/>
      <c r="F465" s="62"/>
      <c r="G465" s="60">
        <v>4</v>
      </c>
      <c r="H465" s="64">
        <v>33.96</v>
      </c>
    </row>
    <row r="466" spans="1:8" x14ac:dyDescent="0.25">
      <c r="A466" s="60">
        <v>465</v>
      </c>
      <c r="B466" s="61">
        <v>43533</v>
      </c>
      <c r="C466" s="62" t="s">
        <v>933</v>
      </c>
      <c r="D466" s="63" t="s">
        <v>934</v>
      </c>
      <c r="E466" s="62"/>
      <c r="F466" s="62"/>
      <c r="G466" s="60">
        <v>12</v>
      </c>
      <c r="H466" s="64">
        <v>65.400000000000006</v>
      </c>
    </row>
    <row r="467" spans="1:8" x14ac:dyDescent="0.25">
      <c r="A467" s="60">
        <v>466</v>
      </c>
      <c r="B467" s="61">
        <v>43533</v>
      </c>
      <c r="C467" s="62" t="s">
        <v>935</v>
      </c>
      <c r="D467" s="63" t="s">
        <v>936</v>
      </c>
      <c r="E467" s="62"/>
      <c r="F467" s="62"/>
      <c r="G467" s="60">
        <v>10</v>
      </c>
      <c r="H467" s="64">
        <v>11.899999999999999</v>
      </c>
    </row>
    <row r="468" spans="1:8" x14ac:dyDescent="0.25">
      <c r="A468" s="60">
        <v>467</v>
      </c>
      <c r="B468" s="61">
        <v>43533</v>
      </c>
      <c r="C468" s="62" t="s">
        <v>916</v>
      </c>
      <c r="D468" s="63" t="s">
        <v>917</v>
      </c>
      <c r="E468" s="62"/>
      <c r="F468" s="62"/>
      <c r="G468" s="60">
        <v>12</v>
      </c>
      <c r="H468" s="64">
        <v>9.6000000000000014</v>
      </c>
    </row>
    <row r="469" spans="1:8" x14ac:dyDescent="0.25">
      <c r="A469" s="60">
        <v>468</v>
      </c>
      <c r="B469" s="61">
        <v>43533</v>
      </c>
      <c r="C469" s="62" t="s">
        <v>937</v>
      </c>
      <c r="D469" s="63" t="s">
        <v>938</v>
      </c>
      <c r="E469" s="62"/>
      <c r="F469" s="62"/>
      <c r="G469" s="60">
        <v>8</v>
      </c>
      <c r="H469" s="64">
        <v>17.440000000000001</v>
      </c>
    </row>
    <row r="470" spans="1:8" x14ac:dyDescent="0.25">
      <c r="A470" s="60">
        <v>469</v>
      </c>
      <c r="B470" s="61">
        <v>43533</v>
      </c>
      <c r="C470" s="62" t="s">
        <v>920</v>
      </c>
      <c r="D470" s="63" t="s">
        <v>921</v>
      </c>
      <c r="E470" s="62"/>
      <c r="F470" s="62"/>
      <c r="G470" s="60">
        <v>10</v>
      </c>
      <c r="H470" s="64">
        <v>17.899999999999999</v>
      </c>
    </row>
    <row r="471" spans="1:8" x14ac:dyDescent="0.25">
      <c r="A471" s="60">
        <v>470</v>
      </c>
      <c r="B471" s="61">
        <v>43533</v>
      </c>
      <c r="C471" s="62" t="s">
        <v>890</v>
      </c>
      <c r="D471" s="63" t="s">
        <v>891</v>
      </c>
      <c r="E471" s="62"/>
      <c r="F471" s="62"/>
      <c r="G471" s="60">
        <v>30</v>
      </c>
      <c r="H471" s="64">
        <v>29.7</v>
      </c>
    </row>
    <row r="472" spans="1:8" x14ac:dyDescent="0.25">
      <c r="A472" s="60">
        <v>471</v>
      </c>
      <c r="B472" s="61">
        <v>43533</v>
      </c>
      <c r="C472" s="62" t="s">
        <v>939</v>
      </c>
      <c r="D472" s="63" t="s">
        <v>940</v>
      </c>
      <c r="E472" s="62"/>
      <c r="F472" s="62"/>
      <c r="G472" s="60">
        <v>8</v>
      </c>
      <c r="H472" s="64">
        <v>15.92</v>
      </c>
    </row>
    <row r="473" spans="1:8" x14ac:dyDescent="0.25">
      <c r="A473" s="60">
        <v>472</v>
      </c>
      <c r="B473" s="61">
        <v>43533</v>
      </c>
      <c r="C473" s="62" t="s">
        <v>941</v>
      </c>
      <c r="D473" s="63" t="s">
        <v>942</v>
      </c>
      <c r="E473" s="62"/>
      <c r="F473" s="62"/>
      <c r="G473" s="60">
        <v>8</v>
      </c>
      <c r="H473" s="64">
        <v>14</v>
      </c>
    </row>
    <row r="474" spans="1:8" x14ac:dyDescent="0.25">
      <c r="A474" s="60">
        <v>473</v>
      </c>
      <c r="B474" s="61">
        <v>43533</v>
      </c>
      <c r="C474" s="62" t="s">
        <v>943</v>
      </c>
      <c r="D474" s="63" t="s">
        <v>944</v>
      </c>
      <c r="E474" s="62"/>
      <c r="F474" s="62"/>
      <c r="G474" s="60">
        <v>8</v>
      </c>
      <c r="H474" s="64">
        <v>21.52</v>
      </c>
    </row>
    <row r="475" spans="1:8" x14ac:dyDescent="0.25">
      <c r="A475" s="60">
        <v>474</v>
      </c>
      <c r="B475" s="61">
        <v>43533</v>
      </c>
      <c r="C475" s="62" t="s">
        <v>945</v>
      </c>
      <c r="D475" s="63" t="s">
        <v>946</v>
      </c>
      <c r="E475" s="62"/>
      <c r="F475" s="62"/>
      <c r="G475" s="60">
        <v>6</v>
      </c>
      <c r="H475" s="64">
        <v>1.3800000000000001</v>
      </c>
    </row>
    <row r="476" spans="1:8" x14ac:dyDescent="0.25">
      <c r="A476" s="60">
        <v>475</v>
      </c>
      <c r="B476" s="61">
        <v>43533</v>
      </c>
      <c r="C476" s="62" t="s">
        <v>947</v>
      </c>
      <c r="D476" s="63" t="s">
        <v>948</v>
      </c>
      <c r="E476" s="62"/>
      <c r="F476" s="62"/>
      <c r="G476" s="60">
        <v>12</v>
      </c>
      <c r="H476" s="64">
        <v>2.88</v>
      </c>
    </row>
    <row r="477" spans="1:8" x14ac:dyDescent="0.25">
      <c r="A477" s="60">
        <v>476</v>
      </c>
      <c r="B477" s="61">
        <v>43533</v>
      </c>
      <c r="C477" s="62" t="s">
        <v>949</v>
      </c>
      <c r="D477" s="63" t="s">
        <v>950</v>
      </c>
      <c r="E477" s="62"/>
      <c r="F477" s="62"/>
      <c r="G477" s="60">
        <v>12</v>
      </c>
      <c r="H477" s="64">
        <v>3.84</v>
      </c>
    </row>
    <row r="478" spans="1:8" x14ac:dyDescent="0.25">
      <c r="A478" s="60">
        <v>477</v>
      </c>
      <c r="B478" s="61">
        <v>43533</v>
      </c>
      <c r="C478" s="62" t="s">
        <v>951</v>
      </c>
      <c r="D478" s="63" t="s">
        <v>952</v>
      </c>
      <c r="E478" s="62"/>
      <c r="F478" s="62"/>
      <c r="G478" s="60">
        <v>6</v>
      </c>
      <c r="H478" s="64">
        <v>14.64</v>
      </c>
    </row>
    <row r="479" spans="1:8" x14ac:dyDescent="0.25">
      <c r="A479" s="60">
        <v>478</v>
      </c>
      <c r="B479" s="61">
        <v>43533</v>
      </c>
      <c r="C479" s="62" t="s">
        <v>922</v>
      </c>
      <c r="D479" s="63" t="s">
        <v>923</v>
      </c>
      <c r="E479" s="62"/>
      <c r="F479" s="62"/>
      <c r="G479" s="60">
        <v>6</v>
      </c>
      <c r="H479" s="64">
        <v>8.94</v>
      </c>
    </row>
    <row r="480" spans="1:8" x14ac:dyDescent="0.25">
      <c r="A480" s="60">
        <v>479</v>
      </c>
      <c r="B480" s="61">
        <v>43533</v>
      </c>
      <c r="C480" s="62" t="s">
        <v>953</v>
      </c>
      <c r="D480" s="63" t="s">
        <v>954</v>
      </c>
      <c r="E480" s="62"/>
      <c r="F480" s="62"/>
      <c r="G480" s="60">
        <v>5</v>
      </c>
      <c r="H480" s="64">
        <v>23</v>
      </c>
    </row>
    <row r="481" spans="1:8" x14ac:dyDescent="0.25">
      <c r="A481" s="60">
        <v>480</v>
      </c>
      <c r="B481" s="61">
        <v>43533</v>
      </c>
      <c r="C481" s="62" t="s">
        <v>955</v>
      </c>
      <c r="D481" s="63" t="s">
        <v>956</v>
      </c>
      <c r="E481" s="62"/>
      <c r="F481" s="62"/>
      <c r="G481" s="60">
        <v>6</v>
      </c>
      <c r="H481" s="64">
        <v>13.14</v>
      </c>
    </row>
    <row r="482" spans="1:8" x14ac:dyDescent="0.25">
      <c r="A482" s="60">
        <v>481</v>
      </c>
      <c r="B482" s="61">
        <v>43533</v>
      </c>
      <c r="C482" s="62" t="s">
        <v>341</v>
      </c>
      <c r="D482" s="63" t="s">
        <v>342</v>
      </c>
      <c r="E482" s="62"/>
      <c r="F482" s="62"/>
      <c r="G482" s="60">
        <v>12</v>
      </c>
      <c r="H482" s="64">
        <v>29.880000000000003</v>
      </c>
    </row>
    <row r="483" spans="1:8" x14ac:dyDescent="0.25">
      <c r="A483" s="60">
        <v>482</v>
      </c>
      <c r="B483" s="61">
        <v>43533</v>
      </c>
      <c r="C483" s="62" t="s">
        <v>435</v>
      </c>
      <c r="D483" s="63" t="s">
        <v>436</v>
      </c>
      <c r="E483" s="62"/>
      <c r="F483" s="62"/>
      <c r="G483" s="60">
        <v>12</v>
      </c>
      <c r="H483" s="64">
        <v>10.68</v>
      </c>
    </row>
    <row r="484" spans="1:8" x14ac:dyDescent="0.25">
      <c r="A484" s="60">
        <v>483</v>
      </c>
      <c r="B484" s="61">
        <v>43533</v>
      </c>
      <c r="C484" s="62" t="s">
        <v>957</v>
      </c>
      <c r="D484" s="63" t="s">
        <v>958</v>
      </c>
      <c r="E484" s="62"/>
      <c r="F484" s="62"/>
      <c r="G484" s="60">
        <v>8</v>
      </c>
      <c r="H484" s="64">
        <v>31.28</v>
      </c>
    </row>
    <row r="485" spans="1:8" x14ac:dyDescent="0.25">
      <c r="A485" s="60">
        <v>484</v>
      </c>
      <c r="B485" s="61">
        <v>43533</v>
      </c>
      <c r="C485" s="62" t="s">
        <v>959</v>
      </c>
      <c r="D485" s="63" t="s">
        <v>960</v>
      </c>
      <c r="E485" s="62"/>
      <c r="F485" s="62"/>
      <c r="G485" s="60">
        <v>10</v>
      </c>
      <c r="H485" s="64">
        <v>9.9</v>
      </c>
    </row>
    <row r="486" spans="1:8" x14ac:dyDescent="0.25">
      <c r="A486" s="60">
        <v>485</v>
      </c>
      <c r="B486" s="61">
        <v>43533</v>
      </c>
      <c r="C486" s="62" t="s">
        <v>961</v>
      </c>
      <c r="D486" s="63" t="s">
        <v>962</v>
      </c>
      <c r="E486" s="62"/>
      <c r="F486" s="62"/>
      <c r="G486" s="60">
        <v>12</v>
      </c>
      <c r="H486" s="64">
        <v>23.88</v>
      </c>
    </row>
    <row r="487" spans="1:8" x14ac:dyDescent="0.25">
      <c r="A487" s="60">
        <v>486</v>
      </c>
      <c r="B487" s="61">
        <v>43533</v>
      </c>
      <c r="C487" s="62" t="s">
        <v>963</v>
      </c>
      <c r="D487" s="63" t="s">
        <v>964</v>
      </c>
      <c r="E487" s="62"/>
      <c r="F487" s="62"/>
      <c r="G487" s="60">
        <v>6</v>
      </c>
      <c r="H487" s="64">
        <v>11.94</v>
      </c>
    </row>
    <row r="488" spans="1:8" x14ac:dyDescent="0.25">
      <c r="A488" s="60">
        <v>487</v>
      </c>
      <c r="B488" s="61">
        <v>43533</v>
      </c>
      <c r="C488" s="62" t="s">
        <v>965</v>
      </c>
      <c r="D488" s="63" t="s">
        <v>966</v>
      </c>
      <c r="E488" s="62"/>
      <c r="F488" s="62"/>
      <c r="G488" s="60">
        <v>20</v>
      </c>
      <c r="H488" s="64">
        <v>7.8000000000000007</v>
      </c>
    </row>
    <row r="489" spans="1:8" x14ac:dyDescent="0.25">
      <c r="A489" s="60">
        <v>488</v>
      </c>
      <c r="B489" s="61">
        <v>43533</v>
      </c>
      <c r="C489" s="62" t="s">
        <v>916</v>
      </c>
      <c r="D489" s="63" t="s">
        <v>917</v>
      </c>
      <c r="E489" s="62"/>
      <c r="F489" s="62"/>
      <c r="G489" s="60">
        <v>24</v>
      </c>
      <c r="H489" s="64">
        <v>12</v>
      </c>
    </row>
    <row r="490" spans="1:8" x14ac:dyDescent="0.25">
      <c r="A490" s="60">
        <v>489</v>
      </c>
      <c r="B490" s="61">
        <v>43533</v>
      </c>
      <c r="C490" s="62" t="s">
        <v>967</v>
      </c>
      <c r="D490" s="63" t="s">
        <v>968</v>
      </c>
      <c r="E490" s="62"/>
      <c r="F490" s="62"/>
      <c r="G490" s="60">
        <v>10</v>
      </c>
      <c r="H490" s="64">
        <v>9.9</v>
      </c>
    </row>
    <row r="491" spans="1:8" x14ac:dyDescent="0.25">
      <c r="A491" s="60">
        <v>490</v>
      </c>
      <c r="B491" s="61">
        <v>43533</v>
      </c>
      <c r="C491" s="62" t="s">
        <v>969</v>
      </c>
      <c r="D491" s="63" t="s">
        <v>970</v>
      </c>
      <c r="E491" s="62"/>
      <c r="F491" s="62"/>
      <c r="G491" s="60">
        <v>10</v>
      </c>
      <c r="H491" s="64">
        <v>7.5</v>
      </c>
    </row>
    <row r="492" spans="1:8" x14ac:dyDescent="0.25">
      <c r="A492" s="60">
        <v>491</v>
      </c>
      <c r="B492" s="61">
        <v>43533</v>
      </c>
      <c r="C492" s="62" t="s">
        <v>311</v>
      </c>
      <c r="D492" s="63" t="s">
        <v>312</v>
      </c>
      <c r="E492" s="62"/>
      <c r="F492" s="62"/>
      <c r="G492" s="60">
        <v>10</v>
      </c>
      <c r="H492" s="64">
        <v>7.5</v>
      </c>
    </row>
    <row r="493" spans="1:8" x14ac:dyDescent="0.25">
      <c r="A493" s="60">
        <v>492</v>
      </c>
      <c r="B493" s="61">
        <v>43533</v>
      </c>
      <c r="C493" s="62" t="s">
        <v>884</v>
      </c>
      <c r="D493" s="63" t="s">
        <v>885</v>
      </c>
      <c r="E493" s="62"/>
      <c r="F493" s="62"/>
      <c r="G493" s="60">
        <v>12</v>
      </c>
      <c r="H493" s="64">
        <v>8.2799999999999994</v>
      </c>
    </row>
    <row r="494" spans="1:8" x14ac:dyDescent="0.25">
      <c r="A494" s="60">
        <v>493</v>
      </c>
      <c r="B494" s="61">
        <v>43533</v>
      </c>
      <c r="C494" s="62" t="s">
        <v>439</v>
      </c>
      <c r="D494" s="63" t="s">
        <v>440</v>
      </c>
      <c r="E494" s="62"/>
      <c r="F494" s="62"/>
      <c r="G494" s="60">
        <v>12</v>
      </c>
      <c r="H494" s="64">
        <v>17.399999999999999</v>
      </c>
    </row>
    <row r="495" spans="1:8" x14ac:dyDescent="0.25">
      <c r="A495" s="60">
        <v>494</v>
      </c>
      <c r="B495" s="61">
        <v>43533</v>
      </c>
      <c r="C495" s="62" t="s">
        <v>971</v>
      </c>
      <c r="D495" s="63" t="s">
        <v>972</v>
      </c>
      <c r="E495" s="62"/>
      <c r="F495" s="62"/>
      <c r="G495" s="60">
        <v>12</v>
      </c>
      <c r="H495" s="64">
        <v>10.199999999999999</v>
      </c>
    </row>
    <row r="496" spans="1:8" x14ac:dyDescent="0.25">
      <c r="A496" s="60">
        <v>495</v>
      </c>
      <c r="B496" s="61">
        <v>43533</v>
      </c>
      <c r="C496" s="62" t="s">
        <v>973</v>
      </c>
      <c r="D496" s="63" t="s">
        <v>974</v>
      </c>
      <c r="E496" s="62"/>
      <c r="F496" s="62"/>
      <c r="G496" s="60">
        <v>12</v>
      </c>
      <c r="H496" s="64">
        <v>10.199999999999999</v>
      </c>
    </row>
    <row r="497" spans="1:8" x14ac:dyDescent="0.25">
      <c r="A497" s="60">
        <v>496</v>
      </c>
      <c r="B497" s="61">
        <v>43533</v>
      </c>
      <c r="C497" s="62" t="s">
        <v>975</v>
      </c>
      <c r="D497" s="63" t="s">
        <v>976</v>
      </c>
      <c r="E497" s="62"/>
      <c r="F497" s="62"/>
      <c r="G497" s="60">
        <v>12</v>
      </c>
      <c r="H497" s="64">
        <v>10.199999999999999</v>
      </c>
    </row>
    <row r="498" spans="1:8" x14ac:dyDescent="0.25">
      <c r="A498" s="60">
        <v>497</v>
      </c>
      <c r="B498" s="61">
        <v>43533</v>
      </c>
      <c r="C498" s="62" t="s">
        <v>977</v>
      </c>
      <c r="D498" s="63" t="s">
        <v>978</v>
      </c>
      <c r="E498" s="62"/>
      <c r="F498" s="62"/>
      <c r="G498" s="60">
        <v>20</v>
      </c>
      <c r="H498" s="64">
        <v>14.399999999999999</v>
      </c>
    </row>
    <row r="499" spans="1:8" x14ac:dyDescent="0.25">
      <c r="A499" s="60">
        <v>498</v>
      </c>
      <c r="B499" s="61">
        <v>43533</v>
      </c>
      <c r="C499" s="62" t="s">
        <v>979</v>
      </c>
      <c r="D499" s="63" t="s">
        <v>980</v>
      </c>
      <c r="E499" s="62"/>
      <c r="F499" s="62"/>
      <c r="G499" s="60">
        <v>20</v>
      </c>
      <c r="H499" s="64">
        <v>17</v>
      </c>
    </row>
    <row r="500" spans="1:8" x14ac:dyDescent="0.25">
      <c r="A500" s="60">
        <v>499</v>
      </c>
      <c r="B500" s="61">
        <v>43533</v>
      </c>
      <c r="C500" s="62" t="s">
        <v>981</v>
      </c>
      <c r="D500" s="63" t="s">
        <v>982</v>
      </c>
      <c r="E500" s="62"/>
      <c r="F500" s="62"/>
      <c r="G500" s="60">
        <v>10</v>
      </c>
      <c r="H500" s="64">
        <v>12.3</v>
      </c>
    </row>
    <row r="501" spans="1:8" x14ac:dyDescent="0.25">
      <c r="A501" s="60">
        <v>500</v>
      </c>
      <c r="B501" s="61">
        <v>43533</v>
      </c>
      <c r="C501" s="62" t="s">
        <v>983</v>
      </c>
      <c r="D501" s="63" t="s">
        <v>984</v>
      </c>
      <c r="E501" s="62"/>
      <c r="F501" s="62"/>
      <c r="G501" s="60">
        <v>10</v>
      </c>
      <c r="H501" s="64">
        <v>20.099999999999998</v>
      </c>
    </row>
    <row r="502" spans="1:8" x14ac:dyDescent="0.25">
      <c r="A502" s="60">
        <v>501</v>
      </c>
      <c r="B502" s="61">
        <v>43533</v>
      </c>
      <c r="C502" s="62" t="s">
        <v>916</v>
      </c>
      <c r="D502" s="63" t="s">
        <v>917</v>
      </c>
      <c r="E502" s="62"/>
      <c r="F502" s="62"/>
      <c r="G502" s="60">
        <v>24</v>
      </c>
      <c r="H502" s="64">
        <v>12</v>
      </c>
    </row>
    <row r="503" spans="1:8" x14ac:dyDescent="0.25">
      <c r="A503" s="60">
        <v>502</v>
      </c>
      <c r="B503" s="61">
        <v>43533</v>
      </c>
      <c r="C503" s="62" t="s">
        <v>888</v>
      </c>
      <c r="D503" s="63" t="s">
        <v>889</v>
      </c>
      <c r="E503" s="62"/>
      <c r="F503" s="62"/>
      <c r="G503" s="60">
        <v>30</v>
      </c>
      <c r="H503" s="64">
        <v>30.3</v>
      </c>
    </row>
    <row r="504" spans="1:8" x14ac:dyDescent="0.25">
      <c r="A504" s="60">
        <v>503</v>
      </c>
      <c r="B504" s="61">
        <v>43533</v>
      </c>
      <c r="C504" s="62" t="s">
        <v>892</v>
      </c>
      <c r="D504" s="63" t="s">
        <v>893</v>
      </c>
      <c r="E504" s="62"/>
      <c r="F504" s="62"/>
      <c r="G504" s="60">
        <v>30</v>
      </c>
      <c r="H504" s="64">
        <v>25.5</v>
      </c>
    </row>
    <row r="505" spans="1:8" x14ac:dyDescent="0.25">
      <c r="A505" s="60">
        <v>504</v>
      </c>
      <c r="B505" s="61">
        <v>43533</v>
      </c>
      <c r="C505" s="62" t="s">
        <v>985</v>
      </c>
      <c r="D505" s="63" t="s">
        <v>986</v>
      </c>
      <c r="E505" s="62"/>
      <c r="F505" s="62"/>
      <c r="G505" s="60">
        <v>16</v>
      </c>
      <c r="H505" s="64">
        <v>19.04</v>
      </c>
    </row>
    <row r="506" spans="1:8" x14ac:dyDescent="0.25">
      <c r="A506" s="60">
        <v>505</v>
      </c>
      <c r="B506" s="61">
        <v>43533</v>
      </c>
      <c r="C506" s="62" t="s">
        <v>910</v>
      </c>
      <c r="D506" s="63" t="s">
        <v>911</v>
      </c>
      <c r="E506" s="62"/>
      <c r="F506" s="62"/>
      <c r="G506" s="60">
        <v>8</v>
      </c>
      <c r="H506" s="64">
        <v>67.92</v>
      </c>
    </row>
    <row r="507" spans="1:8" x14ac:dyDescent="0.25">
      <c r="A507" s="60">
        <v>506</v>
      </c>
      <c r="B507" s="61">
        <v>43533</v>
      </c>
      <c r="C507" s="62" t="s">
        <v>951</v>
      </c>
      <c r="D507" s="63" t="s">
        <v>952</v>
      </c>
      <c r="E507" s="62"/>
      <c r="F507" s="62"/>
      <c r="G507" s="60">
        <v>6</v>
      </c>
      <c r="H507" s="64">
        <v>14.64</v>
      </c>
    </row>
    <row r="508" spans="1:8" x14ac:dyDescent="0.25">
      <c r="A508" s="60">
        <v>507</v>
      </c>
      <c r="B508" s="61">
        <v>43533</v>
      </c>
      <c r="C508" s="62" t="s">
        <v>987</v>
      </c>
      <c r="D508" s="63" t="s">
        <v>988</v>
      </c>
      <c r="E508" s="62"/>
      <c r="F508" s="62"/>
      <c r="G508" s="60">
        <v>6</v>
      </c>
      <c r="H508" s="64">
        <v>14.64</v>
      </c>
    </row>
    <row r="509" spans="1:8" x14ac:dyDescent="0.25">
      <c r="A509" s="60">
        <v>508</v>
      </c>
      <c r="B509" s="61">
        <v>43533</v>
      </c>
      <c r="C509" s="62" t="s">
        <v>926</v>
      </c>
      <c r="D509" s="63" t="s">
        <v>927</v>
      </c>
      <c r="E509" s="62"/>
      <c r="F509" s="62"/>
      <c r="G509" s="60">
        <v>50</v>
      </c>
      <c r="H509" s="64">
        <v>34.5</v>
      </c>
    </row>
    <row r="510" spans="1:8" x14ac:dyDescent="0.25">
      <c r="A510" s="60">
        <v>509</v>
      </c>
      <c r="B510" s="61">
        <v>43533</v>
      </c>
      <c r="C510" s="62" t="s">
        <v>233</v>
      </c>
      <c r="D510" s="63" t="s">
        <v>234</v>
      </c>
      <c r="E510" s="62"/>
      <c r="F510" s="62"/>
      <c r="G510" s="60">
        <v>3</v>
      </c>
      <c r="H510" s="64">
        <v>31.5</v>
      </c>
    </row>
    <row r="511" spans="1:8" x14ac:dyDescent="0.25">
      <c r="A511" s="60">
        <v>510</v>
      </c>
      <c r="B511" s="61">
        <v>43533</v>
      </c>
      <c r="C511" s="62" t="s">
        <v>928</v>
      </c>
      <c r="D511" s="63" t="s">
        <v>929</v>
      </c>
      <c r="E511" s="62"/>
      <c r="F511" s="62"/>
      <c r="G511" s="60">
        <v>10</v>
      </c>
      <c r="H511" s="64">
        <v>7.9</v>
      </c>
    </row>
    <row r="512" spans="1:8" x14ac:dyDescent="0.25">
      <c r="A512" s="60">
        <v>511</v>
      </c>
      <c r="B512" s="61">
        <v>43533</v>
      </c>
      <c r="C512" s="62" t="s">
        <v>269</v>
      </c>
      <c r="D512" s="63" t="s">
        <v>270</v>
      </c>
      <c r="E512" s="62"/>
      <c r="F512" s="62"/>
      <c r="G512" s="60">
        <v>10</v>
      </c>
      <c r="H512" s="64">
        <v>7.9</v>
      </c>
    </row>
    <row r="513" spans="1:8" x14ac:dyDescent="0.25">
      <c r="A513" s="60">
        <v>512</v>
      </c>
      <c r="B513" s="61">
        <v>43533</v>
      </c>
      <c r="C513" s="62" t="s">
        <v>989</v>
      </c>
      <c r="D513" s="63" t="s">
        <v>990</v>
      </c>
      <c r="E513" s="62"/>
      <c r="F513" s="62"/>
      <c r="G513" s="60">
        <v>10</v>
      </c>
      <c r="H513" s="64">
        <v>7.9</v>
      </c>
    </row>
    <row r="514" spans="1:8" x14ac:dyDescent="0.25">
      <c r="A514" s="60">
        <v>513</v>
      </c>
      <c r="B514" s="61">
        <v>43533</v>
      </c>
      <c r="C514" s="62" t="s">
        <v>311</v>
      </c>
      <c r="D514" s="63" t="s">
        <v>312</v>
      </c>
      <c r="E514" s="62"/>
      <c r="F514" s="62"/>
      <c r="G514" s="60">
        <v>10</v>
      </c>
      <c r="H514" s="64">
        <v>7.9</v>
      </c>
    </row>
    <row r="515" spans="1:8" x14ac:dyDescent="0.25">
      <c r="A515" s="60">
        <v>514</v>
      </c>
      <c r="B515" s="61">
        <v>43533</v>
      </c>
      <c r="C515" s="62" t="s">
        <v>323</v>
      </c>
      <c r="D515" s="63" t="s">
        <v>324</v>
      </c>
      <c r="E515" s="62"/>
      <c r="F515" s="62"/>
      <c r="G515" s="60">
        <v>10</v>
      </c>
      <c r="H515" s="64">
        <v>7.9</v>
      </c>
    </row>
    <row r="516" spans="1:8" x14ac:dyDescent="0.25">
      <c r="A516" s="60">
        <v>515</v>
      </c>
      <c r="B516" s="61">
        <v>43533</v>
      </c>
      <c r="C516" s="62" t="s">
        <v>745</v>
      </c>
      <c r="D516" s="63" t="s">
        <v>746</v>
      </c>
      <c r="E516" s="62"/>
      <c r="F516" s="62"/>
      <c r="G516" s="60">
        <v>12</v>
      </c>
      <c r="H516" s="64">
        <v>7.08</v>
      </c>
    </row>
    <row r="517" spans="1:8" x14ac:dyDescent="0.25">
      <c r="A517" s="60">
        <v>516</v>
      </c>
      <c r="B517" s="61">
        <v>43533</v>
      </c>
      <c r="C517" s="62" t="s">
        <v>991</v>
      </c>
      <c r="D517" s="63" t="s">
        <v>992</v>
      </c>
      <c r="E517" s="62"/>
      <c r="F517" s="62"/>
      <c r="G517" s="60">
        <v>48</v>
      </c>
      <c r="H517" s="64">
        <v>16.32</v>
      </c>
    </row>
    <row r="518" spans="1:8" x14ac:dyDescent="0.25">
      <c r="A518" s="60">
        <v>517</v>
      </c>
      <c r="B518" s="61">
        <v>43533</v>
      </c>
      <c r="C518" s="62" t="s">
        <v>910</v>
      </c>
      <c r="D518" s="63" t="s">
        <v>911</v>
      </c>
      <c r="E518" s="62"/>
      <c r="F518" s="62"/>
      <c r="G518" s="60">
        <v>4</v>
      </c>
      <c r="H518" s="64">
        <v>33.96</v>
      </c>
    </row>
    <row r="519" spans="1:8" x14ac:dyDescent="0.25">
      <c r="A519" s="60">
        <v>518</v>
      </c>
      <c r="B519" s="61">
        <v>43533</v>
      </c>
      <c r="C519" s="62" t="s">
        <v>993</v>
      </c>
      <c r="D519" s="63" t="s">
        <v>994</v>
      </c>
      <c r="E519" s="62"/>
      <c r="F519" s="62"/>
      <c r="G519" s="60">
        <v>12</v>
      </c>
      <c r="H519" s="64">
        <v>23.88</v>
      </c>
    </row>
    <row r="520" spans="1:8" x14ac:dyDescent="0.25">
      <c r="A520" s="60">
        <v>519</v>
      </c>
      <c r="B520" s="61">
        <v>43533</v>
      </c>
      <c r="C520" s="62" t="s">
        <v>995</v>
      </c>
      <c r="D520" s="63" t="s">
        <v>996</v>
      </c>
      <c r="E520" s="62"/>
      <c r="F520" s="62"/>
      <c r="G520" s="60">
        <v>8</v>
      </c>
      <c r="H520" s="64">
        <v>10</v>
      </c>
    </row>
    <row r="521" spans="1:8" x14ac:dyDescent="0.25">
      <c r="A521" s="60">
        <v>520</v>
      </c>
      <c r="B521" s="61">
        <v>43533</v>
      </c>
      <c r="C521" s="62" t="s">
        <v>997</v>
      </c>
      <c r="D521" s="63" t="s">
        <v>998</v>
      </c>
      <c r="E521" s="62"/>
      <c r="F521" s="62"/>
      <c r="G521" s="60">
        <v>8</v>
      </c>
      <c r="H521" s="64">
        <v>10</v>
      </c>
    </row>
    <row r="522" spans="1:8" x14ac:dyDescent="0.25">
      <c r="A522" s="60">
        <v>521</v>
      </c>
      <c r="B522" s="61">
        <v>43533</v>
      </c>
      <c r="C522" s="62" t="s">
        <v>999</v>
      </c>
      <c r="D522" s="63" t="s">
        <v>1000</v>
      </c>
      <c r="E522" s="62"/>
      <c r="F522" s="62"/>
      <c r="G522" s="60">
        <v>8</v>
      </c>
      <c r="H522" s="64">
        <v>10</v>
      </c>
    </row>
    <row r="523" spans="1:8" x14ac:dyDescent="0.25">
      <c r="A523" s="60">
        <v>522</v>
      </c>
      <c r="B523" s="61">
        <v>43533</v>
      </c>
      <c r="C523" s="62" t="s">
        <v>1001</v>
      </c>
      <c r="D523" s="63" t="s">
        <v>1002</v>
      </c>
      <c r="E523" s="62"/>
      <c r="F523" s="62"/>
      <c r="G523" s="60">
        <v>12</v>
      </c>
      <c r="H523" s="64">
        <v>19.080000000000002</v>
      </c>
    </row>
    <row r="524" spans="1:8" x14ac:dyDescent="0.25">
      <c r="A524" s="60">
        <v>523</v>
      </c>
      <c r="B524" s="61">
        <v>43533</v>
      </c>
      <c r="C524" s="62" t="s">
        <v>1003</v>
      </c>
      <c r="D524" s="63" t="s">
        <v>1004</v>
      </c>
      <c r="E524" s="62"/>
      <c r="F524" s="62"/>
      <c r="G524" s="60">
        <v>6</v>
      </c>
      <c r="H524" s="64">
        <v>15.54</v>
      </c>
    </row>
    <row r="525" spans="1:8" x14ac:dyDescent="0.25">
      <c r="A525" s="60">
        <v>524</v>
      </c>
      <c r="B525" s="61">
        <v>43533</v>
      </c>
      <c r="C525" s="62" t="s">
        <v>1005</v>
      </c>
      <c r="D525" s="63" t="s">
        <v>1006</v>
      </c>
      <c r="E525" s="62"/>
      <c r="F525" s="62"/>
      <c r="G525" s="60">
        <v>6</v>
      </c>
      <c r="H525" s="64">
        <v>10.74</v>
      </c>
    </row>
    <row r="526" spans="1:8" x14ac:dyDescent="0.25">
      <c r="A526" s="60">
        <v>525</v>
      </c>
      <c r="B526" s="61">
        <v>43533</v>
      </c>
      <c r="C526" s="62" t="s">
        <v>1007</v>
      </c>
      <c r="D526" s="63" t="s">
        <v>1008</v>
      </c>
      <c r="E526" s="62"/>
      <c r="F526" s="62"/>
      <c r="G526" s="60">
        <v>15</v>
      </c>
      <c r="H526" s="64">
        <v>17.849999999999998</v>
      </c>
    </row>
    <row r="527" spans="1:8" x14ac:dyDescent="0.25">
      <c r="A527" s="60">
        <v>526</v>
      </c>
      <c r="B527" s="61">
        <v>43533</v>
      </c>
      <c r="C527" s="62" t="s">
        <v>1009</v>
      </c>
      <c r="D527" s="63" t="s">
        <v>1010</v>
      </c>
      <c r="E527" s="62"/>
      <c r="F527" s="62"/>
      <c r="G527" s="60">
        <v>15</v>
      </c>
      <c r="H527" s="64">
        <v>30</v>
      </c>
    </row>
    <row r="528" spans="1:8" x14ac:dyDescent="0.25">
      <c r="A528" s="60">
        <v>527</v>
      </c>
      <c r="B528" s="61">
        <v>43533</v>
      </c>
      <c r="C528" s="62" t="s">
        <v>1011</v>
      </c>
      <c r="D528" s="63" t="s">
        <v>1012</v>
      </c>
      <c r="E528" s="62"/>
      <c r="F528" s="62"/>
      <c r="G528" s="60">
        <v>12</v>
      </c>
      <c r="H528" s="64">
        <v>15.48</v>
      </c>
    </row>
    <row r="529" spans="1:8" x14ac:dyDescent="0.25">
      <c r="A529" s="60">
        <v>528</v>
      </c>
      <c r="B529" s="61">
        <v>43533</v>
      </c>
      <c r="C529" s="62" t="s">
        <v>1013</v>
      </c>
      <c r="D529" s="63" t="s">
        <v>1014</v>
      </c>
      <c r="E529" s="62"/>
      <c r="F529" s="62"/>
      <c r="G529" s="60">
        <v>2</v>
      </c>
      <c r="H529" s="64">
        <v>30</v>
      </c>
    </row>
    <row r="530" spans="1:8" x14ac:dyDescent="0.25">
      <c r="A530" s="60">
        <v>529</v>
      </c>
      <c r="B530" s="61">
        <v>43533</v>
      </c>
      <c r="C530" s="62" t="s">
        <v>1015</v>
      </c>
      <c r="D530" s="63" t="s">
        <v>1016</v>
      </c>
      <c r="E530" s="62"/>
      <c r="F530" s="62"/>
      <c r="G530" s="60">
        <v>24</v>
      </c>
      <c r="H530" s="64">
        <v>30.96</v>
      </c>
    </row>
    <row r="531" spans="1:8" x14ac:dyDescent="0.25">
      <c r="A531" s="60">
        <v>530</v>
      </c>
      <c r="B531" s="61">
        <v>43533</v>
      </c>
      <c r="C531" s="62" t="s">
        <v>1017</v>
      </c>
      <c r="D531" s="63" t="s">
        <v>1018</v>
      </c>
      <c r="E531" s="62"/>
      <c r="F531" s="62"/>
      <c r="G531" s="60">
        <v>24</v>
      </c>
      <c r="H531" s="64">
        <v>30.96</v>
      </c>
    </row>
    <row r="532" spans="1:8" x14ac:dyDescent="0.25">
      <c r="A532" s="60">
        <v>531</v>
      </c>
      <c r="B532" s="61">
        <v>43533</v>
      </c>
      <c r="C532" s="62" t="s">
        <v>1019</v>
      </c>
      <c r="D532" s="63" t="s">
        <v>1020</v>
      </c>
      <c r="E532" s="62"/>
      <c r="F532" s="62"/>
      <c r="G532" s="60">
        <v>24</v>
      </c>
      <c r="H532" s="64">
        <v>30.96</v>
      </c>
    </row>
    <row r="533" spans="1:8" x14ac:dyDescent="0.25">
      <c r="A533" s="60">
        <v>532</v>
      </c>
      <c r="B533" s="61">
        <v>43533</v>
      </c>
      <c r="C533" s="62" t="s">
        <v>1003</v>
      </c>
      <c r="D533" s="63" t="s">
        <v>1004</v>
      </c>
      <c r="E533" s="62"/>
      <c r="F533" s="62"/>
      <c r="G533" s="60">
        <v>6</v>
      </c>
      <c r="H533" s="64">
        <v>15.54</v>
      </c>
    </row>
    <row r="534" spans="1:8" x14ac:dyDescent="0.25">
      <c r="A534" s="60">
        <v>533</v>
      </c>
      <c r="B534" s="61">
        <v>43533</v>
      </c>
      <c r="C534" s="62" t="s">
        <v>1021</v>
      </c>
      <c r="D534" s="63" t="s">
        <v>1022</v>
      </c>
      <c r="E534" s="62"/>
      <c r="F534" s="62"/>
      <c r="G534" s="60">
        <v>6</v>
      </c>
      <c r="H534" s="64">
        <v>13.74</v>
      </c>
    </row>
    <row r="535" spans="1:8" x14ac:dyDescent="0.25">
      <c r="A535" s="60">
        <v>534</v>
      </c>
      <c r="B535" s="61">
        <v>43533</v>
      </c>
      <c r="C535" s="62" t="s">
        <v>1023</v>
      </c>
      <c r="D535" s="63" t="s">
        <v>1024</v>
      </c>
      <c r="E535" s="62"/>
      <c r="F535" s="62"/>
      <c r="G535" s="60">
        <v>20</v>
      </c>
      <c r="H535" s="64">
        <v>9.8000000000000007</v>
      </c>
    </row>
    <row r="536" spans="1:8" x14ac:dyDescent="0.25">
      <c r="A536" s="60">
        <v>535</v>
      </c>
      <c r="B536" s="61">
        <v>43533</v>
      </c>
      <c r="C536" s="62" t="s">
        <v>1025</v>
      </c>
      <c r="D536" s="63" t="s">
        <v>1026</v>
      </c>
      <c r="E536" s="62"/>
      <c r="F536" s="62"/>
      <c r="G536" s="60">
        <v>15</v>
      </c>
      <c r="H536" s="64">
        <v>24.75</v>
      </c>
    </row>
    <row r="537" spans="1:8" x14ac:dyDescent="0.25">
      <c r="A537" s="60">
        <v>536</v>
      </c>
      <c r="B537" s="61">
        <v>43533</v>
      </c>
      <c r="C537" s="62" t="s">
        <v>225</v>
      </c>
      <c r="D537" s="63" t="s">
        <v>226</v>
      </c>
      <c r="E537" s="62"/>
      <c r="F537" s="62"/>
      <c r="G537" s="60">
        <v>3</v>
      </c>
      <c r="H537" s="64">
        <v>31.47</v>
      </c>
    </row>
    <row r="538" spans="1:8" x14ac:dyDescent="0.25">
      <c r="A538" s="60">
        <v>537</v>
      </c>
      <c r="B538" s="61">
        <v>43533</v>
      </c>
      <c r="C538" s="62" t="s">
        <v>231</v>
      </c>
      <c r="D538" s="63" t="s">
        <v>232</v>
      </c>
      <c r="E538" s="62"/>
      <c r="F538" s="62"/>
      <c r="G538" s="60">
        <v>6</v>
      </c>
      <c r="H538" s="64">
        <v>35.94</v>
      </c>
    </row>
    <row r="539" spans="1:8" x14ac:dyDescent="0.25">
      <c r="A539" s="60">
        <v>538</v>
      </c>
      <c r="B539" s="61">
        <v>43533</v>
      </c>
      <c r="C539" s="62" t="s">
        <v>233</v>
      </c>
      <c r="D539" s="63" t="s">
        <v>234</v>
      </c>
      <c r="E539" s="62"/>
      <c r="F539" s="62"/>
      <c r="G539" s="60">
        <v>4</v>
      </c>
      <c r="H539" s="64">
        <v>43.96</v>
      </c>
    </row>
    <row r="540" spans="1:8" x14ac:dyDescent="0.25">
      <c r="A540" s="60">
        <v>539</v>
      </c>
      <c r="B540" s="61">
        <v>43533</v>
      </c>
      <c r="C540" s="62" t="s">
        <v>1027</v>
      </c>
      <c r="D540" s="63" t="s">
        <v>1028</v>
      </c>
      <c r="E540" s="62"/>
      <c r="F540" s="62"/>
      <c r="G540" s="60">
        <v>30</v>
      </c>
      <c r="H540" s="64">
        <v>23.700000000000003</v>
      </c>
    </row>
    <row r="541" spans="1:8" x14ac:dyDescent="0.25">
      <c r="A541" s="60">
        <v>540</v>
      </c>
      <c r="B541" s="61">
        <v>43533</v>
      </c>
      <c r="C541" s="62" t="s">
        <v>269</v>
      </c>
      <c r="D541" s="63" t="s">
        <v>270</v>
      </c>
      <c r="E541" s="62"/>
      <c r="F541" s="62"/>
      <c r="G541" s="60">
        <v>20</v>
      </c>
      <c r="H541" s="64">
        <v>15.8</v>
      </c>
    </row>
    <row r="542" spans="1:8" x14ac:dyDescent="0.25">
      <c r="A542" s="60">
        <v>541</v>
      </c>
      <c r="B542" s="61">
        <v>43533</v>
      </c>
      <c r="C542" s="62" t="s">
        <v>321</v>
      </c>
      <c r="D542" s="63" t="s">
        <v>322</v>
      </c>
      <c r="E542" s="62"/>
      <c r="F542" s="62"/>
      <c r="G542" s="60">
        <v>20</v>
      </c>
      <c r="H542" s="64">
        <v>15</v>
      </c>
    </row>
    <row r="543" spans="1:8" x14ac:dyDescent="0.25">
      <c r="A543" s="60">
        <v>542</v>
      </c>
      <c r="B543" s="61">
        <v>43533</v>
      </c>
      <c r="C543" s="62" t="s">
        <v>329</v>
      </c>
      <c r="D543" s="63" t="s">
        <v>330</v>
      </c>
      <c r="E543" s="62"/>
      <c r="F543" s="62"/>
      <c r="G543" s="60">
        <v>30</v>
      </c>
      <c r="H543" s="64">
        <v>25.5</v>
      </c>
    </row>
    <row r="544" spans="1:8" x14ac:dyDescent="0.25">
      <c r="A544" s="60">
        <v>543</v>
      </c>
      <c r="B544" s="61">
        <v>43533</v>
      </c>
      <c r="C544" s="62" t="s">
        <v>511</v>
      </c>
      <c r="D544" s="63" t="s">
        <v>512</v>
      </c>
      <c r="E544" s="62"/>
      <c r="F544" s="62"/>
      <c r="G544" s="60">
        <v>6</v>
      </c>
      <c r="H544" s="64">
        <v>5.9399999999999995</v>
      </c>
    </row>
    <row r="545" spans="1:8" x14ac:dyDescent="0.25">
      <c r="A545" s="60">
        <v>544</v>
      </c>
      <c r="B545" s="61">
        <v>43533</v>
      </c>
      <c r="C545" s="62" t="s">
        <v>1029</v>
      </c>
      <c r="D545" s="63" t="s">
        <v>1030</v>
      </c>
      <c r="E545" s="62"/>
      <c r="F545" s="62"/>
      <c r="G545" s="60">
        <v>10</v>
      </c>
      <c r="H545" s="64">
        <v>8.5</v>
      </c>
    </row>
    <row r="546" spans="1:8" x14ac:dyDescent="0.25">
      <c r="A546" s="60">
        <v>545</v>
      </c>
      <c r="B546" s="61">
        <v>43533</v>
      </c>
      <c r="C546" s="62" t="s">
        <v>1031</v>
      </c>
      <c r="D546" s="63" t="s">
        <v>1032</v>
      </c>
      <c r="E546" s="62"/>
      <c r="F546" s="62"/>
      <c r="G546" s="60">
        <v>30</v>
      </c>
      <c r="H546" s="64">
        <v>25.5</v>
      </c>
    </row>
    <row r="547" spans="1:8" x14ac:dyDescent="0.25">
      <c r="A547" s="60">
        <v>546</v>
      </c>
      <c r="B547" s="61">
        <v>43533</v>
      </c>
      <c r="C547" s="62" t="s">
        <v>1033</v>
      </c>
      <c r="D547" s="63" t="s">
        <v>1034</v>
      </c>
      <c r="E547" s="62"/>
      <c r="F547" s="62"/>
      <c r="G547" s="60">
        <v>12</v>
      </c>
      <c r="H547" s="64">
        <v>7.08</v>
      </c>
    </row>
    <row r="548" spans="1:8" x14ac:dyDescent="0.25">
      <c r="A548" s="60">
        <v>547</v>
      </c>
      <c r="B548" s="61">
        <v>43533</v>
      </c>
      <c r="C548" s="62" t="s">
        <v>910</v>
      </c>
      <c r="D548" s="63" t="s">
        <v>911</v>
      </c>
      <c r="E548" s="62"/>
      <c r="F548" s="62"/>
      <c r="G548" s="60">
        <v>8</v>
      </c>
      <c r="H548" s="64">
        <v>67.599999999999994</v>
      </c>
    </row>
    <row r="549" spans="1:8" x14ac:dyDescent="0.25">
      <c r="A549" s="60">
        <v>548</v>
      </c>
      <c r="B549" s="61">
        <v>43533</v>
      </c>
      <c r="C549" s="62" t="s">
        <v>1035</v>
      </c>
      <c r="D549" s="63" t="s">
        <v>1036</v>
      </c>
      <c r="E549" s="62"/>
      <c r="F549" s="62"/>
      <c r="G549" s="60">
        <v>4</v>
      </c>
      <c r="H549" s="64">
        <v>31.96</v>
      </c>
    </row>
    <row r="550" spans="1:8" x14ac:dyDescent="0.25">
      <c r="A550" s="60">
        <v>549</v>
      </c>
      <c r="B550" s="61">
        <v>43533</v>
      </c>
      <c r="C550" s="62" t="s">
        <v>916</v>
      </c>
      <c r="D550" s="63" t="s">
        <v>917</v>
      </c>
      <c r="E550" s="62"/>
      <c r="F550" s="62"/>
      <c r="G550" s="60">
        <v>48</v>
      </c>
      <c r="H550" s="64">
        <v>24</v>
      </c>
    </row>
    <row r="551" spans="1:8" x14ac:dyDescent="0.25">
      <c r="A551" s="60">
        <v>550</v>
      </c>
      <c r="B551" s="61">
        <v>43594</v>
      </c>
      <c r="C551" s="62" t="s">
        <v>1015</v>
      </c>
      <c r="D551" s="63" t="s">
        <v>1016</v>
      </c>
      <c r="E551" s="62"/>
      <c r="F551" s="62"/>
      <c r="G551" s="60">
        <v>24</v>
      </c>
      <c r="H551" s="64">
        <v>31.200000000000003</v>
      </c>
    </row>
    <row r="552" spans="1:8" x14ac:dyDescent="0.25">
      <c r="A552" s="60">
        <v>551</v>
      </c>
      <c r="B552" s="61">
        <v>43594</v>
      </c>
      <c r="C552" s="62" t="s">
        <v>1017</v>
      </c>
      <c r="D552" s="63" t="s">
        <v>1018</v>
      </c>
      <c r="E552" s="62"/>
      <c r="F552" s="62"/>
      <c r="G552" s="60">
        <v>24</v>
      </c>
      <c r="H552" s="64">
        <v>31.200000000000003</v>
      </c>
    </row>
    <row r="553" spans="1:8" x14ac:dyDescent="0.25">
      <c r="A553" s="60">
        <v>552</v>
      </c>
      <c r="B553" s="61">
        <v>43594</v>
      </c>
      <c r="C553" s="62" t="s">
        <v>1019</v>
      </c>
      <c r="D553" s="63" t="s">
        <v>1020</v>
      </c>
      <c r="E553" s="62"/>
      <c r="F553" s="62"/>
      <c r="G553" s="60">
        <v>24</v>
      </c>
      <c r="H553" s="64">
        <v>31.200000000000003</v>
      </c>
    </row>
    <row r="554" spans="1:8" x14ac:dyDescent="0.25">
      <c r="A554" s="60">
        <v>553</v>
      </c>
      <c r="B554" s="61">
        <v>43594</v>
      </c>
      <c r="C554" s="62" t="s">
        <v>1037</v>
      </c>
      <c r="D554" s="63" t="s">
        <v>1038</v>
      </c>
      <c r="E554" s="62"/>
      <c r="F554" s="62"/>
      <c r="G554" s="60">
        <v>24</v>
      </c>
      <c r="H554" s="64">
        <v>21.6</v>
      </c>
    </row>
    <row r="555" spans="1:8" x14ac:dyDescent="0.25">
      <c r="A555" s="60">
        <v>554</v>
      </c>
      <c r="B555" s="61">
        <v>43594</v>
      </c>
      <c r="C555" s="62" t="s">
        <v>916</v>
      </c>
      <c r="D555" s="63" t="s">
        <v>917</v>
      </c>
      <c r="E555" s="62"/>
      <c r="F555" s="62"/>
      <c r="G555" s="60">
        <v>12</v>
      </c>
      <c r="H555" s="64">
        <v>6</v>
      </c>
    </row>
    <row r="556" spans="1:8" x14ac:dyDescent="0.25">
      <c r="A556" s="60">
        <v>555</v>
      </c>
      <c r="B556" s="61">
        <v>43797</v>
      </c>
      <c r="C556" s="62" t="s">
        <v>31</v>
      </c>
      <c r="D556" s="63" t="s">
        <v>32</v>
      </c>
      <c r="E556" s="62" t="s">
        <v>869</v>
      </c>
      <c r="F556" s="62" t="s">
        <v>870</v>
      </c>
      <c r="G556" s="60">
        <v>20</v>
      </c>
      <c r="H556" s="64">
        <v>200</v>
      </c>
    </row>
    <row r="557" spans="1:8" x14ac:dyDescent="0.25">
      <c r="A557" s="60">
        <v>556</v>
      </c>
      <c r="B557" s="61"/>
      <c r="C557" s="62"/>
      <c r="D557" s="63"/>
      <c r="E557" s="62"/>
      <c r="F557" s="62"/>
      <c r="G557" s="60"/>
      <c r="H557" s="64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07" activePane="bottomRight" state="frozen"/>
      <selection pane="topRight" activeCell="K1" sqref="K1"/>
      <selection pane="bottomLeft" activeCell="A4" sqref="A4"/>
      <selection pane="bottomRight" activeCell="C421" sqref="C421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5" t="s">
        <v>0</v>
      </c>
      <c r="B1" s="46" t="s">
        <v>2</v>
      </c>
      <c r="C1" s="46" t="s">
        <v>3</v>
      </c>
      <c r="D1" s="46" t="s">
        <v>4</v>
      </c>
      <c r="E1" s="46" t="s">
        <v>5</v>
      </c>
      <c r="F1" s="47" t="s">
        <v>10</v>
      </c>
      <c r="G1" s="51" t="s">
        <v>872</v>
      </c>
      <c r="H1" s="46" t="s">
        <v>8</v>
      </c>
      <c r="I1" s="46" t="s">
        <v>9</v>
      </c>
      <c r="J1" s="46" t="s">
        <v>7</v>
      </c>
    </row>
    <row r="2" spans="1:10" x14ac:dyDescent="0.25">
      <c r="A2" s="48">
        <v>1</v>
      </c>
      <c r="B2" s="48" t="s">
        <v>21</v>
      </c>
      <c r="C2" s="49" t="s">
        <v>22</v>
      </c>
      <c r="D2" s="48" t="s">
        <v>869</v>
      </c>
      <c r="E2" s="48" t="s">
        <v>870</v>
      </c>
      <c r="F2" s="50">
        <v>10</v>
      </c>
      <c r="G2" s="52">
        <f>StockInData[Expiry]</f>
        <v>43913</v>
      </c>
      <c r="H2" s="48">
        <v>25</v>
      </c>
      <c r="I2" s="48">
        <f>SUMIFS(StockInData[Quantity],StockInData[Product ID],ProductMaster!$B2)-SUMIFS(StockOutData[Quantity],StockOutData[Product ID],ProductMaster!$B2)</f>
        <v>55</v>
      </c>
      <c r="J2" s="50">
        <f>SUMIFS(StockInData[Value],StockInData[Product ID],ProductMaster!$B2)-SUMIFS(StockOutData[Value],StockOutData[Product ID],ProductMaster!$B2)</f>
        <v>137.5</v>
      </c>
    </row>
    <row r="3" spans="1:10" x14ac:dyDescent="0.25">
      <c r="A3" s="48">
        <v>2</v>
      </c>
      <c r="B3" s="48" t="s">
        <v>23</v>
      </c>
      <c r="C3" s="49" t="s">
        <v>24</v>
      </c>
      <c r="D3" s="48" t="s">
        <v>869</v>
      </c>
      <c r="E3" s="48" t="s">
        <v>870</v>
      </c>
      <c r="F3" s="50">
        <v>10</v>
      </c>
      <c r="G3" s="52">
        <f>StockInData[Expiry]</f>
        <v>43915</v>
      </c>
      <c r="H3" s="48">
        <v>25</v>
      </c>
      <c r="I3" s="48">
        <f>SUMIFS(StockInData[Quantity],StockInData[Product ID],ProductMaster!$B3)-SUMIFS(StockOutData[Quantity],StockOutData[Product ID],ProductMaster!$B3)</f>
        <v>33</v>
      </c>
      <c r="J3" s="50">
        <f>SUMIFS(StockInData[Value],StockInData[Product ID],ProductMaster!$B3)-SUMIFS(StockOutData[Value],StockOutData[Product ID],ProductMaster!$B3)</f>
        <v>82.5</v>
      </c>
    </row>
    <row r="4" spans="1:10" x14ac:dyDescent="0.25">
      <c r="A4" s="48">
        <v>3</v>
      </c>
      <c r="B4" s="48" t="s">
        <v>25</v>
      </c>
      <c r="C4" s="49" t="s">
        <v>26</v>
      </c>
      <c r="D4" s="48" t="s">
        <v>869</v>
      </c>
      <c r="E4" s="48" t="s">
        <v>870</v>
      </c>
      <c r="F4" s="50">
        <v>10</v>
      </c>
      <c r="G4" s="52">
        <f>StockInData[Expiry]</f>
        <v>43917</v>
      </c>
      <c r="H4" s="48">
        <v>25</v>
      </c>
      <c r="I4" s="48">
        <f>SUMIFS(StockInData[Quantity],StockInData[Product ID],ProductMaster!$B4)-SUMIFS(StockOutData[Quantity],StockOutData[Product ID],ProductMaster!$B4)</f>
        <v>15</v>
      </c>
      <c r="J4" s="50">
        <f>SUMIFS(StockInData[Value],StockInData[Product ID],ProductMaster!$B4)-SUMIFS(StockOutData[Value],StockOutData[Product ID],ProductMaster!$B4)</f>
        <v>37.5</v>
      </c>
    </row>
    <row r="5" spans="1:10" x14ac:dyDescent="0.25">
      <c r="A5" s="48">
        <v>4</v>
      </c>
      <c r="B5" s="48" t="s">
        <v>27</v>
      </c>
      <c r="C5" s="49" t="s">
        <v>28</v>
      </c>
      <c r="D5" s="48" t="s">
        <v>869</v>
      </c>
      <c r="E5" s="48" t="s">
        <v>870</v>
      </c>
      <c r="F5" s="50">
        <v>10</v>
      </c>
      <c r="G5" s="52">
        <f>StockInData[Expiry]</f>
        <v>43919</v>
      </c>
      <c r="H5" s="48">
        <v>25</v>
      </c>
      <c r="I5" s="48">
        <f>SUMIFS(StockInData[Quantity],StockInData[Product ID],ProductMaster!$B5)-SUMIFS(StockOutData[Quantity],StockOutData[Product ID],ProductMaster!$B5)</f>
        <v>7</v>
      </c>
      <c r="J5" s="50">
        <f>SUMIFS(StockInData[Value],StockInData[Product ID],ProductMaster!$B5)-SUMIFS(StockOutData[Value],StockOutData[Product ID],ProductMaster!$B5)</f>
        <v>17.5</v>
      </c>
    </row>
    <row r="6" spans="1:10" x14ac:dyDescent="0.25">
      <c r="A6" s="48">
        <v>5</v>
      </c>
      <c r="B6" s="48" t="s">
        <v>29</v>
      </c>
      <c r="C6" s="49" t="s">
        <v>30</v>
      </c>
      <c r="D6" s="48" t="s">
        <v>869</v>
      </c>
      <c r="E6" s="48" t="s">
        <v>870</v>
      </c>
      <c r="F6" s="50">
        <v>10</v>
      </c>
      <c r="G6" s="52">
        <f>StockInData[Expiry]</f>
        <v>43921</v>
      </c>
      <c r="H6" s="48">
        <v>25</v>
      </c>
      <c r="I6" s="48">
        <f>SUMIFS(StockInData[Quantity],StockInData[Product ID],ProductMaster!$B6)-SUMIFS(StockOutData[Quantity],StockOutData[Product ID],ProductMaster!$B6)</f>
        <v>8</v>
      </c>
      <c r="J6" s="50">
        <f>SUMIFS(StockInData[Value],StockInData[Product ID],ProductMaster!$B6)-SUMIFS(StockOutData[Value],StockOutData[Product ID],ProductMaster!$B6)</f>
        <v>20</v>
      </c>
    </row>
    <row r="7" spans="1:10" x14ac:dyDescent="0.25">
      <c r="A7" s="48">
        <v>6</v>
      </c>
      <c r="B7" s="48" t="s">
        <v>31</v>
      </c>
      <c r="C7" s="49" t="s">
        <v>32</v>
      </c>
      <c r="D7" s="48" t="s">
        <v>869</v>
      </c>
      <c r="E7" s="48" t="s">
        <v>870</v>
      </c>
      <c r="F7" s="50">
        <v>10</v>
      </c>
      <c r="G7" s="52">
        <f>StockInData[Expiry]</f>
        <v>43923</v>
      </c>
      <c r="H7" s="48">
        <v>25</v>
      </c>
      <c r="I7" s="48">
        <f>SUMIFS(StockInData[Quantity],StockInData[Product ID],ProductMaster!$B7)-SUMIFS(StockOutData[Quantity],StockOutData[Product ID],ProductMaster!$B7)</f>
        <v>-15</v>
      </c>
      <c r="J7" s="50">
        <f>SUMIFS(StockInData[Value],StockInData[Product ID],ProductMaster!$B7)-SUMIFS(StockOutData[Value],StockOutData[Product ID],ProductMaster!$B7)</f>
        <v>-187.5</v>
      </c>
    </row>
    <row r="8" spans="1:10" x14ac:dyDescent="0.25">
      <c r="A8" s="48">
        <v>7</v>
      </c>
      <c r="B8" s="48" t="s">
        <v>33</v>
      </c>
      <c r="C8" s="49" t="s">
        <v>34</v>
      </c>
      <c r="D8" s="48" t="s">
        <v>869</v>
      </c>
      <c r="E8" s="48" t="s">
        <v>870</v>
      </c>
      <c r="F8" s="50">
        <v>10</v>
      </c>
      <c r="G8" s="52">
        <f>StockInData[Expiry]</f>
        <v>43925</v>
      </c>
      <c r="H8" s="48">
        <v>25</v>
      </c>
      <c r="I8" s="48">
        <f>SUMIFS(StockInData[Quantity],StockInData[Product ID],ProductMaster!$B8)-SUMIFS(StockOutData[Quantity],StockOutData[Product ID],ProductMaster!$B8)</f>
        <v>4</v>
      </c>
      <c r="J8" s="50">
        <f>SUMIFS(StockInData[Value],StockInData[Product ID],ProductMaster!$B8)-SUMIFS(StockOutData[Value],StockOutData[Product ID],ProductMaster!$B8)</f>
        <v>18.46</v>
      </c>
    </row>
    <row r="9" spans="1:10" x14ac:dyDescent="0.25">
      <c r="A9" s="48">
        <v>8</v>
      </c>
      <c r="B9" s="48" t="s">
        <v>35</v>
      </c>
      <c r="C9" s="49" t="s">
        <v>36</v>
      </c>
      <c r="D9" s="48" t="s">
        <v>869</v>
      </c>
      <c r="E9" s="48" t="s">
        <v>870</v>
      </c>
      <c r="F9" s="50">
        <v>10</v>
      </c>
      <c r="G9" s="52">
        <f>StockInData[Expiry]</f>
        <v>43927</v>
      </c>
      <c r="H9" s="48">
        <v>25</v>
      </c>
      <c r="I9" s="48">
        <f>SUMIFS(StockInData[Quantity],StockInData[Product ID],ProductMaster!$B9)-SUMIFS(StockOutData[Quantity],StockOutData[Product ID],ProductMaster!$B9)</f>
        <v>60</v>
      </c>
      <c r="J9" s="50">
        <f>SUMIFS(StockInData[Value],StockInData[Product ID],ProductMaster!$B9)-SUMIFS(StockOutData[Value],StockOutData[Product ID],ProductMaster!$B9)</f>
        <v>150</v>
      </c>
    </row>
    <row r="10" spans="1:10" x14ac:dyDescent="0.25">
      <c r="A10" s="48">
        <v>9</v>
      </c>
      <c r="B10" s="48" t="s">
        <v>37</v>
      </c>
      <c r="C10" s="49" t="s">
        <v>38</v>
      </c>
      <c r="D10" s="48" t="s">
        <v>869</v>
      </c>
      <c r="E10" s="48" t="s">
        <v>870</v>
      </c>
      <c r="F10" s="50">
        <v>10</v>
      </c>
      <c r="G10" s="52">
        <f>StockInData[Expiry]</f>
        <v>43929</v>
      </c>
      <c r="H10" s="48">
        <v>25</v>
      </c>
      <c r="I10" s="48">
        <f>SUMIFS(StockInData[Quantity],StockInData[Product ID],ProductMaster!$B10)-SUMIFS(StockOutData[Quantity],StockOutData[Product ID],ProductMaster!$B10)</f>
        <v>67</v>
      </c>
      <c r="J10" s="50">
        <f>SUMIFS(StockInData[Value],StockInData[Product ID],ProductMaster!$B10)-SUMIFS(StockOutData[Value],StockOutData[Product ID],ProductMaster!$B10)</f>
        <v>167.5</v>
      </c>
    </row>
    <row r="11" spans="1:10" x14ac:dyDescent="0.25">
      <c r="A11" s="48">
        <v>10</v>
      </c>
      <c r="B11" s="48" t="s">
        <v>39</v>
      </c>
      <c r="C11" s="49" t="s">
        <v>40</v>
      </c>
      <c r="D11" s="48" t="s">
        <v>869</v>
      </c>
      <c r="E11" s="48" t="s">
        <v>870</v>
      </c>
      <c r="F11" s="50">
        <v>10</v>
      </c>
      <c r="G11" s="52">
        <f>StockInData[Expiry]</f>
        <v>43931</v>
      </c>
      <c r="H11" s="48">
        <v>25</v>
      </c>
      <c r="I11" s="48">
        <f>SUMIFS(StockInData[Quantity],StockInData[Product ID],ProductMaster!$B11)-SUMIFS(StockOutData[Quantity],StockOutData[Product ID],ProductMaster!$B11)</f>
        <v>69</v>
      </c>
      <c r="J11" s="50">
        <f>SUMIFS(StockInData[Value],StockInData[Product ID],ProductMaster!$B11)-SUMIFS(StockOutData[Value],StockOutData[Product ID],ProductMaster!$B11)</f>
        <v>172.5</v>
      </c>
    </row>
    <row r="12" spans="1:10" x14ac:dyDescent="0.25">
      <c r="A12" s="48">
        <v>11</v>
      </c>
      <c r="B12" s="48" t="s">
        <v>41</v>
      </c>
      <c r="C12" s="49" t="s">
        <v>42</v>
      </c>
      <c r="D12" s="48" t="s">
        <v>869</v>
      </c>
      <c r="E12" s="48" t="s">
        <v>870</v>
      </c>
      <c r="F12" s="50">
        <v>10</v>
      </c>
      <c r="G12" s="52">
        <f>StockInData[Expiry]</f>
        <v>43933</v>
      </c>
      <c r="H12" s="48">
        <v>25</v>
      </c>
      <c r="I12" s="48">
        <f>SUMIFS(StockInData[Quantity],StockInData[Product ID],ProductMaster!$B12)-SUMIFS(StockOutData[Quantity],StockOutData[Product ID],ProductMaster!$B12)</f>
        <v>81</v>
      </c>
      <c r="J12" s="50">
        <f>SUMIFS(StockInData[Value],StockInData[Product ID],ProductMaster!$B12)-SUMIFS(StockOutData[Value],StockOutData[Product ID],ProductMaster!$B12)</f>
        <v>202.5</v>
      </c>
    </row>
    <row r="13" spans="1:10" x14ac:dyDescent="0.25">
      <c r="A13" s="48">
        <v>12</v>
      </c>
      <c r="B13" s="48" t="s">
        <v>43</v>
      </c>
      <c r="C13" s="49" t="s">
        <v>44</v>
      </c>
      <c r="D13" s="48" t="s">
        <v>869</v>
      </c>
      <c r="E13" s="48" t="s">
        <v>870</v>
      </c>
      <c r="F13" s="50">
        <v>10</v>
      </c>
      <c r="G13" s="52">
        <f>StockInData[Expiry]</f>
        <v>43935</v>
      </c>
      <c r="H13" s="48">
        <v>25</v>
      </c>
      <c r="I13" s="48">
        <f>SUMIFS(StockInData[Quantity],StockInData[Product ID],ProductMaster!$B13)-SUMIFS(StockOutData[Quantity],StockOutData[Product ID],ProductMaster!$B13)</f>
        <v>62</v>
      </c>
      <c r="J13" s="50">
        <f>SUMIFS(StockInData[Value],StockInData[Product ID],ProductMaster!$B13)-SUMIFS(StockOutData[Value],StockOutData[Product ID],ProductMaster!$B13)</f>
        <v>213.05</v>
      </c>
    </row>
    <row r="14" spans="1:10" x14ac:dyDescent="0.25">
      <c r="A14" s="48">
        <v>13</v>
      </c>
      <c r="B14" s="48" t="s">
        <v>45</v>
      </c>
      <c r="C14" s="49" t="s">
        <v>46</v>
      </c>
      <c r="D14" s="48" t="s">
        <v>869</v>
      </c>
      <c r="E14" s="48" t="s">
        <v>870</v>
      </c>
      <c r="F14" s="50">
        <v>10</v>
      </c>
      <c r="G14" s="52">
        <f>StockInData[Expiry]</f>
        <v>43937</v>
      </c>
      <c r="H14" s="48">
        <v>25</v>
      </c>
      <c r="I14" s="48">
        <f>SUMIFS(StockInData[Quantity],StockInData[Product ID],ProductMaster!$B14)-SUMIFS(StockOutData[Quantity],StockOutData[Product ID],ProductMaster!$B14)</f>
        <v>46</v>
      </c>
      <c r="J14" s="50">
        <f>SUMIFS(StockInData[Value],StockInData[Product ID],ProductMaster!$B14)-SUMIFS(StockOutData[Value],StockOutData[Product ID],ProductMaster!$B14)</f>
        <v>115</v>
      </c>
    </row>
    <row r="15" spans="1:10" x14ac:dyDescent="0.25">
      <c r="A15" s="48">
        <v>14</v>
      </c>
      <c r="B15" s="48" t="s">
        <v>47</v>
      </c>
      <c r="C15" s="49" t="s">
        <v>48</v>
      </c>
      <c r="D15" s="48" t="s">
        <v>869</v>
      </c>
      <c r="E15" s="48" t="s">
        <v>870</v>
      </c>
      <c r="F15" s="50">
        <v>10</v>
      </c>
      <c r="G15" s="52">
        <f>StockInData[Expiry]</f>
        <v>43939</v>
      </c>
      <c r="H15" s="48">
        <v>25</v>
      </c>
      <c r="I15" s="48">
        <f>SUMIFS(StockInData[Quantity],StockInData[Product ID],ProductMaster!$B15)-SUMIFS(StockOutData[Quantity],StockOutData[Product ID],ProductMaster!$B15)</f>
        <v>27</v>
      </c>
      <c r="J15" s="50">
        <f>SUMIFS(StockInData[Value],StockInData[Product ID],ProductMaster!$B15)-SUMIFS(StockOutData[Value],StockOutData[Product ID],ProductMaster!$B15)</f>
        <v>67.5</v>
      </c>
    </row>
    <row r="16" spans="1:10" x14ac:dyDescent="0.25">
      <c r="A16" s="48">
        <v>15</v>
      </c>
      <c r="B16" s="48" t="s">
        <v>49</v>
      </c>
      <c r="C16" s="49" t="s">
        <v>50</v>
      </c>
      <c r="D16" s="48" t="s">
        <v>869</v>
      </c>
      <c r="E16" s="48" t="s">
        <v>870</v>
      </c>
      <c r="F16" s="50">
        <v>10</v>
      </c>
      <c r="G16" s="52">
        <f>StockInData[Expiry]</f>
        <v>43941</v>
      </c>
      <c r="H16" s="48">
        <v>25</v>
      </c>
      <c r="I16" s="48">
        <f>SUMIFS(StockInData[Quantity],StockInData[Product ID],ProductMaster!$B16)-SUMIFS(StockOutData[Quantity],StockOutData[Product ID],ProductMaster!$B16)</f>
        <v>25</v>
      </c>
      <c r="J16" s="50">
        <f>SUMIFS(StockInData[Value],StockInData[Product ID],ProductMaster!$B16)-SUMIFS(StockOutData[Value],StockOutData[Product ID],ProductMaster!$B16)</f>
        <v>62.5</v>
      </c>
    </row>
    <row r="17" spans="1:10" x14ac:dyDescent="0.25">
      <c r="A17" s="48">
        <v>16</v>
      </c>
      <c r="B17" s="48" t="s">
        <v>51</v>
      </c>
      <c r="C17" s="49" t="s">
        <v>52</v>
      </c>
      <c r="D17" s="48" t="s">
        <v>869</v>
      </c>
      <c r="E17" s="48" t="s">
        <v>870</v>
      </c>
      <c r="F17" s="50">
        <v>10</v>
      </c>
      <c r="G17" s="52">
        <f>StockInData[Expiry]</f>
        <v>43943</v>
      </c>
      <c r="H17" s="48">
        <v>25</v>
      </c>
      <c r="I17" s="48">
        <f>SUMIFS(StockInData[Quantity],StockInData[Product ID],ProductMaster!$B17)-SUMIFS(StockOutData[Quantity],StockOutData[Product ID],ProductMaster!$B17)</f>
        <v>18</v>
      </c>
      <c r="J17" s="50">
        <f>SUMIFS(StockInData[Value],StockInData[Product ID],ProductMaster!$B17)-SUMIFS(StockOutData[Value],StockOutData[Product ID],ProductMaster!$B17)</f>
        <v>45</v>
      </c>
    </row>
    <row r="18" spans="1:10" x14ac:dyDescent="0.25">
      <c r="A18" s="48">
        <v>17</v>
      </c>
      <c r="B18" s="48" t="s">
        <v>53</v>
      </c>
      <c r="C18" s="49" t="s">
        <v>54</v>
      </c>
      <c r="D18" s="48" t="s">
        <v>869</v>
      </c>
      <c r="E18" s="48" t="s">
        <v>870</v>
      </c>
      <c r="F18" s="50">
        <v>10</v>
      </c>
      <c r="G18" s="52">
        <f>StockInData[Expiry]</f>
        <v>43945</v>
      </c>
      <c r="H18" s="48">
        <v>25</v>
      </c>
      <c r="I18" s="48">
        <f>SUMIFS(StockInData[Quantity],StockInData[Product ID],ProductMaster!$B18)-SUMIFS(StockOutData[Quantity],StockOutData[Product ID],ProductMaster!$B18)</f>
        <v>5</v>
      </c>
      <c r="J18" s="50">
        <f>SUMIFS(StockInData[Value],StockInData[Product ID],ProductMaster!$B18)-SUMIFS(StockOutData[Value],StockOutData[Product ID],ProductMaster!$B18)</f>
        <v>12.5</v>
      </c>
    </row>
    <row r="19" spans="1:10" x14ac:dyDescent="0.25">
      <c r="A19" s="48">
        <v>18</v>
      </c>
      <c r="B19" s="48" t="s">
        <v>55</v>
      </c>
      <c r="C19" s="49" t="s">
        <v>56</v>
      </c>
      <c r="D19" s="48" t="s">
        <v>869</v>
      </c>
      <c r="E19" s="48" t="s">
        <v>870</v>
      </c>
      <c r="F19" s="50">
        <v>10</v>
      </c>
      <c r="G19" s="52">
        <f>StockInData[Expiry]</f>
        <v>43947</v>
      </c>
      <c r="H19" s="48">
        <v>25</v>
      </c>
      <c r="I19" s="48">
        <f>SUMIFS(StockInData[Quantity],StockInData[Product ID],ProductMaster!$B19)-SUMIFS(StockOutData[Quantity],StockOutData[Product ID],ProductMaster!$B19)</f>
        <v>1</v>
      </c>
      <c r="J19" s="50">
        <f>SUMIFS(StockInData[Value],StockInData[Product ID],ProductMaster!$B19)-SUMIFS(StockOutData[Value],StockOutData[Product ID],ProductMaster!$B19)</f>
        <v>2.5</v>
      </c>
    </row>
    <row r="20" spans="1:10" x14ac:dyDescent="0.25">
      <c r="A20" s="48">
        <v>19</v>
      </c>
      <c r="B20" s="48" t="s">
        <v>57</v>
      </c>
      <c r="C20" s="49" t="s">
        <v>58</v>
      </c>
      <c r="D20" s="48" t="s">
        <v>869</v>
      </c>
      <c r="E20" s="48" t="s">
        <v>870</v>
      </c>
      <c r="F20" s="50">
        <v>10</v>
      </c>
      <c r="G20" s="52">
        <f>StockInData[Expiry]</f>
        <v>43949</v>
      </c>
      <c r="H20" s="48">
        <v>25</v>
      </c>
      <c r="I20" s="48">
        <f>SUMIFS(StockInData[Quantity],StockInData[Product ID],ProductMaster!$B20)-SUMIFS(StockOutData[Quantity],StockOutData[Product ID],ProductMaster!$B20)</f>
        <v>11</v>
      </c>
      <c r="J20" s="50">
        <f>SUMIFS(StockInData[Value],StockInData[Product ID],ProductMaster!$B20)-SUMIFS(StockOutData[Value],StockOutData[Product ID],ProductMaster!$B20)</f>
        <v>27.5</v>
      </c>
    </row>
    <row r="21" spans="1:10" x14ac:dyDescent="0.25">
      <c r="A21" s="48">
        <v>20</v>
      </c>
      <c r="B21" s="48" t="s">
        <v>59</v>
      </c>
      <c r="C21" s="49" t="s">
        <v>60</v>
      </c>
      <c r="D21" s="48" t="s">
        <v>869</v>
      </c>
      <c r="E21" s="48" t="s">
        <v>870</v>
      </c>
      <c r="F21" s="50">
        <v>10</v>
      </c>
      <c r="G21" s="52">
        <f>StockInData[Expiry]</f>
        <v>43951</v>
      </c>
      <c r="H21" s="48">
        <v>25</v>
      </c>
      <c r="I21" s="48">
        <f>SUMIFS(StockInData[Quantity],StockInData[Product ID],ProductMaster!$B21)-SUMIFS(StockOutData[Quantity],StockOutData[Product ID],ProductMaster!$B21)</f>
        <v>51</v>
      </c>
      <c r="J21" s="50">
        <f>SUMIFS(StockInData[Value],StockInData[Product ID],ProductMaster!$B21)-SUMIFS(StockOutData[Value],StockOutData[Product ID],ProductMaster!$B21)</f>
        <v>127.5</v>
      </c>
    </row>
    <row r="22" spans="1:10" x14ac:dyDescent="0.25">
      <c r="A22" s="48">
        <v>21</v>
      </c>
      <c r="B22" s="48" t="s">
        <v>61</v>
      </c>
      <c r="C22" s="49" t="s">
        <v>62</v>
      </c>
      <c r="D22" s="48" t="s">
        <v>869</v>
      </c>
      <c r="E22" s="48" t="s">
        <v>870</v>
      </c>
      <c r="F22" s="50">
        <v>10</v>
      </c>
      <c r="G22" s="52">
        <f>StockInData[Expiry]</f>
        <v>43953</v>
      </c>
      <c r="H22" s="48">
        <v>25</v>
      </c>
      <c r="I22" s="48">
        <f>SUMIFS(StockInData[Quantity],StockInData[Product ID],ProductMaster!$B22)-SUMIFS(StockOutData[Quantity],StockOutData[Product ID],ProductMaster!$B22)</f>
        <v>61</v>
      </c>
      <c r="J22" s="50">
        <f>SUMIFS(StockInData[Value],StockInData[Product ID],ProductMaster!$B22)-SUMIFS(StockOutData[Value],StockOutData[Product ID],ProductMaster!$B22)</f>
        <v>152.5</v>
      </c>
    </row>
    <row r="23" spans="1:10" x14ac:dyDescent="0.25">
      <c r="A23" s="48">
        <v>22</v>
      </c>
      <c r="B23" s="48" t="s">
        <v>63</v>
      </c>
      <c r="C23" s="49" t="s">
        <v>64</v>
      </c>
      <c r="D23" s="48" t="s">
        <v>869</v>
      </c>
      <c r="E23" s="48" t="s">
        <v>870</v>
      </c>
      <c r="F23" s="50">
        <v>10</v>
      </c>
      <c r="G23" s="52">
        <f>StockInData[Expiry]</f>
        <v>43955</v>
      </c>
      <c r="H23" s="48">
        <v>25</v>
      </c>
      <c r="I23" s="48">
        <f>SUMIFS(StockInData[Quantity],StockInData[Product ID],ProductMaster!$B23)-SUMIFS(StockOutData[Quantity],StockOutData[Product ID],ProductMaster!$B23)</f>
        <v>74</v>
      </c>
      <c r="J23" s="50">
        <f>SUMIFS(StockInData[Value],StockInData[Product ID],ProductMaster!$B23)-SUMIFS(StockOutData[Value],StockOutData[Product ID],ProductMaster!$B23)</f>
        <v>185</v>
      </c>
    </row>
    <row r="24" spans="1:10" x14ac:dyDescent="0.25">
      <c r="A24" s="48">
        <v>23</v>
      </c>
      <c r="B24" s="48" t="s">
        <v>65</v>
      </c>
      <c r="C24" s="49" t="s">
        <v>66</v>
      </c>
      <c r="D24" s="48" t="s">
        <v>869</v>
      </c>
      <c r="E24" s="48" t="s">
        <v>870</v>
      </c>
      <c r="F24" s="50">
        <v>10</v>
      </c>
      <c r="G24" s="52">
        <f>StockInData[Expiry]</f>
        <v>43957</v>
      </c>
      <c r="H24" s="48">
        <v>25</v>
      </c>
      <c r="I24" s="48">
        <f>SUMIFS(StockInData[Quantity],StockInData[Product ID],ProductMaster!$B24)-SUMIFS(StockOutData[Quantity],StockOutData[Product ID],ProductMaster!$B24)</f>
        <v>89</v>
      </c>
      <c r="J24" s="50">
        <f>SUMIFS(StockInData[Value],StockInData[Product ID],ProductMaster!$B24)-SUMIFS(StockOutData[Value],StockOutData[Product ID],ProductMaster!$B24)</f>
        <v>222.5</v>
      </c>
    </row>
    <row r="25" spans="1:10" x14ac:dyDescent="0.25">
      <c r="A25" s="48">
        <v>24</v>
      </c>
      <c r="B25" s="48" t="s">
        <v>67</v>
      </c>
      <c r="C25" s="49" t="s">
        <v>68</v>
      </c>
      <c r="D25" s="48" t="s">
        <v>869</v>
      </c>
      <c r="E25" s="48" t="s">
        <v>870</v>
      </c>
      <c r="F25" s="50">
        <v>10</v>
      </c>
      <c r="G25" s="52">
        <f>StockInData[Expiry]</f>
        <v>43959</v>
      </c>
      <c r="H25" s="48">
        <v>25</v>
      </c>
      <c r="I25" s="48">
        <f>SUMIFS(StockInData[Quantity],StockInData[Product ID],ProductMaster!$B25)-SUMIFS(StockOutData[Quantity],StockOutData[Product ID],ProductMaster!$B25)</f>
        <v>94</v>
      </c>
      <c r="J25" s="50">
        <f>SUMIFS(StockInData[Value],StockInData[Product ID],ProductMaster!$B25)-SUMIFS(StockOutData[Value],StockOutData[Product ID],ProductMaster!$B25)</f>
        <v>235</v>
      </c>
    </row>
    <row r="26" spans="1:10" x14ac:dyDescent="0.25">
      <c r="A26" s="48">
        <v>25</v>
      </c>
      <c r="B26" s="48" t="s">
        <v>69</v>
      </c>
      <c r="C26" s="49" t="s">
        <v>70</v>
      </c>
      <c r="D26" s="48" t="s">
        <v>869</v>
      </c>
      <c r="E26" s="48" t="s">
        <v>870</v>
      </c>
      <c r="F26" s="50">
        <v>10</v>
      </c>
      <c r="G26" s="52">
        <f>StockInData[Expiry]</f>
        <v>43961</v>
      </c>
      <c r="H26" s="48">
        <v>25</v>
      </c>
      <c r="I26" s="48">
        <f>SUMIFS(StockInData[Quantity],StockInData[Product ID],ProductMaster!$B26)-SUMIFS(StockOutData[Quantity],StockOutData[Product ID],ProductMaster!$B26)</f>
        <v>45</v>
      </c>
      <c r="J26" s="50">
        <f>SUMIFS(StockInData[Value],StockInData[Product ID],ProductMaster!$B26)-SUMIFS(StockOutData[Value],StockOutData[Product ID],ProductMaster!$B26)</f>
        <v>112.5</v>
      </c>
    </row>
    <row r="27" spans="1:10" x14ac:dyDescent="0.25">
      <c r="A27" s="48">
        <v>26</v>
      </c>
      <c r="B27" s="48" t="s">
        <v>71</v>
      </c>
      <c r="C27" s="49" t="s">
        <v>72</v>
      </c>
      <c r="D27" s="48" t="s">
        <v>869</v>
      </c>
      <c r="E27" s="48" t="s">
        <v>870</v>
      </c>
      <c r="F27" s="50">
        <v>10</v>
      </c>
      <c r="G27" s="52">
        <f>StockInData[Expiry]</f>
        <v>43963</v>
      </c>
      <c r="H27" s="48">
        <v>25</v>
      </c>
      <c r="I27" s="48">
        <f>SUMIFS(StockInData[Quantity],StockInData[Product ID],ProductMaster!$B27)-SUMIFS(StockOutData[Quantity],StockOutData[Product ID],ProductMaster!$B27)</f>
        <v>22</v>
      </c>
      <c r="J27" s="50">
        <f>SUMIFS(StockInData[Value],StockInData[Product ID],ProductMaster!$B27)-SUMIFS(StockOutData[Value],StockOutData[Product ID],ProductMaster!$B27)</f>
        <v>55</v>
      </c>
    </row>
    <row r="28" spans="1:10" x14ac:dyDescent="0.25">
      <c r="A28" s="48">
        <v>27</v>
      </c>
      <c r="B28" s="48" t="s">
        <v>73</v>
      </c>
      <c r="C28" s="49" t="s">
        <v>74</v>
      </c>
      <c r="D28" s="48" t="s">
        <v>869</v>
      </c>
      <c r="E28" s="48" t="s">
        <v>870</v>
      </c>
      <c r="F28" s="50">
        <v>10</v>
      </c>
      <c r="G28" s="52">
        <f>StockInData[Expiry]</f>
        <v>43965</v>
      </c>
      <c r="H28" s="48">
        <v>25</v>
      </c>
      <c r="I28" s="48">
        <f>SUMIFS(StockInData[Quantity],StockInData[Product ID],ProductMaster!$B28)-SUMIFS(StockOutData[Quantity],StockOutData[Product ID],ProductMaster!$B28)</f>
        <v>18</v>
      </c>
      <c r="J28" s="50">
        <f>SUMIFS(StockInData[Value],StockInData[Product ID],ProductMaster!$B28)-SUMIFS(StockOutData[Value],StockOutData[Product ID],ProductMaster!$B28)</f>
        <v>45</v>
      </c>
    </row>
    <row r="29" spans="1:10" x14ac:dyDescent="0.25">
      <c r="A29" s="48">
        <v>28</v>
      </c>
      <c r="B29" s="48" t="s">
        <v>75</v>
      </c>
      <c r="C29" s="49" t="s">
        <v>76</v>
      </c>
      <c r="D29" s="48" t="s">
        <v>869</v>
      </c>
      <c r="E29" s="48" t="s">
        <v>870</v>
      </c>
      <c r="F29" s="50">
        <v>10</v>
      </c>
      <c r="G29" s="52">
        <f>StockInData[Expiry]</f>
        <v>43967</v>
      </c>
      <c r="H29" s="48">
        <v>25</v>
      </c>
      <c r="I29" s="48">
        <f>SUMIFS(StockInData[Quantity],StockInData[Product ID],ProductMaster!$B29)-SUMIFS(StockOutData[Quantity],StockOutData[Product ID],ProductMaster!$B29)</f>
        <v>11</v>
      </c>
      <c r="J29" s="50">
        <f>SUMIFS(StockInData[Value],StockInData[Product ID],ProductMaster!$B29)-SUMIFS(StockOutData[Value],StockOutData[Product ID],ProductMaster!$B29)</f>
        <v>27.5</v>
      </c>
    </row>
    <row r="30" spans="1:10" x14ac:dyDescent="0.25">
      <c r="A30" s="48">
        <v>29</v>
      </c>
      <c r="B30" s="48" t="s">
        <v>77</v>
      </c>
      <c r="C30" s="49" t="s">
        <v>78</v>
      </c>
      <c r="D30" s="48" t="s">
        <v>869</v>
      </c>
      <c r="E30" s="48" t="s">
        <v>870</v>
      </c>
      <c r="F30" s="50">
        <v>10</v>
      </c>
      <c r="G30" s="52">
        <f>StockInData[Expiry]</f>
        <v>43969</v>
      </c>
      <c r="H30" s="48">
        <v>25</v>
      </c>
      <c r="I30" s="48">
        <f>SUMIFS(StockInData[Quantity],StockInData[Product ID],ProductMaster!$B30)-SUMIFS(StockOutData[Quantity],StockOutData[Product ID],ProductMaster!$B30)</f>
        <v>7</v>
      </c>
      <c r="J30" s="50">
        <f>SUMIFS(StockInData[Value],StockInData[Product ID],ProductMaster!$B30)-SUMIFS(StockOutData[Value],StockOutData[Product ID],ProductMaster!$B30)</f>
        <v>17.5</v>
      </c>
    </row>
    <row r="31" spans="1:10" x14ac:dyDescent="0.25">
      <c r="A31" s="48">
        <v>30</v>
      </c>
      <c r="B31" s="48" t="s">
        <v>79</v>
      </c>
      <c r="C31" s="49" t="s">
        <v>80</v>
      </c>
      <c r="D31" s="48" t="s">
        <v>869</v>
      </c>
      <c r="E31" s="48" t="s">
        <v>870</v>
      </c>
      <c r="F31" s="50">
        <v>10</v>
      </c>
      <c r="G31" s="52">
        <f>StockInData[Expiry]</f>
        <v>43971</v>
      </c>
      <c r="H31" s="48">
        <v>25</v>
      </c>
      <c r="I31" s="48">
        <f>SUMIFS(StockInData[Quantity],StockInData[Product ID],ProductMaster!$B31)-SUMIFS(StockOutData[Quantity],StockOutData[Product ID],ProductMaster!$B31)</f>
        <v>14</v>
      </c>
      <c r="J31" s="50">
        <f>SUMIFS(StockInData[Value],StockInData[Product ID],ProductMaster!$B31)-SUMIFS(StockOutData[Value],StockOutData[Product ID],ProductMaster!$B31)</f>
        <v>35</v>
      </c>
    </row>
    <row r="32" spans="1:10" x14ac:dyDescent="0.25">
      <c r="A32" s="48">
        <v>31</v>
      </c>
      <c r="B32" s="48" t="s">
        <v>81</v>
      </c>
      <c r="C32" s="49" t="s">
        <v>82</v>
      </c>
      <c r="D32" s="48" t="s">
        <v>869</v>
      </c>
      <c r="E32" s="48" t="s">
        <v>870</v>
      </c>
      <c r="F32" s="50">
        <v>10</v>
      </c>
      <c r="G32" s="52">
        <f>StockInData[Expiry]</f>
        <v>43973</v>
      </c>
      <c r="H32" s="48">
        <v>25</v>
      </c>
      <c r="I32" s="48">
        <f>SUMIFS(StockInData[Quantity],StockInData[Product ID],ProductMaster!$B32)-SUMIFS(StockOutData[Quantity],StockOutData[Product ID],ProductMaster!$B32)</f>
        <v>16</v>
      </c>
      <c r="J32" s="50">
        <f>SUMIFS(StockInData[Value],StockInData[Product ID],ProductMaster!$B32)-SUMIFS(StockOutData[Value],StockOutData[Product ID],ProductMaster!$B32)</f>
        <v>40</v>
      </c>
    </row>
    <row r="33" spans="1:10" x14ac:dyDescent="0.25">
      <c r="A33" s="48">
        <v>32</v>
      </c>
      <c r="B33" s="48" t="s">
        <v>83</v>
      </c>
      <c r="C33" s="49" t="s">
        <v>84</v>
      </c>
      <c r="D33" s="48" t="s">
        <v>869</v>
      </c>
      <c r="E33" s="48" t="s">
        <v>870</v>
      </c>
      <c r="F33" s="50">
        <v>10</v>
      </c>
      <c r="G33" s="52">
        <f>StockInData[Expiry]</f>
        <v>43975</v>
      </c>
      <c r="H33" s="48">
        <v>25</v>
      </c>
      <c r="I33" s="48">
        <f>SUMIFS(StockInData[Quantity],StockInData[Product ID],ProductMaster!$B33)-SUMIFS(StockOutData[Quantity],StockOutData[Product ID],ProductMaster!$B33)</f>
        <v>50</v>
      </c>
      <c r="J33" s="50">
        <f>SUMIFS(StockInData[Value],StockInData[Product ID],ProductMaster!$B33)-SUMIFS(StockOutData[Value],StockOutData[Product ID],ProductMaster!$B33)</f>
        <v>125</v>
      </c>
    </row>
    <row r="34" spans="1:10" x14ac:dyDescent="0.25">
      <c r="A34" s="48">
        <v>33</v>
      </c>
      <c r="B34" s="48" t="s">
        <v>85</v>
      </c>
      <c r="C34" s="49" t="s">
        <v>86</v>
      </c>
      <c r="D34" s="48" t="s">
        <v>869</v>
      </c>
      <c r="E34" s="48" t="s">
        <v>870</v>
      </c>
      <c r="F34" s="50">
        <v>10</v>
      </c>
      <c r="G34" s="52">
        <f>StockInData[Expiry]</f>
        <v>43977</v>
      </c>
      <c r="H34" s="48">
        <v>25</v>
      </c>
      <c r="I34" s="48">
        <f>SUMIFS(StockInData[Quantity],StockInData[Product ID],ProductMaster!$B34)-SUMIFS(StockOutData[Quantity],StockOutData[Product ID],ProductMaster!$B34)</f>
        <v>56</v>
      </c>
      <c r="J34" s="50">
        <f>SUMIFS(StockInData[Value],StockInData[Product ID],ProductMaster!$B34)-SUMIFS(StockOutData[Value],StockOutData[Product ID],ProductMaster!$B34)</f>
        <v>140</v>
      </c>
    </row>
    <row r="35" spans="1:10" x14ac:dyDescent="0.25">
      <c r="A35" s="48">
        <v>34</v>
      </c>
      <c r="B35" s="48" t="s">
        <v>87</v>
      </c>
      <c r="C35" s="49" t="s">
        <v>88</v>
      </c>
      <c r="D35" s="48" t="s">
        <v>869</v>
      </c>
      <c r="E35" s="48" t="s">
        <v>870</v>
      </c>
      <c r="F35" s="50">
        <v>10</v>
      </c>
      <c r="G35" s="52">
        <f>StockInData[Expiry]</f>
        <v>43979</v>
      </c>
      <c r="H35" s="48">
        <v>25</v>
      </c>
      <c r="I35" s="48">
        <f>SUMIFS(StockInData[Quantity],StockInData[Product ID],ProductMaster!$B35)-SUMIFS(StockOutData[Quantity],StockOutData[Product ID],ProductMaster!$B35)</f>
        <v>72</v>
      </c>
      <c r="J35" s="50">
        <f>SUMIFS(StockInData[Value],StockInData[Product ID],ProductMaster!$B35)-SUMIFS(StockOutData[Value],StockOutData[Product ID],ProductMaster!$B35)</f>
        <v>180</v>
      </c>
    </row>
    <row r="36" spans="1:10" x14ac:dyDescent="0.25">
      <c r="A36" s="48">
        <v>35</v>
      </c>
      <c r="B36" s="48" t="s">
        <v>89</v>
      </c>
      <c r="C36" s="49" t="s">
        <v>90</v>
      </c>
      <c r="D36" s="48" t="s">
        <v>869</v>
      </c>
      <c r="E36" s="48" t="s">
        <v>870</v>
      </c>
      <c r="F36" s="50">
        <v>10</v>
      </c>
      <c r="G36" s="52">
        <f>StockInData[Expiry]</f>
        <v>43981</v>
      </c>
      <c r="H36" s="48">
        <v>25</v>
      </c>
      <c r="I36" s="48">
        <f>SUMIFS(StockInData[Quantity],StockInData[Product ID],ProductMaster!$B36)-SUMIFS(StockOutData[Quantity],StockOutData[Product ID],ProductMaster!$B36)</f>
        <v>85</v>
      </c>
      <c r="J36" s="50">
        <f>SUMIFS(StockInData[Value],StockInData[Product ID],ProductMaster!$B36)-SUMIFS(StockOutData[Value],StockOutData[Product ID],ProductMaster!$B36)</f>
        <v>212.5</v>
      </c>
    </row>
    <row r="37" spans="1:10" x14ac:dyDescent="0.25">
      <c r="A37" s="48">
        <v>36</v>
      </c>
      <c r="B37" s="48" t="s">
        <v>91</v>
      </c>
      <c r="C37" s="49" t="s">
        <v>92</v>
      </c>
      <c r="D37" s="48" t="s">
        <v>869</v>
      </c>
      <c r="E37" s="48" t="s">
        <v>870</v>
      </c>
      <c r="F37" s="50">
        <v>10</v>
      </c>
      <c r="G37" s="52">
        <f>StockInData[Expiry]</f>
        <v>43983</v>
      </c>
      <c r="H37" s="48">
        <v>25</v>
      </c>
      <c r="I37" s="48">
        <f>SUMIFS(StockInData[Quantity],StockInData[Product ID],ProductMaster!$B37)-SUMIFS(StockOutData[Quantity],StockOutData[Product ID],ProductMaster!$B37)</f>
        <v>88</v>
      </c>
      <c r="J37" s="50">
        <f>SUMIFS(StockInData[Value],StockInData[Product ID],ProductMaster!$B37)-SUMIFS(StockOutData[Value],StockOutData[Product ID],ProductMaster!$B37)</f>
        <v>220</v>
      </c>
    </row>
    <row r="38" spans="1:10" x14ac:dyDescent="0.25">
      <c r="A38" s="48">
        <v>37</v>
      </c>
      <c r="B38" s="48" t="s">
        <v>93</v>
      </c>
      <c r="C38" s="49" t="s">
        <v>94</v>
      </c>
      <c r="D38" s="48" t="s">
        <v>869</v>
      </c>
      <c r="E38" s="48" t="s">
        <v>870</v>
      </c>
      <c r="F38" s="50">
        <v>10</v>
      </c>
      <c r="G38" s="52">
        <f>StockInData[Expiry]</f>
        <v>43985</v>
      </c>
      <c r="H38" s="48">
        <v>25</v>
      </c>
      <c r="I38" s="48">
        <f>SUMIFS(StockInData[Quantity],StockInData[Product ID],ProductMaster!$B38)-SUMIFS(StockOutData[Quantity],StockOutData[Product ID],ProductMaster!$B38)</f>
        <v>95</v>
      </c>
      <c r="J38" s="50">
        <f>SUMIFS(StockInData[Value],StockInData[Product ID],ProductMaster!$B38)-SUMIFS(StockOutData[Value],StockOutData[Product ID],ProductMaster!$B38)</f>
        <v>237.5</v>
      </c>
    </row>
    <row r="39" spans="1:10" x14ac:dyDescent="0.25">
      <c r="A39" s="48">
        <v>38</v>
      </c>
      <c r="B39" s="48" t="s">
        <v>95</v>
      </c>
      <c r="C39" s="49" t="s">
        <v>96</v>
      </c>
      <c r="D39" s="48" t="s">
        <v>869</v>
      </c>
      <c r="E39" s="48" t="s">
        <v>870</v>
      </c>
      <c r="F39" s="50">
        <v>10</v>
      </c>
      <c r="G39" s="52">
        <f>StockInData[Expiry]</f>
        <v>43987</v>
      </c>
      <c r="H39" s="48">
        <v>25</v>
      </c>
      <c r="I39" s="48">
        <f>SUMIFS(StockInData[Quantity],StockInData[Product ID],ProductMaster!$B39)-SUMIFS(StockOutData[Quantity],StockOutData[Product ID],ProductMaster!$B39)</f>
        <v>41</v>
      </c>
      <c r="J39" s="50">
        <f>SUMIFS(StockInData[Value],StockInData[Product ID],ProductMaster!$B39)-SUMIFS(StockOutData[Value],StockOutData[Product ID],ProductMaster!$B39)</f>
        <v>114.62</v>
      </c>
    </row>
    <row r="40" spans="1:10" x14ac:dyDescent="0.25">
      <c r="A40" s="48">
        <v>39</v>
      </c>
      <c r="B40" s="48" t="s">
        <v>97</v>
      </c>
      <c r="C40" s="49" t="s">
        <v>98</v>
      </c>
      <c r="D40" s="48" t="s">
        <v>869</v>
      </c>
      <c r="E40" s="48" t="s">
        <v>870</v>
      </c>
      <c r="F40" s="50">
        <v>10</v>
      </c>
      <c r="G40" s="52">
        <f>StockInData[Expiry]</f>
        <v>43989</v>
      </c>
      <c r="H40" s="48">
        <v>25</v>
      </c>
      <c r="I40" s="48">
        <f>SUMIFS(StockInData[Quantity],StockInData[Product ID],ProductMaster!$B40)-SUMIFS(StockOutData[Quantity],StockOutData[Product ID],ProductMaster!$B40)</f>
        <v>25</v>
      </c>
      <c r="J40" s="50">
        <f>SUMIFS(StockInData[Value],StockInData[Product ID],ProductMaster!$B40)-SUMIFS(StockOutData[Value],StockOutData[Product ID],ProductMaster!$B40)</f>
        <v>62.5</v>
      </c>
    </row>
    <row r="41" spans="1:10" x14ac:dyDescent="0.25">
      <c r="A41" s="48">
        <v>40</v>
      </c>
      <c r="B41" s="48" t="s">
        <v>99</v>
      </c>
      <c r="C41" s="49" t="s">
        <v>100</v>
      </c>
      <c r="D41" s="48" t="s">
        <v>869</v>
      </c>
      <c r="E41" s="48" t="s">
        <v>870</v>
      </c>
      <c r="F41" s="50">
        <v>10</v>
      </c>
      <c r="G41" s="52">
        <f>StockInData[Expiry]</f>
        <v>43991</v>
      </c>
      <c r="H41" s="48">
        <v>25</v>
      </c>
      <c r="I41" s="48">
        <f>SUMIFS(StockInData[Quantity],StockInData[Product ID],ProductMaster!$B41)-SUMIFS(StockOutData[Quantity],StockOutData[Product ID],ProductMaster!$B41)</f>
        <v>12</v>
      </c>
      <c r="J41" s="50">
        <f>SUMIFS(StockInData[Value],StockInData[Product ID],ProductMaster!$B41)-SUMIFS(StockOutData[Value],StockOutData[Product ID],ProductMaster!$B41)</f>
        <v>30</v>
      </c>
    </row>
    <row r="42" spans="1:10" x14ac:dyDescent="0.25">
      <c r="A42" s="48">
        <v>41</v>
      </c>
      <c r="B42" s="48" t="s">
        <v>101</v>
      </c>
      <c r="C42" s="49" t="s">
        <v>102</v>
      </c>
      <c r="D42" s="48" t="s">
        <v>869</v>
      </c>
      <c r="E42" s="48" t="s">
        <v>870</v>
      </c>
      <c r="F42" s="50">
        <v>10</v>
      </c>
      <c r="G42" s="52">
        <f>StockInData[Expiry]</f>
        <v>43993</v>
      </c>
      <c r="H42" s="48">
        <v>25</v>
      </c>
      <c r="I42" s="48">
        <f>SUMIFS(StockInData[Quantity],StockInData[Product ID],ProductMaster!$B42)-SUMIFS(StockOutData[Quantity],StockOutData[Product ID],ProductMaster!$B42)</f>
        <v>13</v>
      </c>
      <c r="J42" s="50">
        <f>SUMIFS(StockInData[Value],StockInData[Product ID],ProductMaster!$B42)-SUMIFS(StockOutData[Value],StockOutData[Product ID],ProductMaster!$B42)</f>
        <v>32.5</v>
      </c>
    </row>
    <row r="43" spans="1:10" x14ac:dyDescent="0.25">
      <c r="A43" s="48">
        <v>42</v>
      </c>
      <c r="B43" s="48" t="s">
        <v>103</v>
      </c>
      <c r="C43" s="49" t="s">
        <v>104</v>
      </c>
      <c r="D43" s="48" t="s">
        <v>869</v>
      </c>
      <c r="E43" s="48" t="s">
        <v>870</v>
      </c>
      <c r="F43" s="50">
        <v>10</v>
      </c>
      <c r="G43" s="52">
        <f>StockInData[Expiry]</f>
        <v>43995</v>
      </c>
      <c r="H43" s="48">
        <v>25</v>
      </c>
      <c r="I43" s="48">
        <f>SUMIFS(StockInData[Quantity],StockInData[Product ID],ProductMaster!$B43)-SUMIFS(StockOutData[Quantity],StockOutData[Product ID],ProductMaster!$B43)</f>
        <v>10</v>
      </c>
      <c r="J43" s="50">
        <f>SUMIFS(StockInData[Value],StockInData[Product ID],ProductMaster!$B43)-SUMIFS(StockOutData[Value],StockOutData[Product ID],ProductMaster!$B43)</f>
        <v>25</v>
      </c>
    </row>
    <row r="44" spans="1:10" x14ac:dyDescent="0.25">
      <c r="A44" s="48">
        <v>43</v>
      </c>
      <c r="B44" s="48" t="s">
        <v>105</v>
      </c>
      <c r="C44" s="49" t="s">
        <v>106</v>
      </c>
      <c r="D44" s="48" t="s">
        <v>869</v>
      </c>
      <c r="E44" s="48" t="s">
        <v>870</v>
      </c>
      <c r="F44" s="50">
        <v>10</v>
      </c>
      <c r="G44" s="52">
        <f>StockInData[Expiry]</f>
        <v>43997</v>
      </c>
      <c r="H44" s="48">
        <v>25</v>
      </c>
      <c r="I44" s="48">
        <f>SUMIFS(StockInData[Quantity],StockInData[Product ID],ProductMaster!$B44)-SUMIFS(StockOutData[Quantity],StockOutData[Product ID],ProductMaster!$B44)</f>
        <v>9</v>
      </c>
      <c r="J44" s="50">
        <f>SUMIFS(StockInData[Value],StockInData[Product ID],ProductMaster!$B44)-SUMIFS(StockOutData[Value],StockOutData[Product ID],ProductMaster!$B44)</f>
        <v>22.5</v>
      </c>
    </row>
    <row r="45" spans="1:10" x14ac:dyDescent="0.25">
      <c r="A45" s="48">
        <v>44</v>
      </c>
      <c r="B45" s="48" t="s">
        <v>107</v>
      </c>
      <c r="C45" s="49" t="s">
        <v>108</v>
      </c>
      <c r="D45" s="48" t="s">
        <v>869</v>
      </c>
      <c r="E45" s="48" t="s">
        <v>870</v>
      </c>
      <c r="F45" s="50">
        <v>10</v>
      </c>
      <c r="G45" s="52">
        <f>StockInData[Expiry]</f>
        <v>43999</v>
      </c>
      <c r="H45" s="48">
        <v>25</v>
      </c>
      <c r="I45" s="48">
        <f>SUMIFS(StockInData[Quantity],StockInData[Product ID],ProductMaster!$B45)-SUMIFS(StockOutData[Quantity],StockOutData[Product ID],ProductMaster!$B45)</f>
        <v>13</v>
      </c>
      <c r="J45" s="50">
        <f>SUMIFS(StockInData[Value],StockInData[Product ID],ProductMaster!$B45)-SUMIFS(StockOutData[Value],StockOutData[Product ID],ProductMaster!$B45)</f>
        <v>32.5</v>
      </c>
    </row>
    <row r="46" spans="1:10" x14ac:dyDescent="0.25">
      <c r="A46" s="48">
        <v>45</v>
      </c>
      <c r="B46" s="48" t="s">
        <v>109</v>
      </c>
      <c r="C46" s="49" t="s">
        <v>110</v>
      </c>
      <c r="D46" s="48" t="s">
        <v>869</v>
      </c>
      <c r="E46" s="48" t="s">
        <v>870</v>
      </c>
      <c r="F46" s="50">
        <v>10</v>
      </c>
      <c r="G46" s="52">
        <f>StockInData[Expiry]</f>
        <v>44001</v>
      </c>
      <c r="H46" s="48">
        <v>25</v>
      </c>
      <c r="I46" s="48">
        <f>SUMIFS(StockInData[Quantity],StockInData[Product ID],ProductMaster!$B46)-SUMIFS(StockOutData[Quantity],StockOutData[Product ID],ProductMaster!$B46)</f>
        <v>55</v>
      </c>
      <c r="J46" s="50">
        <f>SUMIFS(StockInData[Value],StockInData[Product ID],ProductMaster!$B46)-SUMIFS(StockOutData[Value],StockOutData[Product ID],ProductMaster!$B46)</f>
        <v>137.5</v>
      </c>
    </row>
    <row r="47" spans="1:10" x14ac:dyDescent="0.25">
      <c r="A47" s="48">
        <v>46</v>
      </c>
      <c r="B47" s="48" t="s">
        <v>111</v>
      </c>
      <c r="C47" s="49" t="s">
        <v>112</v>
      </c>
      <c r="D47" s="48" t="s">
        <v>869</v>
      </c>
      <c r="E47" s="48" t="s">
        <v>870</v>
      </c>
      <c r="F47" s="50">
        <v>10</v>
      </c>
      <c r="G47" s="52">
        <f>StockInData[Expiry]</f>
        <v>44003</v>
      </c>
      <c r="H47" s="48">
        <v>25</v>
      </c>
      <c r="I47" s="48">
        <f>SUMIFS(StockInData[Quantity],StockInData[Product ID],ProductMaster!$B47)-SUMIFS(StockOutData[Quantity],StockOutData[Product ID],ProductMaster!$B47)</f>
        <v>67</v>
      </c>
      <c r="J47" s="50">
        <f>SUMIFS(StockInData[Value],StockInData[Product ID],ProductMaster!$B47)-SUMIFS(StockOutData[Value],StockOutData[Product ID],ProductMaster!$B47)</f>
        <v>167.5</v>
      </c>
    </row>
    <row r="48" spans="1:10" x14ac:dyDescent="0.25">
      <c r="A48" s="48">
        <v>47</v>
      </c>
      <c r="B48" s="48" t="s">
        <v>113</v>
      </c>
      <c r="C48" s="49" t="s">
        <v>114</v>
      </c>
      <c r="D48" s="48" t="s">
        <v>869</v>
      </c>
      <c r="E48" s="48" t="s">
        <v>870</v>
      </c>
      <c r="F48" s="50">
        <v>10</v>
      </c>
      <c r="G48" s="52">
        <f>StockInData[Expiry]</f>
        <v>44005</v>
      </c>
      <c r="H48" s="48">
        <v>25</v>
      </c>
      <c r="I48" s="48">
        <f>SUMIFS(StockInData[Quantity],StockInData[Product ID],ProductMaster!$B48)-SUMIFS(StockOutData[Quantity],StockOutData[Product ID],ProductMaster!$B48)</f>
        <v>69</v>
      </c>
      <c r="J48" s="50">
        <f>SUMIFS(StockInData[Value],StockInData[Product ID],ProductMaster!$B48)-SUMIFS(StockOutData[Value],StockOutData[Product ID],ProductMaster!$B48)</f>
        <v>172.5</v>
      </c>
    </row>
    <row r="49" spans="1:10" x14ac:dyDescent="0.25">
      <c r="A49" s="48">
        <v>48</v>
      </c>
      <c r="B49" s="48" t="s">
        <v>115</v>
      </c>
      <c r="C49" s="49" t="s">
        <v>116</v>
      </c>
      <c r="D49" s="48" t="s">
        <v>869</v>
      </c>
      <c r="E49" s="48" t="s">
        <v>870</v>
      </c>
      <c r="F49" s="50">
        <v>10</v>
      </c>
      <c r="G49" s="52">
        <f>StockInData[Expiry]</f>
        <v>44007</v>
      </c>
      <c r="H49" s="48">
        <v>25</v>
      </c>
      <c r="I49" s="48">
        <f>SUMIFS(StockInData[Quantity],StockInData[Product ID],ProductMaster!$B49)-SUMIFS(StockOutData[Quantity],StockOutData[Product ID],ProductMaster!$B49)</f>
        <v>81</v>
      </c>
      <c r="J49" s="50">
        <f>SUMIFS(StockInData[Value],StockInData[Product ID],ProductMaster!$B49)-SUMIFS(StockOutData[Value],StockOutData[Product ID],ProductMaster!$B49)</f>
        <v>202.5</v>
      </c>
    </row>
    <row r="50" spans="1:10" x14ac:dyDescent="0.25">
      <c r="A50" s="48">
        <v>49</v>
      </c>
      <c r="B50" s="48" t="s">
        <v>117</v>
      </c>
      <c r="C50" s="49" t="s">
        <v>118</v>
      </c>
      <c r="D50" s="48" t="s">
        <v>869</v>
      </c>
      <c r="E50" s="48" t="s">
        <v>870</v>
      </c>
      <c r="F50" s="50">
        <v>10</v>
      </c>
      <c r="G50" s="52">
        <f>StockInData[Expiry]</f>
        <v>44009</v>
      </c>
      <c r="H50" s="48">
        <v>25</v>
      </c>
      <c r="I50" s="48">
        <f>SUMIFS(StockInData[Quantity],StockInData[Product ID],ProductMaster!$B50)-SUMIFS(StockOutData[Quantity],StockOutData[Product ID],ProductMaster!$B50)</f>
        <v>89</v>
      </c>
      <c r="J50" s="50">
        <f>SUMIFS(StockInData[Value],StockInData[Product ID],ProductMaster!$B50)-SUMIFS(StockOutData[Value],StockOutData[Product ID],ProductMaster!$B50)</f>
        <v>222.5</v>
      </c>
    </row>
    <row r="51" spans="1:10" x14ac:dyDescent="0.25">
      <c r="A51" s="48">
        <v>50</v>
      </c>
      <c r="B51" s="48" t="s">
        <v>119</v>
      </c>
      <c r="C51" s="49" t="s">
        <v>120</v>
      </c>
      <c r="D51" s="48" t="s">
        <v>869</v>
      </c>
      <c r="E51" s="48" t="s">
        <v>870</v>
      </c>
      <c r="F51" s="50">
        <v>10</v>
      </c>
      <c r="G51" s="52">
        <f>StockInData[Expiry]</f>
        <v>44011</v>
      </c>
      <c r="H51" s="48">
        <v>25</v>
      </c>
      <c r="I51" s="48">
        <f>SUMIFS(StockInData[Quantity],StockInData[Product ID],ProductMaster!$B51)-SUMIFS(StockOutData[Quantity],StockOutData[Product ID],ProductMaster!$B51)</f>
        <v>86</v>
      </c>
      <c r="J51" s="50">
        <f>SUMIFS(StockInData[Value],StockInData[Product ID],ProductMaster!$B51)-SUMIFS(StockOutData[Value],StockOutData[Product ID],ProductMaster!$B51)</f>
        <v>215</v>
      </c>
    </row>
    <row r="52" spans="1:10" x14ac:dyDescent="0.25">
      <c r="A52" s="48">
        <v>51</v>
      </c>
      <c r="B52" s="48" t="s">
        <v>121</v>
      </c>
      <c r="C52" s="49" t="s">
        <v>122</v>
      </c>
      <c r="D52" s="48" t="s">
        <v>869</v>
      </c>
      <c r="E52" s="48" t="s">
        <v>870</v>
      </c>
      <c r="F52" s="50">
        <v>10</v>
      </c>
      <c r="G52" s="52">
        <f>StockInData[Expiry]</f>
        <v>44013</v>
      </c>
      <c r="H52" s="48">
        <v>25</v>
      </c>
      <c r="I52" s="48">
        <f>SUMIFS(StockInData[Quantity],StockInData[Product ID],ProductMaster!$B52)-SUMIFS(StockOutData[Quantity],StockOutData[Product ID],ProductMaster!$B52)</f>
        <v>87</v>
      </c>
      <c r="J52" s="50">
        <f>SUMIFS(StockInData[Value],StockInData[Product ID],ProductMaster!$B52)-SUMIFS(StockOutData[Value],StockOutData[Product ID],ProductMaster!$B52)</f>
        <v>217.5</v>
      </c>
    </row>
    <row r="53" spans="1:10" x14ac:dyDescent="0.25">
      <c r="A53" s="48">
        <v>52</v>
      </c>
      <c r="B53" s="48" t="s">
        <v>123</v>
      </c>
      <c r="C53" s="49" t="s">
        <v>124</v>
      </c>
      <c r="D53" s="48" t="s">
        <v>869</v>
      </c>
      <c r="E53" s="48" t="s">
        <v>870</v>
      </c>
      <c r="F53" s="50">
        <v>10</v>
      </c>
      <c r="G53" s="52">
        <f>StockInData[Expiry]</f>
        <v>44015</v>
      </c>
      <c r="H53" s="48">
        <v>25</v>
      </c>
      <c r="I53" s="48">
        <f>SUMIFS(StockInData[Quantity],StockInData[Product ID],ProductMaster!$B53)-SUMIFS(StockOutData[Quantity],StockOutData[Product ID],ProductMaster!$B53)</f>
        <v>95</v>
      </c>
      <c r="J53" s="50">
        <f>SUMIFS(StockInData[Value],StockInData[Product ID],ProductMaster!$B53)-SUMIFS(StockOutData[Value],StockOutData[Product ID],ProductMaster!$B53)</f>
        <v>237.5</v>
      </c>
    </row>
    <row r="54" spans="1:10" x14ac:dyDescent="0.25">
      <c r="A54" s="48">
        <v>53</v>
      </c>
      <c r="B54" s="48" t="s">
        <v>125</v>
      </c>
      <c r="C54" s="49" t="s">
        <v>126</v>
      </c>
      <c r="D54" s="48" t="s">
        <v>869</v>
      </c>
      <c r="E54" s="48" t="s">
        <v>870</v>
      </c>
      <c r="F54" s="50">
        <v>10</v>
      </c>
      <c r="G54" s="52">
        <f>StockInData[Expiry]</f>
        <v>44017</v>
      </c>
      <c r="H54" s="48">
        <v>25</v>
      </c>
      <c r="I54" s="48">
        <f>SUMIFS(StockInData[Quantity],StockInData[Product ID],ProductMaster!$B54)-SUMIFS(StockOutData[Quantity],StockOutData[Product ID],ProductMaster!$B54)</f>
        <v>53</v>
      </c>
      <c r="J54" s="50">
        <f>SUMIFS(StockInData[Value],StockInData[Product ID],ProductMaster!$B54)-SUMIFS(StockOutData[Value],StockOutData[Product ID],ProductMaster!$B54)</f>
        <v>132.5</v>
      </c>
    </row>
    <row r="55" spans="1:10" x14ac:dyDescent="0.25">
      <c r="A55" s="48">
        <v>54</v>
      </c>
      <c r="B55" s="48" t="s">
        <v>127</v>
      </c>
      <c r="C55" s="49" t="s">
        <v>128</v>
      </c>
      <c r="D55" s="48" t="s">
        <v>869</v>
      </c>
      <c r="E55" s="48" t="s">
        <v>870</v>
      </c>
      <c r="F55" s="50">
        <v>10</v>
      </c>
      <c r="G55" s="52">
        <f>StockInData[Expiry]</f>
        <v>44019</v>
      </c>
      <c r="H55" s="48">
        <v>25</v>
      </c>
      <c r="I55" s="48">
        <f>SUMIFS(StockInData[Quantity],StockInData[Product ID],ProductMaster!$B55)-SUMIFS(StockOutData[Quantity],StockOutData[Product ID],ProductMaster!$B55)</f>
        <v>25</v>
      </c>
      <c r="J55" s="50">
        <f>SUMIFS(StockInData[Value],StockInData[Product ID],ProductMaster!$B55)-SUMIFS(StockOutData[Value],StockOutData[Product ID],ProductMaster!$B55)</f>
        <v>62.5</v>
      </c>
    </row>
    <row r="56" spans="1:10" x14ac:dyDescent="0.25">
      <c r="A56" s="48">
        <v>55</v>
      </c>
      <c r="B56" s="48" t="s">
        <v>129</v>
      </c>
      <c r="C56" s="49" t="s">
        <v>130</v>
      </c>
      <c r="D56" s="48" t="s">
        <v>869</v>
      </c>
      <c r="E56" s="48" t="s">
        <v>870</v>
      </c>
      <c r="F56" s="50">
        <v>10</v>
      </c>
      <c r="G56" s="52">
        <f>StockInData[Expiry]</f>
        <v>44021</v>
      </c>
      <c r="H56" s="48">
        <v>25</v>
      </c>
      <c r="I56" s="48">
        <f>SUMIFS(StockInData[Quantity],StockInData[Product ID],ProductMaster!$B56)-SUMIFS(StockOutData[Quantity],StockOutData[Product ID],ProductMaster!$B56)</f>
        <v>12</v>
      </c>
      <c r="J56" s="50">
        <f>SUMIFS(StockInData[Value],StockInData[Product ID],ProductMaster!$B56)-SUMIFS(StockOutData[Value],StockOutData[Product ID],ProductMaster!$B56)</f>
        <v>30</v>
      </c>
    </row>
    <row r="57" spans="1:10" x14ac:dyDescent="0.25">
      <c r="A57" s="48">
        <v>56</v>
      </c>
      <c r="B57" s="48" t="s">
        <v>131</v>
      </c>
      <c r="C57" s="49" t="s">
        <v>132</v>
      </c>
      <c r="D57" s="48" t="s">
        <v>869</v>
      </c>
      <c r="E57" s="48" t="s">
        <v>870</v>
      </c>
      <c r="F57" s="50">
        <v>10</v>
      </c>
      <c r="G57" s="52">
        <f>StockInData[Expiry]</f>
        <v>44023</v>
      </c>
      <c r="H57" s="48">
        <v>25</v>
      </c>
      <c r="I57" s="48">
        <f>SUMIFS(StockInData[Quantity],StockInData[Product ID],ProductMaster!$B57)-SUMIFS(StockOutData[Quantity],StockOutData[Product ID],ProductMaster!$B57)</f>
        <v>13</v>
      </c>
      <c r="J57" s="50">
        <f>SUMIFS(StockInData[Value],StockInData[Product ID],ProductMaster!$B57)-SUMIFS(StockOutData[Value],StockOutData[Product ID],ProductMaster!$B57)</f>
        <v>32.5</v>
      </c>
    </row>
    <row r="58" spans="1:10" x14ac:dyDescent="0.25">
      <c r="A58" s="48">
        <v>57</v>
      </c>
      <c r="B58" s="48" t="s">
        <v>133</v>
      </c>
      <c r="C58" s="49" t="s">
        <v>134</v>
      </c>
      <c r="D58" s="48" t="s">
        <v>869</v>
      </c>
      <c r="E58" s="48" t="s">
        <v>870</v>
      </c>
      <c r="F58" s="50">
        <v>10</v>
      </c>
      <c r="G58" s="52">
        <f>StockInData[Expiry]</f>
        <v>44025</v>
      </c>
      <c r="H58" s="48">
        <v>25</v>
      </c>
      <c r="I58" s="48">
        <f>SUMIFS(StockInData[Quantity],StockInData[Product ID],ProductMaster!$B58)-SUMIFS(StockOutData[Quantity],StockOutData[Product ID],ProductMaster!$B58)</f>
        <v>6</v>
      </c>
      <c r="J58" s="50">
        <f>SUMIFS(StockInData[Value],StockInData[Product ID],ProductMaster!$B58)-SUMIFS(StockOutData[Value],StockOutData[Product ID],ProductMaster!$B58)</f>
        <v>15</v>
      </c>
    </row>
    <row r="59" spans="1:10" x14ac:dyDescent="0.25">
      <c r="A59" s="48">
        <v>58</v>
      </c>
      <c r="B59" s="48" t="s">
        <v>135</v>
      </c>
      <c r="C59" s="49" t="s">
        <v>136</v>
      </c>
      <c r="D59" s="48" t="s">
        <v>869</v>
      </c>
      <c r="E59" s="48" t="s">
        <v>870</v>
      </c>
      <c r="F59" s="50">
        <v>10</v>
      </c>
      <c r="G59" s="52">
        <f>StockInData[Expiry]</f>
        <v>44027</v>
      </c>
      <c r="H59" s="48">
        <v>25</v>
      </c>
      <c r="I59" s="48">
        <f>SUMIFS(StockInData[Quantity],StockInData[Product ID],ProductMaster!$B59)-SUMIFS(StockOutData[Quantity],StockOutData[Product ID],ProductMaster!$B59)</f>
        <v>6</v>
      </c>
      <c r="J59" s="50">
        <f>SUMIFS(StockInData[Value],StockInData[Product ID],ProductMaster!$B59)-SUMIFS(StockOutData[Value],StockOutData[Product ID],ProductMaster!$B59)</f>
        <v>15</v>
      </c>
    </row>
    <row r="60" spans="1:10" x14ac:dyDescent="0.25">
      <c r="A60" s="48">
        <v>59</v>
      </c>
      <c r="B60" s="48" t="s">
        <v>137</v>
      </c>
      <c r="C60" s="49" t="s">
        <v>138</v>
      </c>
      <c r="D60" s="48" t="s">
        <v>869</v>
      </c>
      <c r="E60" s="48" t="s">
        <v>870</v>
      </c>
      <c r="F60" s="50">
        <v>10</v>
      </c>
      <c r="G60" s="52">
        <f>StockInData[Expiry]</f>
        <v>44029</v>
      </c>
      <c r="H60" s="48">
        <v>25</v>
      </c>
      <c r="I60" s="48">
        <f>SUMIFS(StockInData[Quantity],StockInData[Product ID],ProductMaster!$B60)-SUMIFS(StockOutData[Quantity],StockOutData[Product ID],ProductMaster!$B60)</f>
        <v>18</v>
      </c>
      <c r="J60" s="50">
        <f>SUMIFS(StockInData[Value],StockInData[Product ID],ProductMaster!$B60)-SUMIFS(StockOutData[Value],StockOutData[Product ID],ProductMaster!$B60)</f>
        <v>45</v>
      </c>
    </row>
    <row r="61" spans="1:10" x14ac:dyDescent="0.25">
      <c r="A61" s="48">
        <v>60</v>
      </c>
      <c r="B61" s="48" t="s">
        <v>139</v>
      </c>
      <c r="C61" s="49" t="s">
        <v>140</v>
      </c>
      <c r="D61" s="48" t="s">
        <v>869</v>
      </c>
      <c r="E61" s="48" t="s">
        <v>870</v>
      </c>
      <c r="F61" s="50">
        <v>10</v>
      </c>
      <c r="G61" s="52">
        <f>StockInData[Expiry]</f>
        <v>44031</v>
      </c>
      <c r="H61" s="48">
        <v>25</v>
      </c>
      <c r="I61" s="48">
        <f>SUMIFS(StockInData[Quantity],StockInData[Product ID],ProductMaster!$B61)-SUMIFS(StockOutData[Quantity],StockOutData[Product ID],ProductMaster!$B61)</f>
        <v>58</v>
      </c>
      <c r="J61" s="50">
        <f>SUMIFS(StockInData[Value],StockInData[Product ID],ProductMaster!$B61)-SUMIFS(StockOutData[Value],StockOutData[Product ID],ProductMaster!$B61)</f>
        <v>145</v>
      </c>
    </row>
    <row r="62" spans="1:10" x14ac:dyDescent="0.25">
      <c r="A62" s="48">
        <v>61</v>
      </c>
      <c r="B62" s="48" t="s">
        <v>141</v>
      </c>
      <c r="C62" s="49" t="s">
        <v>142</v>
      </c>
      <c r="D62" s="48" t="s">
        <v>869</v>
      </c>
      <c r="E62" s="48" t="s">
        <v>870</v>
      </c>
      <c r="F62" s="50">
        <v>10</v>
      </c>
      <c r="G62" s="52">
        <f>StockInData[Expiry]</f>
        <v>44033</v>
      </c>
      <c r="H62" s="48">
        <v>25</v>
      </c>
      <c r="I62" s="48">
        <f>SUMIFS(StockInData[Quantity],StockInData[Product ID],ProductMaster!$B62)-SUMIFS(StockOutData[Quantity],StockOutData[Product ID],ProductMaster!$B62)</f>
        <v>59</v>
      </c>
      <c r="J62" s="50">
        <f>SUMIFS(StockInData[Value],StockInData[Product ID],ProductMaster!$B62)-SUMIFS(StockOutData[Value],StockOutData[Product ID],ProductMaster!$B62)</f>
        <v>147.5</v>
      </c>
    </row>
    <row r="63" spans="1:10" x14ac:dyDescent="0.25">
      <c r="A63" s="48">
        <v>62</v>
      </c>
      <c r="B63" s="48" t="s">
        <v>143</v>
      </c>
      <c r="C63" s="49" t="s">
        <v>144</v>
      </c>
      <c r="D63" s="48" t="s">
        <v>869</v>
      </c>
      <c r="E63" s="48" t="s">
        <v>870</v>
      </c>
      <c r="F63" s="50">
        <v>10</v>
      </c>
      <c r="G63" s="52">
        <f>StockInData[Expiry]</f>
        <v>44035</v>
      </c>
      <c r="H63" s="48">
        <v>25</v>
      </c>
      <c r="I63" s="48">
        <f>SUMIFS(StockInData[Quantity],StockInData[Product ID],ProductMaster!$B63)-SUMIFS(StockOutData[Quantity],StockOutData[Product ID],ProductMaster!$B63)</f>
        <v>66</v>
      </c>
      <c r="J63" s="50">
        <f>SUMIFS(StockInData[Value],StockInData[Product ID],ProductMaster!$B63)-SUMIFS(StockOutData[Value],StockOutData[Product ID],ProductMaster!$B63)</f>
        <v>165</v>
      </c>
    </row>
    <row r="64" spans="1:10" x14ac:dyDescent="0.25">
      <c r="A64" s="48">
        <v>63</v>
      </c>
      <c r="B64" s="48" t="s">
        <v>145</v>
      </c>
      <c r="C64" s="49" t="s">
        <v>146</v>
      </c>
      <c r="D64" s="48" t="s">
        <v>869</v>
      </c>
      <c r="E64" s="48" t="s">
        <v>870</v>
      </c>
      <c r="F64" s="50">
        <v>10</v>
      </c>
      <c r="G64" s="52">
        <f>StockInData[Expiry]</f>
        <v>44037</v>
      </c>
      <c r="H64" s="48">
        <v>25</v>
      </c>
      <c r="I64" s="48">
        <f>SUMIFS(StockInData[Quantity],StockInData[Product ID],ProductMaster!$B64)-SUMIFS(StockOutData[Quantity],StockOutData[Product ID],ProductMaster!$B64)</f>
        <v>87</v>
      </c>
      <c r="J64" s="50">
        <f>SUMIFS(StockInData[Value],StockInData[Product ID],ProductMaster!$B64)-SUMIFS(StockOutData[Value],StockOutData[Product ID],ProductMaster!$B64)</f>
        <v>217.5</v>
      </c>
    </row>
    <row r="65" spans="1:10" x14ac:dyDescent="0.25">
      <c r="A65" s="48">
        <v>64</v>
      </c>
      <c r="B65" s="48" t="s">
        <v>147</v>
      </c>
      <c r="C65" s="49" t="s">
        <v>148</v>
      </c>
      <c r="D65" s="48" t="s">
        <v>869</v>
      </c>
      <c r="E65" s="48" t="s">
        <v>870</v>
      </c>
      <c r="F65" s="50">
        <v>10</v>
      </c>
      <c r="G65" s="52">
        <f>StockInData[Expiry]</f>
        <v>44039</v>
      </c>
      <c r="H65" s="48">
        <v>25</v>
      </c>
      <c r="I65" s="48">
        <f>SUMIFS(StockInData[Quantity],StockInData[Product ID],ProductMaster!$B65)-SUMIFS(StockOutData[Quantity],StockOutData[Product ID],ProductMaster!$B65)</f>
        <v>91</v>
      </c>
      <c r="J65" s="50">
        <f>SUMIFS(StockInData[Value],StockInData[Product ID],ProductMaster!$B65)-SUMIFS(StockOutData[Value],StockOutData[Product ID],ProductMaster!$B65)</f>
        <v>227.5</v>
      </c>
    </row>
    <row r="66" spans="1:10" x14ac:dyDescent="0.25">
      <c r="A66" s="48">
        <v>65</v>
      </c>
      <c r="B66" s="48" t="s">
        <v>149</v>
      </c>
      <c r="C66" s="49" t="s">
        <v>150</v>
      </c>
      <c r="D66" s="48" t="s">
        <v>869</v>
      </c>
      <c r="E66" s="48" t="s">
        <v>870</v>
      </c>
      <c r="F66" s="50">
        <v>10</v>
      </c>
      <c r="G66" s="52">
        <f>StockInData[Expiry]</f>
        <v>44041</v>
      </c>
      <c r="H66" s="48">
        <v>25</v>
      </c>
      <c r="I66" s="48">
        <f>SUMIFS(StockInData[Quantity],StockInData[Product ID],ProductMaster!$B66)-SUMIFS(StockOutData[Quantity],StockOutData[Product ID],ProductMaster!$B66)</f>
        <v>90</v>
      </c>
      <c r="J66" s="50">
        <f>SUMIFS(StockInData[Value],StockInData[Product ID],ProductMaster!$B66)-SUMIFS(StockOutData[Value],StockOutData[Product ID],ProductMaster!$B66)</f>
        <v>225</v>
      </c>
    </row>
    <row r="67" spans="1:10" x14ac:dyDescent="0.25">
      <c r="A67" s="48">
        <v>66</v>
      </c>
      <c r="B67" s="48" t="s">
        <v>151</v>
      </c>
      <c r="C67" s="49" t="s">
        <v>152</v>
      </c>
      <c r="D67" s="48" t="s">
        <v>869</v>
      </c>
      <c r="E67" s="48" t="s">
        <v>870</v>
      </c>
      <c r="F67" s="50">
        <v>10</v>
      </c>
      <c r="G67" s="52">
        <f>StockInData[Expiry]</f>
        <v>44043</v>
      </c>
      <c r="H67" s="48">
        <v>25</v>
      </c>
      <c r="I67" s="48">
        <f>SUMIFS(StockInData[Quantity],StockInData[Product ID],ProductMaster!$B67)-SUMIFS(StockOutData[Quantity],StockOutData[Product ID],ProductMaster!$B67)</f>
        <v>90</v>
      </c>
      <c r="J67" s="50">
        <f>SUMIFS(StockInData[Value],StockInData[Product ID],ProductMaster!$B67)-SUMIFS(StockOutData[Value],StockOutData[Product ID],ProductMaster!$B67)</f>
        <v>225</v>
      </c>
    </row>
    <row r="68" spans="1:10" x14ac:dyDescent="0.25">
      <c r="A68" s="48">
        <v>67</v>
      </c>
      <c r="B68" s="48" t="s">
        <v>153</v>
      </c>
      <c r="C68" s="49" t="s">
        <v>154</v>
      </c>
      <c r="D68" s="48" t="s">
        <v>869</v>
      </c>
      <c r="E68" s="48" t="s">
        <v>870</v>
      </c>
      <c r="F68" s="50">
        <v>10</v>
      </c>
      <c r="G68" s="52">
        <f>StockInData[Expiry]</f>
        <v>44045</v>
      </c>
      <c r="H68" s="48">
        <v>25</v>
      </c>
      <c r="I68" s="48">
        <f>SUMIFS(StockInData[Quantity],StockInData[Product ID],ProductMaster!$B68)-SUMIFS(StockOutData[Quantity],StockOutData[Product ID],ProductMaster!$B68)</f>
        <v>93</v>
      </c>
      <c r="J68" s="50">
        <f>SUMIFS(StockInData[Value],StockInData[Product ID],ProductMaster!$B68)-SUMIFS(StockOutData[Value],StockOutData[Product ID],ProductMaster!$B68)</f>
        <v>232.5</v>
      </c>
    </row>
    <row r="69" spans="1:10" x14ac:dyDescent="0.25">
      <c r="A69" s="48">
        <v>68</v>
      </c>
      <c r="B69" s="48" t="s">
        <v>155</v>
      </c>
      <c r="C69" s="49" t="s">
        <v>156</v>
      </c>
      <c r="D69" s="48" t="s">
        <v>869</v>
      </c>
      <c r="E69" s="48" t="s">
        <v>870</v>
      </c>
      <c r="F69" s="50">
        <v>10</v>
      </c>
      <c r="G69" s="52">
        <f>StockInData[Expiry]</f>
        <v>44047</v>
      </c>
      <c r="H69" s="48">
        <v>25</v>
      </c>
      <c r="I69" s="48">
        <f>SUMIFS(StockInData[Quantity],StockInData[Product ID],ProductMaster!$B69)-SUMIFS(StockOutData[Quantity],StockOutData[Product ID],ProductMaster!$B69)</f>
        <v>45</v>
      </c>
      <c r="J69" s="50">
        <f>SUMIFS(StockInData[Value],StockInData[Product ID],ProductMaster!$B69)-SUMIFS(StockOutData[Value],StockOutData[Product ID],ProductMaster!$B69)</f>
        <v>112.5</v>
      </c>
    </row>
    <row r="70" spans="1:10" x14ac:dyDescent="0.25">
      <c r="A70" s="48">
        <v>69</v>
      </c>
      <c r="B70" s="48" t="s">
        <v>157</v>
      </c>
      <c r="C70" s="49" t="s">
        <v>158</v>
      </c>
      <c r="D70" s="48" t="s">
        <v>869</v>
      </c>
      <c r="E70" s="48" t="s">
        <v>871</v>
      </c>
      <c r="F70" s="50">
        <v>10</v>
      </c>
      <c r="G70" s="52">
        <f>StockInData[Expiry]</f>
        <v>44049</v>
      </c>
      <c r="H70" s="48">
        <v>25</v>
      </c>
      <c r="I70" s="48">
        <f>SUMIFS(StockInData[Quantity],StockInData[Product ID],ProductMaster!$B70)-SUMIFS(StockOutData[Quantity],StockOutData[Product ID],ProductMaster!$B70)</f>
        <v>22</v>
      </c>
      <c r="J70" s="50">
        <f>SUMIFS(StockInData[Value],StockInData[Product ID],ProductMaster!$B70)-SUMIFS(StockOutData[Value],StockOutData[Product ID],ProductMaster!$B70)</f>
        <v>55</v>
      </c>
    </row>
    <row r="71" spans="1:10" x14ac:dyDescent="0.25">
      <c r="A71" s="48">
        <v>70</v>
      </c>
      <c r="B71" s="48" t="s">
        <v>159</v>
      </c>
      <c r="C71" s="49" t="s">
        <v>160</v>
      </c>
      <c r="D71" s="48" t="s">
        <v>869</v>
      </c>
      <c r="E71" s="48" t="s">
        <v>871</v>
      </c>
      <c r="F71" s="50">
        <v>10</v>
      </c>
      <c r="G71" s="52">
        <f>StockInData[Expiry]</f>
        <v>44051</v>
      </c>
      <c r="H71" s="48">
        <v>25</v>
      </c>
      <c r="I71" s="48">
        <f>SUMIFS(StockInData[Quantity],StockInData[Product ID],ProductMaster!$B71)-SUMIFS(StockOutData[Quantity],StockOutData[Product ID],ProductMaster!$B71)</f>
        <v>18</v>
      </c>
      <c r="J71" s="50">
        <f>SUMIFS(StockInData[Value],StockInData[Product ID],ProductMaster!$B71)-SUMIFS(StockOutData[Value],StockOutData[Product ID],ProductMaster!$B71)</f>
        <v>45</v>
      </c>
    </row>
    <row r="72" spans="1:10" x14ac:dyDescent="0.25">
      <c r="A72" s="48">
        <v>71</v>
      </c>
      <c r="B72" s="48" t="s">
        <v>161</v>
      </c>
      <c r="C72" s="49" t="s">
        <v>162</v>
      </c>
      <c r="D72" s="48" t="s">
        <v>869</v>
      </c>
      <c r="E72" s="48" t="s">
        <v>871</v>
      </c>
      <c r="F72" s="50">
        <v>10</v>
      </c>
      <c r="G72" s="52">
        <f>StockInData[Expiry]</f>
        <v>44053</v>
      </c>
      <c r="H72" s="48">
        <v>25</v>
      </c>
      <c r="I72" s="48">
        <f>SUMIFS(StockInData[Quantity],StockInData[Product ID],ProductMaster!$B72)-SUMIFS(StockOutData[Quantity],StockOutData[Product ID],ProductMaster!$B72)</f>
        <v>11</v>
      </c>
      <c r="J72" s="50">
        <f>SUMIFS(StockInData[Value],StockInData[Product ID],ProductMaster!$B72)-SUMIFS(StockOutData[Value],StockOutData[Product ID],ProductMaster!$B72)</f>
        <v>27.5</v>
      </c>
    </row>
    <row r="73" spans="1:10" x14ac:dyDescent="0.25">
      <c r="A73" s="48">
        <v>72</v>
      </c>
      <c r="B73" s="48" t="s">
        <v>163</v>
      </c>
      <c r="C73" s="49" t="s">
        <v>164</v>
      </c>
      <c r="D73" s="48" t="s">
        <v>869</v>
      </c>
      <c r="E73" s="48" t="s">
        <v>871</v>
      </c>
      <c r="F73" s="50">
        <v>10</v>
      </c>
      <c r="G73" s="52">
        <f>StockInData[Expiry]</f>
        <v>44055</v>
      </c>
      <c r="H73" s="48">
        <v>25</v>
      </c>
      <c r="I73" s="48">
        <f>SUMIFS(StockInData[Quantity],StockInData[Product ID],ProductMaster!$B73)-SUMIFS(StockOutData[Quantity],StockOutData[Product ID],ProductMaster!$B73)</f>
        <v>7</v>
      </c>
      <c r="J73" s="50">
        <f>SUMIFS(StockInData[Value],StockInData[Product ID],ProductMaster!$B73)-SUMIFS(StockOutData[Value],StockOutData[Product ID],ProductMaster!$B73)</f>
        <v>17.5</v>
      </c>
    </row>
    <row r="74" spans="1:10" x14ac:dyDescent="0.25">
      <c r="A74" s="48">
        <v>73</v>
      </c>
      <c r="B74" s="48" t="s">
        <v>165</v>
      </c>
      <c r="C74" s="49" t="s">
        <v>166</v>
      </c>
      <c r="D74" s="48" t="s">
        <v>869</v>
      </c>
      <c r="E74" s="48" t="s">
        <v>871</v>
      </c>
      <c r="F74" s="50">
        <v>10</v>
      </c>
      <c r="G74" s="52">
        <f>StockInData[Expiry]</f>
        <v>44057</v>
      </c>
      <c r="H74" s="48">
        <v>25</v>
      </c>
      <c r="I74" s="48">
        <f>SUMIFS(StockInData[Quantity],StockInData[Product ID],ProductMaster!$B74)-SUMIFS(StockOutData[Quantity],StockOutData[Product ID],ProductMaster!$B74)</f>
        <v>14</v>
      </c>
      <c r="J74" s="50">
        <f>SUMIFS(StockInData[Value],StockInData[Product ID],ProductMaster!$B74)-SUMIFS(StockOutData[Value],StockOutData[Product ID],ProductMaster!$B74)</f>
        <v>35</v>
      </c>
    </row>
    <row r="75" spans="1:10" x14ac:dyDescent="0.25">
      <c r="A75" s="48">
        <v>74</v>
      </c>
      <c r="B75" s="48" t="s">
        <v>167</v>
      </c>
      <c r="C75" s="49" t="s">
        <v>168</v>
      </c>
      <c r="D75" s="48" t="s">
        <v>869</v>
      </c>
      <c r="E75" s="48" t="s">
        <v>871</v>
      </c>
      <c r="F75" s="50">
        <v>10</v>
      </c>
      <c r="G75" s="52">
        <f>StockInData[Expiry]</f>
        <v>44059</v>
      </c>
      <c r="H75" s="48">
        <v>25</v>
      </c>
      <c r="I75" s="48">
        <f>SUMIFS(StockInData[Quantity],StockInData[Product ID],ProductMaster!$B75)-SUMIFS(StockOutData[Quantity],StockOutData[Product ID],ProductMaster!$B75)</f>
        <v>16</v>
      </c>
      <c r="J75" s="50">
        <f>SUMIFS(StockInData[Value],StockInData[Product ID],ProductMaster!$B75)-SUMIFS(StockOutData[Value],StockOutData[Product ID],ProductMaster!$B75)</f>
        <v>40</v>
      </c>
    </row>
    <row r="76" spans="1:10" x14ac:dyDescent="0.25">
      <c r="A76" s="48">
        <v>75</v>
      </c>
      <c r="B76" s="48" t="s">
        <v>169</v>
      </c>
      <c r="C76" s="49" t="s">
        <v>170</v>
      </c>
      <c r="D76" s="48" t="s">
        <v>869</v>
      </c>
      <c r="E76" s="48" t="s">
        <v>871</v>
      </c>
      <c r="F76" s="50">
        <v>10</v>
      </c>
      <c r="G76" s="52">
        <f>StockInData[Expiry]</f>
        <v>44061</v>
      </c>
      <c r="H76" s="48">
        <v>25</v>
      </c>
      <c r="I76" s="48">
        <f>SUMIFS(StockInData[Quantity],StockInData[Product ID],ProductMaster!$B76)-SUMIFS(StockOutData[Quantity],StockOutData[Product ID],ProductMaster!$B76)</f>
        <v>50</v>
      </c>
      <c r="J76" s="50">
        <f>SUMIFS(StockInData[Value],StockInData[Product ID],ProductMaster!$B76)-SUMIFS(StockOutData[Value],StockOutData[Product ID],ProductMaster!$B76)</f>
        <v>125</v>
      </c>
    </row>
    <row r="77" spans="1:10" x14ac:dyDescent="0.25">
      <c r="A77" s="48">
        <v>76</v>
      </c>
      <c r="B77" s="48" t="s">
        <v>171</v>
      </c>
      <c r="C77" s="49" t="s">
        <v>172</v>
      </c>
      <c r="D77" s="48" t="s">
        <v>869</v>
      </c>
      <c r="E77" s="48" t="s">
        <v>871</v>
      </c>
      <c r="F77" s="50">
        <v>10</v>
      </c>
      <c r="G77" s="52">
        <f>StockInData[Expiry]</f>
        <v>44063</v>
      </c>
      <c r="H77" s="48">
        <v>25</v>
      </c>
      <c r="I77" s="48">
        <f>SUMIFS(StockInData[Quantity],StockInData[Product ID],ProductMaster!$B77)-SUMIFS(StockOutData[Quantity],StockOutData[Product ID],ProductMaster!$B77)</f>
        <v>56</v>
      </c>
      <c r="J77" s="50">
        <f>SUMIFS(StockInData[Value],StockInData[Product ID],ProductMaster!$B77)-SUMIFS(StockOutData[Value],StockOutData[Product ID],ProductMaster!$B77)</f>
        <v>140</v>
      </c>
    </row>
    <row r="78" spans="1:10" x14ac:dyDescent="0.25">
      <c r="A78" s="48">
        <v>77</v>
      </c>
      <c r="B78" s="48" t="s">
        <v>173</v>
      </c>
      <c r="C78" s="49" t="s">
        <v>174</v>
      </c>
      <c r="D78" s="48" t="s">
        <v>869</v>
      </c>
      <c r="E78" s="48" t="s">
        <v>871</v>
      </c>
      <c r="F78" s="50">
        <v>10</v>
      </c>
      <c r="G78" s="52">
        <f>StockInData[Expiry]</f>
        <v>44065</v>
      </c>
      <c r="H78" s="48">
        <v>25</v>
      </c>
      <c r="I78" s="48">
        <f>SUMIFS(StockInData[Quantity],StockInData[Product ID],ProductMaster!$B78)-SUMIFS(StockOutData[Quantity],StockOutData[Product ID],ProductMaster!$B78)</f>
        <v>72</v>
      </c>
      <c r="J78" s="50">
        <f>SUMIFS(StockInData[Value],StockInData[Product ID],ProductMaster!$B78)-SUMIFS(StockOutData[Value],StockOutData[Product ID],ProductMaster!$B78)</f>
        <v>180</v>
      </c>
    </row>
    <row r="79" spans="1:10" x14ac:dyDescent="0.25">
      <c r="A79" s="48">
        <v>78</v>
      </c>
      <c r="B79" s="48" t="s">
        <v>175</v>
      </c>
      <c r="C79" s="49" t="s">
        <v>176</v>
      </c>
      <c r="D79" s="48" t="s">
        <v>869</v>
      </c>
      <c r="E79" s="48" t="s">
        <v>871</v>
      </c>
      <c r="F79" s="50">
        <v>10</v>
      </c>
      <c r="G79" s="52">
        <f>StockInData[Expiry]</f>
        <v>44067</v>
      </c>
      <c r="H79" s="48">
        <v>25</v>
      </c>
      <c r="I79" s="48">
        <f>SUMIFS(StockInData[Quantity],StockInData[Product ID],ProductMaster!$B79)-SUMIFS(StockOutData[Quantity],StockOutData[Product ID],ProductMaster!$B79)</f>
        <v>85</v>
      </c>
      <c r="J79" s="50">
        <f>SUMIFS(StockInData[Value],StockInData[Product ID],ProductMaster!$B79)-SUMIFS(StockOutData[Value],StockOutData[Product ID],ProductMaster!$B79)</f>
        <v>212.5</v>
      </c>
    </row>
    <row r="80" spans="1:10" x14ac:dyDescent="0.25">
      <c r="A80" s="48">
        <v>79</v>
      </c>
      <c r="B80" s="48" t="s">
        <v>177</v>
      </c>
      <c r="C80" s="49" t="s">
        <v>178</v>
      </c>
      <c r="D80" s="48" t="s">
        <v>869</v>
      </c>
      <c r="E80" s="48" t="s">
        <v>871</v>
      </c>
      <c r="F80" s="50">
        <v>10</v>
      </c>
      <c r="G80" s="52">
        <f>StockInData[Expiry]</f>
        <v>44069</v>
      </c>
      <c r="H80" s="48">
        <v>25</v>
      </c>
      <c r="I80" s="48">
        <f>SUMIFS(StockInData[Quantity],StockInData[Product ID],ProductMaster!$B80)-SUMIFS(StockOutData[Quantity],StockOutData[Product ID],ProductMaster!$B80)</f>
        <v>88</v>
      </c>
      <c r="J80" s="50">
        <f>SUMIFS(StockInData[Value],StockInData[Product ID],ProductMaster!$B80)-SUMIFS(StockOutData[Value],StockOutData[Product ID],ProductMaster!$B80)</f>
        <v>220</v>
      </c>
    </row>
    <row r="81" spans="1:10" x14ac:dyDescent="0.25">
      <c r="A81" s="48">
        <v>80</v>
      </c>
      <c r="B81" s="48" t="s">
        <v>179</v>
      </c>
      <c r="C81" s="49" t="s">
        <v>180</v>
      </c>
      <c r="D81" s="48" t="s">
        <v>869</v>
      </c>
      <c r="E81" s="48" t="s">
        <v>871</v>
      </c>
      <c r="F81" s="50">
        <v>10</v>
      </c>
      <c r="G81" s="52">
        <f>StockInData[Expiry]</f>
        <v>44071</v>
      </c>
      <c r="H81" s="48">
        <v>25</v>
      </c>
      <c r="I81" s="48">
        <f>SUMIFS(StockInData[Quantity],StockInData[Product ID],ProductMaster!$B81)-SUMIFS(StockOutData[Quantity],StockOutData[Product ID],ProductMaster!$B81)</f>
        <v>35</v>
      </c>
      <c r="J81" s="50">
        <f>SUMIFS(StockInData[Value],StockInData[Product ID],ProductMaster!$B81)-SUMIFS(StockOutData[Value],StockOutData[Product ID],ProductMaster!$B81)</f>
        <v>87.5</v>
      </c>
    </row>
    <row r="82" spans="1:10" x14ac:dyDescent="0.25">
      <c r="A82" s="48">
        <v>81</v>
      </c>
      <c r="B82" s="48" t="s">
        <v>181</v>
      </c>
      <c r="C82" s="49" t="s">
        <v>182</v>
      </c>
      <c r="D82" s="48" t="s">
        <v>869</v>
      </c>
      <c r="E82" s="48" t="s">
        <v>871</v>
      </c>
      <c r="F82" s="50">
        <v>10</v>
      </c>
      <c r="G82" s="52">
        <f>StockInData[Expiry]</f>
        <v>44073</v>
      </c>
      <c r="H82" s="48">
        <v>25</v>
      </c>
      <c r="I82" s="48">
        <f>SUMIFS(StockInData[Quantity],StockInData[Product ID],ProductMaster!$B82)-SUMIFS(StockOutData[Quantity],StockOutData[Product ID],ProductMaster!$B82)</f>
        <v>23</v>
      </c>
      <c r="J82" s="50">
        <f>SUMIFS(StockInData[Value],StockInData[Product ID],ProductMaster!$B82)-SUMIFS(StockOutData[Value],StockOutData[Product ID],ProductMaster!$B82)</f>
        <v>57.5</v>
      </c>
    </row>
    <row r="83" spans="1:10" x14ac:dyDescent="0.25">
      <c r="A83" s="48">
        <v>82</v>
      </c>
      <c r="B83" s="48" t="s">
        <v>183</v>
      </c>
      <c r="C83" s="49" t="s">
        <v>184</v>
      </c>
      <c r="D83" s="48" t="s">
        <v>869</v>
      </c>
      <c r="E83" s="48" t="s">
        <v>871</v>
      </c>
      <c r="F83" s="50">
        <v>10</v>
      </c>
      <c r="G83" s="52">
        <f>StockInData[Expiry]</f>
        <v>44075</v>
      </c>
      <c r="H83" s="48">
        <v>25</v>
      </c>
      <c r="I83" s="48">
        <f>SUMIFS(StockInData[Quantity],StockInData[Product ID],ProductMaster!$B83)-SUMIFS(StockOutData[Quantity],StockOutData[Product ID],ProductMaster!$B83)</f>
        <v>10</v>
      </c>
      <c r="J83" s="50">
        <f>SUMIFS(StockInData[Value],StockInData[Product ID],ProductMaster!$B83)-SUMIFS(StockOutData[Value],StockOutData[Product ID],ProductMaster!$B83)</f>
        <v>25</v>
      </c>
    </row>
    <row r="84" spans="1:10" x14ac:dyDescent="0.25">
      <c r="A84" s="48">
        <v>83</v>
      </c>
      <c r="B84" s="48" t="s">
        <v>185</v>
      </c>
      <c r="C84" s="49" t="s">
        <v>186</v>
      </c>
      <c r="D84" s="48" t="s">
        <v>869</v>
      </c>
      <c r="E84" s="48" t="s">
        <v>871</v>
      </c>
      <c r="F84" s="50">
        <v>10</v>
      </c>
      <c r="G84" s="52">
        <f>StockInData[Expiry]</f>
        <v>44077</v>
      </c>
      <c r="H84" s="48">
        <v>25</v>
      </c>
      <c r="I84" s="48">
        <f>SUMIFS(StockInData[Quantity],StockInData[Product ID],ProductMaster!$B84)-SUMIFS(StockOutData[Quantity],StockOutData[Product ID],ProductMaster!$B84)</f>
        <v>2</v>
      </c>
      <c r="J84" s="50">
        <f>SUMIFS(StockInData[Value],StockInData[Product ID],ProductMaster!$B84)-SUMIFS(StockOutData[Value],StockOutData[Product ID],ProductMaster!$B84)</f>
        <v>5</v>
      </c>
    </row>
    <row r="85" spans="1:10" x14ac:dyDescent="0.25">
      <c r="A85" s="48">
        <v>84</v>
      </c>
      <c r="B85" s="48" t="s">
        <v>187</v>
      </c>
      <c r="C85" s="49" t="s">
        <v>188</v>
      </c>
      <c r="D85" s="48" t="s">
        <v>869</v>
      </c>
      <c r="E85" s="48" t="s">
        <v>871</v>
      </c>
      <c r="F85" s="50">
        <v>10</v>
      </c>
      <c r="G85" s="52">
        <f>StockInData[Expiry]</f>
        <v>44079</v>
      </c>
      <c r="H85" s="48">
        <v>25</v>
      </c>
      <c r="I85" s="48">
        <f>SUMIFS(StockInData[Quantity],StockInData[Product ID],ProductMaster!$B85)-SUMIFS(StockOutData[Quantity],StockOutData[Product ID],ProductMaster!$B85)</f>
        <v>7</v>
      </c>
      <c r="J85" s="50">
        <f>SUMIFS(StockInData[Value],StockInData[Product ID],ProductMaster!$B85)-SUMIFS(StockOutData[Value],StockOutData[Product ID],ProductMaster!$B85)</f>
        <v>17.5</v>
      </c>
    </row>
    <row r="86" spans="1:10" x14ac:dyDescent="0.25">
      <c r="A86" s="48">
        <v>85</v>
      </c>
      <c r="B86" s="48" t="s">
        <v>189</v>
      </c>
      <c r="C86" s="49" t="s">
        <v>190</v>
      </c>
      <c r="D86" s="48" t="s">
        <v>869</v>
      </c>
      <c r="E86" s="48" t="s">
        <v>871</v>
      </c>
      <c r="F86" s="50">
        <v>10</v>
      </c>
      <c r="G86" s="52">
        <f>StockInData[Expiry]</f>
        <v>44081</v>
      </c>
      <c r="H86" s="48">
        <v>25</v>
      </c>
      <c r="I86" s="48">
        <f>SUMIFS(StockInData[Quantity],StockInData[Product ID],ProductMaster!$B86)-SUMIFS(StockOutData[Quantity],StockOutData[Product ID],ProductMaster!$B86)</f>
        <v>13</v>
      </c>
      <c r="J86" s="50">
        <f>SUMIFS(StockInData[Value],StockInData[Product ID],ProductMaster!$B86)-SUMIFS(StockOutData[Value],StockOutData[Product ID],ProductMaster!$B86)</f>
        <v>32.5</v>
      </c>
    </row>
    <row r="87" spans="1:10" x14ac:dyDescent="0.25">
      <c r="A87" s="48">
        <v>86</v>
      </c>
      <c r="B87" s="48" t="s">
        <v>191</v>
      </c>
      <c r="C87" s="49" t="s">
        <v>192</v>
      </c>
      <c r="D87" s="48" t="s">
        <v>869</v>
      </c>
      <c r="E87" s="48" t="s">
        <v>871</v>
      </c>
      <c r="F87" s="50">
        <v>10</v>
      </c>
      <c r="G87" s="52">
        <f>StockInData[Expiry]</f>
        <v>44083</v>
      </c>
      <c r="H87" s="48">
        <v>25</v>
      </c>
      <c r="I87" s="48">
        <f>SUMIFS(StockInData[Quantity],StockInData[Product ID],ProductMaster!$B87)-SUMIFS(StockOutData[Quantity],StockOutData[Product ID],ProductMaster!$B87)</f>
        <v>55</v>
      </c>
      <c r="J87" s="50">
        <f>SUMIFS(StockInData[Value],StockInData[Product ID],ProductMaster!$B87)-SUMIFS(StockOutData[Value],StockOutData[Product ID],ProductMaster!$B87)</f>
        <v>137.5</v>
      </c>
    </row>
    <row r="88" spans="1:10" x14ac:dyDescent="0.25">
      <c r="A88" s="48">
        <v>87</v>
      </c>
      <c r="B88" s="48" t="s">
        <v>193</v>
      </c>
      <c r="C88" s="49" t="s">
        <v>194</v>
      </c>
      <c r="D88" s="48" t="s">
        <v>869</v>
      </c>
      <c r="E88" s="48" t="s">
        <v>871</v>
      </c>
      <c r="F88" s="50">
        <v>10</v>
      </c>
      <c r="G88" s="52">
        <f>StockInData[Expiry]</f>
        <v>44085</v>
      </c>
      <c r="H88" s="48">
        <v>25</v>
      </c>
      <c r="I88" s="48">
        <f>SUMIFS(StockInData[Quantity],StockInData[Product ID],ProductMaster!$B88)-SUMIFS(StockOutData[Quantity],StockOutData[Product ID],ProductMaster!$B88)</f>
        <v>67</v>
      </c>
      <c r="J88" s="50">
        <f>SUMIFS(StockInData[Value],StockInData[Product ID],ProductMaster!$B88)-SUMIFS(StockOutData[Value],StockOutData[Product ID],ProductMaster!$B88)</f>
        <v>167.5</v>
      </c>
    </row>
    <row r="89" spans="1:10" x14ac:dyDescent="0.25">
      <c r="A89" s="48">
        <v>88</v>
      </c>
      <c r="B89" s="48" t="s">
        <v>195</v>
      </c>
      <c r="C89" s="49" t="s">
        <v>196</v>
      </c>
      <c r="D89" s="48" t="s">
        <v>869</v>
      </c>
      <c r="E89" s="48" t="s">
        <v>871</v>
      </c>
      <c r="F89" s="50">
        <v>10</v>
      </c>
      <c r="G89" s="52">
        <f>StockInData[Expiry]</f>
        <v>44087</v>
      </c>
      <c r="H89" s="48">
        <v>25</v>
      </c>
      <c r="I89" s="48">
        <f>SUMIFS(StockInData[Quantity],StockInData[Product ID],ProductMaster!$B89)-SUMIFS(StockOutData[Quantity],StockOutData[Product ID],ProductMaster!$B89)</f>
        <v>69</v>
      </c>
      <c r="J89" s="50">
        <f>SUMIFS(StockInData[Value],StockInData[Product ID],ProductMaster!$B89)-SUMIFS(StockOutData[Value],StockOutData[Product ID],ProductMaster!$B89)</f>
        <v>172.5</v>
      </c>
    </row>
    <row r="90" spans="1:10" x14ac:dyDescent="0.25">
      <c r="A90" s="48">
        <v>89</v>
      </c>
      <c r="B90" s="48" t="s">
        <v>197</v>
      </c>
      <c r="C90" s="49" t="s">
        <v>198</v>
      </c>
      <c r="D90" s="48" t="s">
        <v>869</v>
      </c>
      <c r="E90" s="48" t="s">
        <v>871</v>
      </c>
      <c r="F90" s="50">
        <v>10</v>
      </c>
      <c r="G90" s="52">
        <f>StockInData[Expiry]</f>
        <v>44089</v>
      </c>
      <c r="H90" s="48">
        <v>25</v>
      </c>
      <c r="I90" s="48">
        <f>SUMIFS(StockInData[Quantity],StockInData[Product ID],ProductMaster!$B90)-SUMIFS(StockOutData[Quantity],StockOutData[Product ID],ProductMaster!$B90)</f>
        <v>81</v>
      </c>
      <c r="J90" s="50">
        <f>SUMIFS(StockInData[Value],StockInData[Product ID],ProductMaster!$B90)-SUMIFS(StockOutData[Value],StockOutData[Product ID],ProductMaster!$B90)</f>
        <v>202.5</v>
      </c>
    </row>
    <row r="91" spans="1:10" x14ac:dyDescent="0.25">
      <c r="A91" s="48">
        <v>90</v>
      </c>
      <c r="B91" s="48" t="s">
        <v>199</v>
      </c>
      <c r="C91" s="49" t="s">
        <v>200</v>
      </c>
      <c r="D91" s="48" t="s">
        <v>869</v>
      </c>
      <c r="E91" s="48" t="s">
        <v>871</v>
      </c>
      <c r="F91" s="50">
        <v>10</v>
      </c>
      <c r="G91" s="52">
        <f>StockInData[Expiry]</f>
        <v>44091</v>
      </c>
      <c r="H91" s="48">
        <v>25</v>
      </c>
      <c r="I91" s="48">
        <f>SUMIFS(StockInData[Quantity],StockInData[Product ID],ProductMaster!$B91)-SUMIFS(StockOutData[Quantity],StockOutData[Product ID],ProductMaster!$B91)</f>
        <v>89</v>
      </c>
      <c r="J91" s="50">
        <f>SUMIFS(StockInData[Value],StockInData[Product ID],ProductMaster!$B91)-SUMIFS(StockOutData[Value],StockOutData[Product ID],ProductMaster!$B91)</f>
        <v>222.5</v>
      </c>
    </row>
    <row r="92" spans="1:10" x14ac:dyDescent="0.25">
      <c r="A92" s="48">
        <v>91</v>
      </c>
      <c r="B92" s="48" t="s">
        <v>201</v>
      </c>
      <c r="C92" s="49" t="s">
        <v>202</v>
      </c>
      <c r="D92" s="48" t="s">
        <v>869</v>
      </c>
      <c r="E92" s="48" t="s">
        <v>871</v>
      </c>
      <c r="F92" s="50">
        <v>10</v>
      </c>
      <c r="G92" s="52">
        <f>StockInData[Expiry]</f>
        <v>44093</v>
      </c>
      <c r="H92" s="48">
        <v>25</v>
      </c>
      <c r="I92" s="48">
        <f>SUMIFS(StockInData[Quantity],StockInData[Product ID],ProductMaster!$B92)-SUMIFS(StockOutData[Quantity],StockOutData[Product ID],ProductMaster!$B92)</f>
        <v>46</v>
      </c>
      <c r="J92" s="50">
        <f>SUMIFS(StockInData[Value],StockInData[Product ID],ProductMaster!$B92)-SUMIFS(StockOutData[Value],StockOutData[Product ID],ProductMaster!$B92)</f>
        <v>115</v>
      </c>
    </row>
    <row r="93" spans="1:10" x14ac:dyDescent="0.25">
      <c r="A93" s="48">
        <v>92</v>
      </c>
      <c r="B93" s="48" t="s">
        <v>203</v>
      </c>
      <c r="C93" s="49" t="s">
        <v>204</v>
      </c>
      <c r="D93" s="48" t="s">
        <v>869</v>
      </c>
      <c r="E93" s="48" t="s">
        <v>871</v>
      </c>
      <c r="F93" s="50">
        <v>10</v>
      </c>
      <c r="G93" s="52">
        <f>StockInData[Expiry]</f>
        <v>44095</v>
      </c>
      <c r="H93" s="48">
        <v>25</v>
      </c>
      <c r="I93" s="48">
        <f>SUMIFS(StockInData[Quantity],StockInData[Product ID],ProductMaster!$B93)-SUMIFS(StockOutData[Quantity],StockOutData[Product ID],ProductMaster!$B93)</f>
        <v>27</v>
      </c>
      <c r="J93" s="50">
        <f>SUMIFS(StockInData[Value],StockInData[Product ID],ProductMaster!$B93)-SUMIFS(StockOutData[Value],StockOutData[Product ID],ProductMaster!$B93)</f>
        <v>67.5</v>
      </c>
    </row>
    <row r="94" spans="1:10" x14ac:dyDescent="0.25">
      <c r="A94" s="48">
        <v>93</v>
      </c>
      <c r="B94" s="48" t="s">
        <v>205</v>
      </c>
      <c r="C94" s="49" t="s">
        <v>206</v>
      </c>
      <c r="D94" s="48" t="s">
        <v>869</v>
      </c>
      <c r="E94" s="48" t="s">
        <v>871</v>
      </c>
      <c r="F94" s="50">
        <v>10</v>
      </c>
      <c r="G94" s="52">
        <f>StockInData[Expiry]</f>
        <v>44097</v>
      </c>
      <c r="H94" s="48">
        <v>25</v>
      </c>
      <c r="I94" s="48">
        <f>SUMIFS(StockInData[Quantity],StockInData[Product ID],ProductMaster!$B94)-SUMIFS(StockOutData[Quantity],StockOutData[Product ID],ProductMaster!$B94)</f>
        <v>25</v>
      </c>
      <c r="J94" s="50">
        <f>SUMIFS(StockInData[Value],StockInData[Product ID],ProductMaster!$B94)-SUMIFS(StockOutData[Value],StockOutData[Product ID],ProductMaster!$B94)</f>
        <v>62.5</v>
      </c>
    </row>
    <row r="95" spans="1:10" x14ac:dyDescent="0.25">
      <c r="A95" s="48">
        <v>94</v>
      </c>
      <c r="B95" s="48" t="s">
        <v>207</v>
      </c>
      <c r="C95" s="49" t="s">
        <v>208</v>
      </c>
      <c r="D95" s="48" t="s">
        <v>869</v>
      </c>
      <c r="E95" s="48" t="s">
        <v>871</v>
      </c>
      <c r="F95" s="50">
        <v>10</v>
      </c>
      <c r="G95" s="52">
        <f>StockInData[Expiry]</f>
        <v>44099</v>
      </c>
      <c r="H95" s="48">
        <v>25</v>
      </c>
      <c r="I95" s="48">
        <f>SUMIFS(StockInData[Quantity],StockInData[Product ID],ProductMaster!$B95)-SUMIFS(StockOutData[Quantity],StockOutData[Product ID],ProductMaster!$B95)</f>
        <v>18</v>
      </c>
      <c r="J95" s="50">
        <f>SUMIFS(StockInData[Value],StockInData[Product ID],ProductMaster!$B95)-SUMIFS(StockOutData[Value],StockOutData[Product ID],ProductMaster!$B95)</f>
        <v>45</v>
      </c>
    </row>
    <row r="96" spans="1:10" x14ac:dyDescent="0.25">
      <c r="A96" s="48">
        <v>95</v>
      </c>
      <c r="B96" s="48" t="s">
        <v>209</v>
      </c>
      <c r="C96" s="49" t="s">
        <v>210</v>
      </c>
      <c r="D96" s="48" t="s">
        <v>869</v>
      </c>
      <c r="E96" s="48" t="s">
        <v>871</v>
      </c>
      <c r="F96" s="50">
        <v>10</v>
      </c>
      <c r="G96" s="52">
        <f>StockInData[Expiry]</f>
        <v>44101</v>
      </c>
      <c r="H96" s="48">
        <v>25</v>
      </c>
      <c r="I96" s="48">
        <f>SUMIFS(StockInData[Quantity],StockInData[Product ID],ProductMaster!$B96)-SUMIFS(StockOutData[Quantity],StockOutData[Product ID],ProductMaster!$B96)</f>
        <v>5</v>
      </c>
      <c r="J96" s="50">
        <f>SUMIFS(StockInData[Value],StockInData[Product ID],ProductMaster!$B96)-SUMIFS(StockOutData[Value],StockOutData[Product ID],ProductMaster!$B96)</f>
        <v>12.5</v>
      </c>
    </row>
    <row r="97" spans="1:10" x14ac:dyDescent="0.25">
      <c r="A97" s="48">
        <v>96</v>
      </c>
      <c r="B97" s="48" t="s">
        <v>211</v>
      </c>
      <c r="C97" s="49" t="s">
        <v>212</v>
      </c>
      <c r="D97" s="48" t="s">
        <v>869</v>
      </c>
      <c r="E97" s="48" t="s">
        <v>871</v>
      </c>
      <c r="F97" s="50">
        <v>10</v>
      </c>
      <c r="G97" s="52">
        <f>StockInData[Expiry]</f>
        <v>44103</v>
      </c>
      <c r="H97" s="48">
        <v>25</v>
      </c>
      <c r="I97" s="48">
        <f>SUMIFS(StockInData[Quantity],StockInData[Product ID],ProductMaster!$B97)-SUMIFS(StockOutData[Quantity],StockOutData[Product ID],ProductMaster!$B97)</f>
        <v>1</v>
      </c>
      <c r="J97" s="50">
        <f>SUMIFS(StockInData[Value],StockInData[Product ID],ProductMaster!$B97)-SUMIFS(StockOutData[Value],StockOutData[Product ID],ProductMaster!$B97)</f>
        <v>2.5</v>
      </c>
    </row>
    <row r="98" spans="1:10" x14ac:dyDescent="0.25">
      <c r="A98" s="48">
        <v>97</v>
      </c>
      <c r="B98" s="48" t="s">
        <v>213</v>
      </c>
      <c r="C98" s="49" t="s">
        <v>214</v>
      </c>
      <c r="D98" s="48" t="s">
        <v>869</v>
      </c>
      <c r="E98" s="48" t="s">
        <v>871</v>
      </c>
      <c r="F98" s="50">
        <v>10</v>
      </c>
      <c r="G98" s="52">
        <f>StockInData[Expiry]</f>
        <v>44105</v>
      </c>
      <c r="H98" s="48">
        <v>25</v>
      </c>
      <c r="I98" s="48">
        <f>SUMIFS(StockInData[Quantity],StockInData[Product ID],ProductMaster!$B98)-SUMIFS(StockOutData[Quantity],StockOutData[Product ID],ProductMaster!$B98)</f>
        <v>88</v>
      </c>
      <c r="J98" s="50">
        <f>SUMIFS(StockInData[Value],StockInData[Product ID],ProductMaster!$B98)-SUMIFS(StockOutData[Value],StockOutData[Product ID],ProductMaster!$B98)</f>
        <v>220</v>
      </c>
    </row>
    <row r="99" spans="1:10" x14ac:dyDescent="0.25">
      <c r="A99" s="48">
        <v>98</v>
      </c>
      <c r="B99" s="48" t="s">
        <v>215</v>
      </c>
      <c r="C99" s="49" t="s">
        <v>216</v>
      </c>
      <c r="D99" s="48" t="s">
        <v>869</v>
      </c>
      <c r="E99" s="48" t="s">
        <v>871</v>
      </c>
      <c r="F99" s="50">
        <v>10</v>
      </c>
      <c r="G99" s="52">
        <f>StockInData[Expiry]</f>
        <v>44107</v>
      </c>
      <c r="H99" s="48">
        <v>25</v>
      </c>
      <c r="I99" s="48">
        <f>SUMIFS(StockInData[Quantity],StockInData[Product ID],ProductMaster!$B99)-SUMIFS(StockOutData[Quantity],StockOutData[Product ID],ProductMaster!$B99)</f>
        <v>86</v>
      </c>
      <c r="J99" s="50">
        <f>SUMIFS(StockInData[Value],StockInData[Product ID],ProductMaster!$B99)-SUMIFS(StockOutData[Value],StockOutData[Product ID],ProductMaster!$B99)</f>
        <v>215</v>
      </c>
    </row>
    <row r="100" spans="1:10" x14ac:dyDescent="0.25">
      <c r="A100" s="48">
        <v>99</v>
      </c>
      <c r="B100" s="48" t="s">
        <v>217</v>
      </c>
      <c r="C100" s="49" t="s">
        <v>218</v>
      </c>
      <c r="D100" s="48" t="s">
        <v>869</v>
      </c>
      <c r="E100" s="48" t="s">
        <v>871</v>
      </c>
      <c r="F100" s="50">
        <v>10</v>
      </c>
      <c r="G100" s="52">
        <f>StockInData[Expiry]</f>
        <v>44109</v>
      </c>
      <c r="H100" s="48">
        <v>25</v>
      </c>
      <c r="I100" s="48">
        <f>SUMIFS(StockInData[Quantity],StockInData[Product ID],ProductMaster!$B100)-SUMIFS(StockOutData[Quantity],StockOutData[Product ID],ProductMaster!$B100)</f>
        <v>87</v>
      </c>
      <c r="J100" s="50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8">
        <v>100</v>
      </c>
      <c r="B101" s="48" t="s">
        <v>219</v>
      </c>
      <c r="C101" s="49" t="s">
        <v>220</v>
      </c>
      <c r="D101" s="48" t="s">
        <v>869</v>
      </c>
      <c r="E101" s="48" t="s">
        <v>871</v>
      </c>
      <c r="F101" s="50">
        <v>10</v>
      </c>
      <c r="G101" s="52">
        <f>StockInData[Expiry]</f>
        <v>44111</v>
      </c>
      <c r="H101" s="48">
        <v>25</v>
      </c>
      <c r="I101" s="48">
        <f>SUMIFS(StockInData[Quantity],StockInData[Product ID],ProductMaster!$B101)-SUMIFS(StockOutData[Quantity],StockOutData[Product ID],ProductMaster!$B101)</f>
        <v>95</v>
      </c>
      <c r="J101" s="50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8">
        <v>101</v>
      </c>
      <c r="B102" s="48" t="s">
        <v>221</v>
      </c>
      <c r="C102" s="49" t="s">
        <v>222</v>
      </c>
      <c r="D102" s="48" t="s">
        <v>869</v>
      </c>
      <c r="E102" s="48" t="s">
        <v>871</v>
      </c>
      <c r="F102" s="50">
        <v>10</v>
      </c>
      <c r="G102" s="52">
        <f>StockInData[Expiry]</f>
        <v>44113</v>
      </c>
      <c r="H102" s="48">
        <v>25</v>
      </c>
      <c r="I102" s="48">
        <f>SUMIFS(StockInData[Quantity],StockInData[Product ID],ProductMaster!$B102)-SUMIFS(StockOutData[Quantity],StockOutData[Product ID],ProductMaster!$B102)</f>
        <v>33</v>
      </c>
      <c r="J102" s="50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8">
        <v>102</v>
      </c>
      <c r="B103" s="48" t="s">
        <v>223</v>
      </c>
      <c r="C103" s="49" t="s">
        <v>224</v>
      </c>
      <c r="D103" s="48" t="s">
        <v>869</v>
      </c>
      <c r="E103" s="48" t="s">
        <v>871</v>
      </c>
      <c r="F103" s="50">
        <v>10</v>
      </c>
      <c r="G103" s="52">
        <f>StockInData[Expiry]</f>
        <v>44115</v>
      </c>
      <c r="H103" s="48">
        <v>25</v>
      </c>
      <c r="I103" s="48">
        <f>SUMIFS(StockInData[Quantity],StockInData[Product ID],ProductMaster!$B103)-SUMIFS(StockOutData[Quantity],StockOutData[Product ID],ProductMaster!$B103)</f>
        <v>15</v>
      </c>
      <c r="J103" s="50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8">
        <v>103</v>
      </c>
      <c r="B104" s="48" t="s">
        <v>225</v>
      </c>
      <c r="C104" s="49" t="s">
        <v>226</v>
      </c>
      <c r="D104" s="48" t="s">
        <v>869</v>
      </c>
      <c r="E104" s="48" t="s">
        <v>871</v>
      </c>
      <c r="F104" s="50">
        <v>10</v>
      </c>
      <c r="G104" s="52">
        <f>StockInData[Expiry]</f>
        <v>44117</v>
      </c>
      <c r="H104" s="48">
        <v>25</v>
      </c>
      <c r="I104" s="48">
        <f>SUMIFS(StockInData[Quantity],StockInData[Product ID],ProductMaster!$B104)-SUMIFS(StockOutData[Quantity],StockOutData[Product ID],ProductMaster!$B104)</f>
        <v>4</v>
      </c>
      <c r="J104" s="50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8">
        <v>104</v>
      </c>
      <c r="B105" s="48" t="s">
        <v>227</v>
      </c>
      <c r="C105" s="49" t="s">
        <v>228</v>
      </c>
      <c r="D105" s="48" t="s">
        <v>869</v>
      </c>
      <c r="E105" s="48" t="s">
        <v>871</v>
      </c>
      <c r="F105" s="50">
        <v>10</v>
      </c>
      <c r="G105" s="52">
        <f>StockInData[Expiry]</f>
        <v>44119</v>
      </c>
      <c r="H105" s="48">
        <v>25</v>
      </c>
      <c r="I105" s="48">
        <f>SUMIFS(StockInData[Quantity],StockInData[Product ID],ProductMaster!$B105)-SUMIFS(StockOutData[Quantity],StockOutData[Product ID],ProductMaster!$B105)</f>
        <v>8</v>
      </c>
      <c r="J105" s="50">
        <f>SUMIFS(StockInData[Value],StockInData[Product ID],ProductMaster!$B105)-SUMIFS(StockOutData[Value],StockOutData[Product ID],ProductMaster!$B105)</f>
        <v>20</v>
      </c>
    </row>
    <row r="106" spans="1:10" x14ac:dyDescent="0.25">
      <c r="A106" s="48">
        <v>105</v>
      </c>
      <c r="B106" s="48" t="s">
        <v>229</v>
      </c>
      <c r="C106" s="49" t="s">
        <v>230</v>
      </c>
      <c r="D106" s="48" t="s">
        <v>869</v>
      </c>
      <c r="E106" s="48" t="s">
        <v>871</v>
      </c>
      <c r="F106" s="50">
        <v>10</v>
      </c>
      <c r="G106" s="52">
        <f>StockInData[Expiry]</f>
        <v>44121</v>
      </c>
      <c r="H106" s="48">
        <v>25</v>
      </c>
      <c r="I106" s="48">
        <f>SUMIFS(StockInData[Quantity],StockInData[Product ID],ProductMaster!$B106)-SUMIFS(StockOutData[Quantity],StockOutData[Product ID],ProductMaster!$B106)</f>
        <v>9</v>
      </c>
      <c r="J106" s="50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8">
        <v>106</v>
      </c>
      <c r="B107" s="48" t="s">
        <v>231</v>
      </c>
      <c r="C107" s="49" t="s">
        <v>232</v>
      </c>
      <c r="D107" s="48" t="s">
        <v>869</v>
      </c>
      <c r="E107" s="48" t="s">
        <v>871</v>
      </c>
      <c r="F107" s="50">
        <v>10</v>
      </c>
      <c r="G107" s="52">
        <f>StockInData[Expiry]</f>
        <v>44123</v>
      </c>
      <c r="H107" s="48">
        <v>25</v>
      </c>
      <c r="I107" s="48">
        <f>SUMIFS(StockInData[Quantity],StockInData[Product ID],ProductMaster!$B107)-SUMIFS(StockOutData[Quantity],StockOutData[Product ID],ProductMaster!$B107)</f>
        <v>7</v>
      </c>
      <c r="J107" s="50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8">
        <v>107</v>
      </c>
      <c r="B108" s="48" t="s">
        <v>233</v>
      </c>
      <c r="C108" s="49" t="s">
        <v>234</v>
      </c>
      <c r="D108" s="48" t="s">
        <v>869</v>
      </c>
      <c r="E108" s="48" t="s">
        <v>871</v>
      </c>
      <c r="F108" s="50">
        <v>10</v>
      </c>
      <c r="G108" s="52">
        <f>StockInData[Expiry]</f>
        <v>44125</v>
      </c>
      <c r="H108" s="48">
        <v>25</v>
      </c>
      <c r="I108" s="48">
        <f>SUMIFS(StockInData[Quantity],StockInData[Product ID],ProductMaster!$B108)-SUMIFS(StockOutData[Quantity],StockOutData[Product ID],ProductMaster!$B108)</f>
        <v>51</v>
      </c>
      <c r="J108" s="50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8">
        <v>108</v>
      </c>
      <c r="B109" s="48" t="s">
        <v>235</v>
      </c>
      <c r="C109" s="49" t="s">
        <v>236</v>
      </c>
      <c r="D109" s="48" t="s">
        <v>869</v>
      </c>
      <c r="E109" s="48" t="s">
        <v>871</v>
      </c>
      <c r="F109" s="50">
        <v>10</v>
      </c>
      <c r="G109" s="52">
        <f>StockInData[Expiry]</f>
        <v>44127</v>
      </c>
      <c r="H109" s="48">
        <v>25</v>
      </c>
      <c r="I109" s="48">
        <f>SUMIFS(StockInData[Quantity],StockInData[Product ID],ProductMaster!$B109)-SUMIFS(StockOutData[Quantity],StockOutData[Product ID],ProductMaster!$B109)</f>
        <v>59</v>
      </c>
      <c r="J109" s="50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8">
        <v>109</v>
      </c>
      <c r="B110" s="48" t="s">
        <v>237</v>
      </c>
      <c r="C110" s="49" t="s">
        <v>238</v>
      </c>
      <c r="D110" s="48" t="s">
        <v>869</v>
      </c>
      <c r="E110" s="48" t="s">
        <v>871</v>
      </c>
      <c r="F110" s="50">
        <v>10</v>
      </c>
      <c r="G110" s="52">
        <f>StockInData[Expiry]</f>
        <v>44129</v>
      </c>
      <c r="H110" s="48">
        <v>25</v>
      </c>
      <c r="I110" s="48">
        <f>SUMIFS(StockInData[Quantity],StockInData[Product ID],ProductMaster!$B110)-SUMIFS(StockOutData[Quantity],StockOutData[Product ID],ProductMaster!$B110)</f>
        <v>66</v>
      </c>
      <c r="J110" s="50">
        <f>SUMIFS(StockInData[Value],StockInData[Product ID],ProductMaster!$B110)-SUMIFS(StockOutData[Value],StockOutData[Product ID],ProductMaster!$B110)</f>
        <v>165</v>
      </c>
    </row>
    <row r="111" spans="1:10" x14ac:dyDescent="0.25">
      <c r="A111" s="48">
        <v>110</v>
      </c>
      <c r="B111" s="48" t="s">
        <v>239</v>
      </c>
      <c r="C111" s="49" t="s">
        <v>240</v>
      </c>
      <c r="D111" s="48" t="s">
        <v>869</v>
      </c>
      <c r="E111" s="48" t="s">
        <v>871</v>
      </c>
      <c r="F111" s="50">
        <v>10</v>
      </c>
      <c r="G111" s="52">
        <f>StockInData[Expiry]</f>
        <v>44131</v>
      </c>
      <c r="H111" s="48">
        <v>25</v>
      </c>
      <c r="I111" s="48">
        <f>SUMIFS(StockInData[Quantity],StockInData[Product ID],ProductMaster!$B111)-SUMIFS(StockOutData[Quantity],StockOutData[Product ID],ProductMaster!$B111)</f>
        <v>87</v>
      </c>
      <c r="J111" s="50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8">
        <v>111</v>
      </c>
      <c r="B112" s="48" t="s">
        <v>241</v>
      </c>
      <c r="C112" s="49" t="s">
        <v>242</v>
      </c>
      <c r="D112" s="48" t="s">
        <v>869</v>
      </c>
      <c r="E112" s="48" t="s">
        <v>871</v>
      </c>
      <c r="F112" s="50">
        <v>10</v>
      </c>
      <c r="G112" s="52">
        <f>StockInData[Expiry]</f>
        <v>44133</v>
      </c>
      <c r="H112" s="48">
        <v>25</v>
      </c>
      <c r="I112" s="48">
        <f>SUMIFS(StockInData[Quantity],StockInData[Product ID],ProductMaster!$B112)-SUMIFS(StockOutData[Quantity],StockOutData[Product ID],ProductMaster!$B112)</f>
        <v>87</v>
      </c>
      <c r="J112" s="50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8">
        <v>112</v>
      </c>
      <c r="B113" s="48" t="s">
        <v>243</v>
      </c>
      <c r="C113" s="49" t="s">
        <v>244</v>
      </c>
      <c r="D113" s="48" t="s">
        <v>869</v>
      </c>
      <c r="E113" s="48" t="s">
        <v>871</v>
      </c>
      <c r="F113" s="50">
        <v>10</v>
      </c>
      <c r="G113" s="52">
        <f>StockInData[Expiry]</f>
        <v>44135</v>
      </c>
      <c r="H113" s="48">
        <v>25</v>
      </c>
      <c r="I113" s="48">
        <f>SUMIFS(StockInData[Quantity],StockInData[Product ID],ProductMaster!$B113)-SUMIFS(StockOutData[Quantity],StockOutData[Product ID],ProductMaster!$B113)</f>
        <v>47</v>
      </c>
      <c r="J113" s="50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8">
        <v>113</v>
      </c>
      <c r="B114" s="48" t="s">
        <v>245</v>
      </c>
      <c r="C114" s="49" t="s">
        <v>246</v>
      </c>
      <c r="D114" s="48" t="s">
        <v>869</v>
      </c>
      <c r="E114" s="48" t="s">
        <v>871</v>
      </c>
      <c r="F114" s="50">
        <v>10</v>
      </c>
      <c r="G114" s="52">
        <f>StockInData[Expiry]</f>
        <v>44137</v>
      </c>
      <c r="H114" s="48">
        <v>25</v>
      </c>
      <c r="I114" s="48">
        <f>SUMIFS(StockInData[Quantity],StockInData[Product ID],ProductMaster!$B114)-SUMIFS(StockOutData[Quantity],StockOutData[Product ID],ProductMaster!$B114)</f>
        <v>35</v>
      </c>
      <c r="J114" s="50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8">
        <v>114</v>
      </c>
      <c r="B115" s="48" t="s">
        <v>247</v>
      </c>
      <c r="C115" s="49" t="s">
        <v>248</v>
      </c>
      <c r="D115" s="48" t="s">
        <v>869</v>
      </c>
      <c r="E115" s="48" t="s">
        <v>871</v>
      </c>
      <c r="F115" s="50">
        <v>10</v>
      </c>
      <c r="G115" s="52">
        <f>StockInData[Expiry]</f>
        <v>44139</v>
      </c>
      <c r="H115" s="48">
        <v>25</v>
      </c>
      <c r="I115" s="48">
        <f>SUMIFS(StockInData[Quantity],StockInData[Product ID],ProductMaster!$B115)-SUMIFS(StockOutData[Quantity],StockOutData[Product ID],ProductMaster!$B115)</f>
        <v>23</v>
      </c>
      <c r="J115" s="50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8">
        <v>115</v>
      </c>
      <c r="B116" s="48" t="s">
        <v>249</v>
      </c>
      <c r="C116" s="49" t="s">
        <v>250</v>
      </c>
      <c r="D116" s="48" t="s">
        <v>869</v>
      </c>
      <c r="E116" s="48" t="s">
        <v>871</v>
      </c>
      <c r="F116" s="50">
        <v>10</v>
      </c>
      <c r="G116" s="52">
        <f>StockInData[Expiry]</f>
        <v>44141</v>
      </c>
      <c r="H116" s="48">
        <v>25</v>
      </c>
      <c r="I116" s="48">
        <f>SUMIFS(StockInData[Quantity],StockInData[Product ID],ProductMaster!$B116)-SUMIFS(StockOutData[Quantity],StockOutData[Product ID],ProductMaster!$B116)</f>
        <v>10</v>
      </c>
      <c r="J116" s="50">
        <f>SUMIFS(StockInData[Value],StockInData[Product ID],ProductMaster!$B116)-SUMIFS(StockOutData[Value],StockOutData[Product ID],ProductMaster!$B116)</f>
        <v>25</v>
      </c>
    </row>
    <row r="117" spans="1:10" x14ac:dyDescent="0.25">
      <c r="A117" s="48">
        <v>116</v>
      </c>
      <c r="B117" s="48" t="s">
        <v>251</v>
      </c>
      <c r="C117" s="49" t="s">
        <v>252</v>
      </c>
      <c r="D117" s="48" t="s">
        <v>869</v>
      </c>
      <c r="E117" s="48" t="s">
        <v>871</v>
      </c>
      <c r="F117" s="50">
        <v>10</v>
      </c>
      <c r="G117" s="52">
        <f>StockInData[Expiry]</f>
        <v>44143</v>
      </c>
      <c r="H117" s="48">
        <v>25</v>
      </c>
      <c r="I117" s="48">
        <f>SUMIFS(StockInData[Quantity],StockInData[Product ID],ProductMaster!$B117)-SUMIFS(StockOutData[Quantity],StockOutData[Product ID],ProductMaster!$B117)</f>
        <v>2</v>
      </c>
      <c r="J117" s="50">
        <f>SUMIFS(StockInData[Value],StockInData[Product ID],ProductMaster!$B117)-SUMIFS(StockOutData[Value],StockOutData[Product ID],ProductMaster!$B117)</f>
        <v>5</v>
      </c>
    </row>
    <row r="118" spans="1:10" x14ac:dyDescent="0.25">
      <c r="A118" s="48">
        <v>117</v>
      </c>
      <c r="B118" s="48" t="s">
        <v>253</v>
      </c>
      <c r="C118" s="49" t="s">
        <v>254</v>
      </c>
      <c r="D118" s="48" t="s">
        <v>869</v>
      </c>
      <c r="E118" s="48" t="s">
        <v>871</v>
      </c>
      <c r="F118" s="50">
        <v>10</v>
      </c>
      <c r="G118" s="52">
        <f>StockInData[Expiry]</f>
        <v>44145</v>
      </c>
      <c r="H118" s="48">
        <v>25</v>
      </c>
      <c r="I118" s="48">
        <f>SUMIFS(StockInData[Quantity],StockInData[Product ID],ProductMaster!$B118)-SUMIFS(StockOutData[Quantity],StockOutData[Product ID],ProductMaster!$B118)</f>
        <v>7</v>
      </c>
      <c r="J118" s="50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8">
        <v>118</v>
      </c>
      <c r="B119" s="48" t="s">
        <v>255</v>
      </c>
      <c r="C119" s="49" t="s">
        <v>256</v>
      </c>
      <c r="D119" s="48" t="s">
        <v>869</v>
      </c>
      <c r="E119" s="48" t="s">
        <v>871</v>
      </c>
      <c r="F119" s="50">
        <v>10</v>
      </c>
      <c r="G119" s="52">
        <f>StockInData[Expiry]</f>
        <v>44147</v>
      </c>
      <c r="H119" s="48">
        <v>25</v>
      </c>
      <c r="I119" s="48">
        <f>SUMIFS(StockInData[Quantity],StockInData[Product ID],ProductMaster!$B119)-SUMIFS(StockOutData[Quantity],StockOutData[Product ID],ProductMaster!$B119)</f>
        <v>9</v>
      </c>
      <c r="J119" s="50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8">
        <v>119</v>
      </c>
      <c r="B120" s="48" t="s">
        <v>257</v>
      </c>
      <c r="C120" s="49" t="s">
        <v>258</v>
      </c>
      <c r="D120" s="48" t="s">
        <v>869</v>
      </c>
      <c r="E120" s="48" t="s">
        <v>871</v>
      </c>
      <c r="F120" s="50">
        <v>10</v>
      </c>
      <c r="G120" s="52">
        <f>StockInData[Expiry]</f>
        <v>44149</v>
      </c>
      <c r="H120" s="48">
        <v>25</v>
      </c>
      <c r="I120" s="48">
        <f>SUMIFS(StockInData[Quantity],StockInData[Product ID],ProductMaster!$B120)-SUMIFS(StockOutData[Quantity],StockOutData[Product ID],ProductMaster!$B120)</f>
        <v>52</v>
      </c>
      <c r="J120" s="50">
        <f>SUMIFS(StockInData[Value],StockInData[Product ID],ProductMaster!$B120)-SUMIFS(StockOutData[Value],StockOutData[Product ID],ProductMaster!$B120)</f>
        <v>130</v>
      </c>
    </row>
    <row r="121" spans="1:10" x14ac:dyDescent="0.25">
      <c r="A121" s="48">
        <v>120</v>
      </c>
      <c r="B121" s="48" t="s">
        <v>259</v>
      </c>
      <c r="C121" s="49" t="s">
        <v>260</v>
      </c>
      <c r="D121" s="48" t="s">
        <v>869</v>
      </c>
      <c r="E121" s="48" t="s">
        <v>871</v>
      </c>
      <c r="F121" s="50">
        <v>10</v>
      </c>
      <c r="G121" s="52">
        <f>StockInData[Expiry]</f>
        <v>44151</v>
      </c>
      <c r="H121" s="48">
        <v>25</v>
      </c>
      <c r="I121" s="48">
        <f>SUMIFS(StockInData[Quantity],StockInData[Product ID],ProductMaster!$B121)-SUMIFS(StockOutData[Quantity],StockOutData[Product ID],ProductMaster!$B121)</f>
        <v>69</v>
      </c>
      <c r="J121" s="50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8">
        <v>121</v>
      </c>
      <c r="B122" s="48" t="s">
        <v>261</v>
      </c>
      <c r="C122" s="49" t="s">
        <v>262</v>
      </c>
      <c r="D122" s="48" t="s">
        <v>869</v>
      </c>
      <c r="E122" s="48" t="s">
        <v>871</v>
      </c>
      <c r="F122" s="50">
        <v>10</v>
      </c>
      <c r="G122" s="52">
        <f>StockInData[Expiry]</f>
        <v>44153</v>
      </c>
      <c r="H122" s="48">
        <v>25</v>
      </c>
      <c r="I122" s="48">
        <f>SUMIFS(StockInData[Quantity],StockInData[Product ID],ProductMaster!$B122)-SUMIFS(StockOutData[Quantity],StockOutData[Product ID],ProductMaster!$B122)</f>
        <v>77</v>
      </c>
      <c r="J122" s="50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8">
        <v>122</v>
      </c>
      <c r="B123" s="48" t="s">
        <v>263</v>
      </c>
      <c r="C123" s="49" t="s">
        <v>264</v>
      </c>
      <c r="D123" s="48" t="s">
        <v>869</v>
      </c>
      <c r="E123" s="48" t="s">
        <v>871</v>
      </c>
      <c r="F123" s="50">
        <v>10</v>
      </c>
      <c r="G123" s="52">
        <f>StockInData[Expiry]</f>
        <v>44155</v>
      </c>
      <c r="H123" s="48">
        <v>25</v>
      </c>
      <c r="I123" s="48">
        <f>SUMIFS(StockInData[Quantity],StockInData[Product ID],ProductMaster!$B123)-SUMIFS(StockOutData[Quantity],StockOutData[Product ID],ProductMaster!$B123)</f>
        <v>84</v>
      </c>
      <c r="J123" s="50">
        <f>SUMIFS(StockInData[Value],StockInData[Product ID],ProductMaster!$B123)-SUMIFS(StockOutData[Value],StockOutData[Product ID],ProductMaster!$B123)</f>
        <v>210</v>
      </c>
    </row>
    <row r="124" spans="1:10" x14ac:dyDescent="0.25">
      <c r="A124" s="48">
        <v>123</v>
      </c>
      <c r="B124" s="48" t="s">
        <v>265</v>
      </c>
      <c r="C124" s="49" t="s">
        <v>266</v>
      </c>
      <c r="D124" s="48" t="s">
        <v>869</v>
      </c>
      <c r="E124" s="48" t="s">
        <v>871</v>
      </c>
      <c r="F124" s="50">
        <v>10</v>
      </c>
      <c r="G124" s="52">
        <f>StockInData[Expiry]</f>
        <v>44157</v>
      </c>
      <c r="H124" s="48">
        <v>25</v>
      </c>
      <c r="I124" s="48">
        <f>SUMIFS(StockInData[Quantity],StockInData[Product ID],ProductMaster!$B124)-SUMIFS(StockOutData[Quantity],StockOutData[Product ID],ProductMaster!$B124)</f>
        <v>83</v>
      </c>
      <c r="J124" s="50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8">
        <v>124</v>
      </c>
      <c r="B125" s="48" t="s">
        <v>267</v>
      </c>
      <c r="C125" s="49" t="s">
        <v>268</v>
      </c>
      <c r="D125" s="48" t="s">
        <v>869</v>
      </c>
      <c r="E125" s="48" t="s">
        <v>871</v>
      </c>
      <c r="F125" s="50">
        <v>10</v>
      </c>
      <c r="G125" s="52">
        <f>StockInData[Expiry]</f>
        <v>44159</v>
      </c>
      <c r="H125" s="48">
        <v>25</v>
      </c>
      <c r="I125" s="48">
        <f>SUMIFS(StockInData[Quantity],StockInData[Product ID],ProductMaster!$B125)-SUMIFS(StockOutData[Quantity],StockOutData[Product ID],ProductMaster!$B125)</f>
        <v>48</v>
      </c>
      <c r="J125" s="50">
        <f>SUMIFS(StockInData[Value],StockInData[Product ID],ProductMaster!$B125)-SUMIFS(StockOutData[Value],StockOutData[Product ID],ProductMaster!$B125)</f>
        <v>120</v>
      </c>
    </row>
    <row r="126" spans="1:10" x14ac:dyDescent="0.25">
      <c r="A126" s="48">
        <v>125</v>
      </c>
      <c r="B126" s="48" t="s">
        <v>269</v>
      </c>
      <c r="C126" s="49" t="s">
        <v>270</v>
      </c>
      <c r="D126" s="48" t="s">
        <v>869</v>
      </c>
      <c r="E126" s="48" t="s">
        <v>871</v>
      </c>
      <c r="F126" s="50">
        <v>10</v>
      </c>
      <c r="G126" s="52">
        <f>StockInData[Expiry]</f>
        <v>44161</v>
      </c>
      <c r="H126" s="48">
        <v>25</v>
      </c>
      <c r="I126" s="48">
        <f>SUMIFS(StockInData[Quantity],StockInData[Product ID],ProductMaster!$B126)-SUMIFS(StockOutData[Quantity],StockOutData[Product ID],ProductMaster!$B126)</f>
        <v>0</v>
      </c>
      <c r="J126" s="50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8">
        <v>126</v>
      </c>
      <c r="B127" s="48" t="s">
        <v>271</v>
      </c>
      <c r="C127" s="49" t="s">
        <v>272</v>
      </c>
      <c r="D127" s="48" t="s">
        <v>869</v>
      </c>
      <c r="E127" s="48" t="s">
        <v>871</v>
      </c>
      <c r="F127" s="50">
        <v>10</v>
      </c>
      <c r="G127" s="52">
        <f>StockInData[Expiry]</f>
        <v>44163</v>
      </c>
      <c r="H127" s="48">
        <v>25</v>
      </c>
      <c r="I127" s="48">
        <f>SUMIFS(StockInData[Quantity],StockInData[Product ID],ProductMaster!$B127)-SUMIFS(StockOutData[Quantity],StockOutData[Product ID],ProductMaster!$B127)</f>
        <v>20</v>
      </c>
      <c r="J127" s="50">
        <f>SUMIFS(StockInData[Value],StockInData[Product ID],ProductMaster!$B127)-SUMIFS(StockOutData[Value],StockOutData[Product ID],ProductMaster!$B127)</f>
        <v>50</v>
      </c>
    </row>
    <row r="128" spans="1:10" x14ac:dyDescent="0.25">
      <c r="A128" s="48">
        <v>127</v>
      </c>
      <c r="B128" s="48" t="s">
        <v>273</v>
      </c>
      <c r="C128" s="49" t="s">
        <v>274</v>
      </c>
      <c r="D128" s="48" t="s">
        <v>869</v>
      </c>
      <c r="E128" s="48" t="s">
        <v>871</v>
      </c>
      <c r="F128" s="50">
        <v>10</v>
      </c>
      <c r="G128" s="52">
        <f>StockInData[Expiry]</f>
        <v>44165</v>
      </c>
      <c r="H128" s="48">
        <v>25</v>
      </c>
      <c r="I128" s="48">
        <f>SUMIFS(StockInData[Quantity],StockInData[Product ID],ProductMaster!$B128)-SUMIFS(StockOutData[Quantity],StockOutData[Product ID],ProductMaster!$B128)</f>
        <v>15</v>
      </c>
      <c r="J128" s="50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8">
        <v>128</v>
      </c>
      <c r="B129" s="48" t="s">
        <v>275</v>
      </c>
      <c r="C129" s="49" t="s">
        <v>276</v>
      </c>
      <c r="D129" s="48" t="s">
        <v>869</v>
      </c>
      <c r="E129" s="48" t="s">
        <v>871</v>
      </c>
      <c r="F129" s="50">
        <v>10</v>
      </c>
      <c r="G129" s="52">
        <f>StockInData[Expiry]</f>
        <v>44167</v>
      </c>
      <c r="H129" s="48">
        <v>25</v>
      </c>
      <c r="I129" s="48">
        <f>SUMIFS(StockInData[Quantity],StockInData[Product ID],ProductMaster!$B129)-SUMIFS(StockOutData[Quantity],StockOutData[Product ID],ProductMaster!$B129)</f>
        <v>10</v>
      </c>
      <c r="J129" s="50">
        <f>SUMIFS(StockInData[Value],StockInData[Product ID],ProductMaster!$B129)-SUMIFS(StockOutData[Value],StockOutData[Product ID],ProductMaster!$B129)</f>
        <v>25</v>
      </c>
    </row>
    <row r="130" spans="1:10" x14ac:dyDescent="0.25">
      <c r="A130" s="48">
        <v>129</v>
      </c>
      <c r="B130" s="48" t="s">
        <v>277</v>
      </c>
      <c r="C130" s="49" t="s">
        <v>278</v>
      </c>
      <c r="D130" s="48" t="s">
        <v>869</v>
      </c>
      <c r="E130" s="48" t="s">
        <v>871</v>
      </c>
      <c r="F130" s="50">
        <v>10</v>
      </c>
      <c r="G130" s="52">
        <f>StockInData[Expiry]</f>
        <v>44169</v>
      </c>
      <c r="H130" s="48">
        <v>25</v>
      </c>
      <c r="I130" s="48">
        <f>SUMIFS(StockInData[Quantity],StockInData[Product ID],ProductMaster!$B130)-SUMIFS(StockOutData[Quantity],StockOutData[Product ID],ProductMaster!$B130)</f>
        <v>9</v>
      </c>
      <c r="J130" s="50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8">
        <v>130</v>
      </c>
      <c r="B131" s="48" t="s">
        <v>279</v>
      </c>
      <c r="C131" s="49" t="s">
        <v>280</v>
      </c>
      <c r="D131" s="48" t="s">
        <v>869</v>
      </c>
      <c r="E131" s="48" t="s">
        <v>871</v>
      </c>
      <c r="F131" s="50">
        <v>10</v>
      </c>
      <c r="G131" s="52">
        <f>StockInData[Expiry]</f>
        <v>44171</v>
      </c>
      <c r="H131" s="48">
        <v>25</v>
      </c>
      <c r="I131" s="48">
        <f>SUMIFS(StockInData[Quantity],StockInData[Product ID],ProductMaster!$B131)-SUMIFS(StockOutData[Quantity],StockOutData[Product ID],ProductMaster!$B131)</f>
        <v>13</v>
      </c>
      <c r="J131" s="50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8">
        <v>131</v>
      </c>
      <c r="B132" s="48" t="s">
        <v>281</v>
      </c>
      <c r="C132" s="49" t="s">
        <v>282</v>
      </c>
      <c r="D132" s="48" t="s">
        <v>869</v>
      </c>
      <c r="E132" s="48" t="s">
        <v>871</v>
      </c>
      <c r="F132" s="50">
        <v>10</v>
      </c>
      <c r="G132" s="52">
        <f>StockInData[Expiry]</f>
        <v>44173</v>
      </c>
      <c r="H132" s="48">
        <v>25</v>
      </c>
      <c r="I132" s="48">
        <f>SUMIFS(StockInData[Quantity],StockInData[Product ID],ProductMaster!$B132)-SUMIFS(StockOutData[Quantity],StockOutData[Product ID],ProductMaster!$B132)</f>
        <v>55</v>
      </c>
      <c r="J132" s="50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8">
        <v>132</v>
      </c>
      <c r="B133" s="48" t="s">
        <v>283</v>
      </c>
      <c r="C133" s="49" t="s">
        <v>284</v>
      </c>
      <c r="D133" s="48" t="s">
        <v>869</v>
      </c>
      <c r="E133" s="48" t="s">
        <v>871</v>
      </c>
      <c r="F133" s="50">
        <v>10</v>
      </c>
      <c r="G133" s="52">
        <f>StockInData[Expiry]</f>
        <v>44175</v>
      </c>
      <c r="H133" s="48">
        <v>25</v>
      </c>
      <c r="I133" s="48">
        <f>SUMIFS(StockInData[Quantity],StockInData[Product ID],ProductMaster!$B133)-SUMIFS(StockOutData[Quantity],StockOutData[Product ID],ProductMaster!$B133)</f>
        <v>64</v>
      </c>
      <c r="J133" s="50">
        <f>SUMIFS(StockInData[Value],StockInData[Product ID],ProductMaster!$B133)-SUMIFS(StockOutData[Value],StockOutData[Product ID],ProductMaster!$B133)</f>
        <v>160</v>
      </c>
    </row>
    <row r="134" spans="1:10" x14ac:dyDescent="0.25">
      <c r="A134" s="48">
        <v>133</v>
      </c>
      <c r="B134" s="48" t="s">
        <v>285</v>
      </c>
      <c r="C134" s="49" t="s">
        <v>286</v>
      </c>
      <c r="D134" s="48" t="s">
        <v>869</v>
      </c>
      <c r="E134" s="48" t="s">
        <v>871</v>
      </c>
      <c r="F134" s="50">
        <v>10</v>
      </c>
      <c r="G134" s="52">
        <f>StockInData[Expiry]</f>
        <v>44177</v>
      </c>
      <c r="H134" s="48">
        <v>25</v>
      </c>
      <c r="I134" s="48">
        <f>SUMIFS(StockInData[Quantity],StockInData[Product ID],ProductMaster!$B134)-SUMIFS(StockOutData[Quantity],StockOutData[Product ID],ProductMaster!$B134)</f>
        <v>74</v>
      </c>
      <c r="J134" s="50">
        <f>SUMIFS(StockInData[Value],StockInData[Product ID],ProductMaster!$B134)-SUMIFS(StockOutData[Value],StockOutData[Product ID],ProductMaster!$B134)</f>
        <v>185</v>
      </c>
    </row>
    <row r="135" spans="1:10" x14ac:dyDescent="0.25">
      <c r="A135" s="48">
        <v>134</v>
      </c>
      <c r="B135" s="48" t="s">
        <v>287</v>
      </c>
      <c r="C135" s="49" t="s">
        <v>288</v>
      </c>
      <c r="D135" s="48" t="s">
        <v>869</v>
      </c>
      <c r="E135" s="48" t="s">
        <v>871</v>
      </c>
      <c r="F135" s="50">
        <v>10</v>
      </c>
      <c r="G135" s="52">
        <f>StockInData[Expiry]</f>
        <v>44179</v>
      </c>
      <c r="H135" s="48">
        <v>25</v>
      </c>
      <c r="I135" s="48">
        <f>SUMIFS(StockInData[Quantity],StockInData[Product ID],ProductMaster!$B135)-SUMIFS(StockOutData[Quantity],StockOutData[Product ID],ProductMaster!$B135)</f>
        <v>89</v>
      </c>
      <c r="J135" s="50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8">
        <v>135</v>
      </c>
      <c r="B136" s="48" t="s">
        <v>289</v>
      </c>
      <c r="C136" s="49" t="s">
        <v>290</v>
      </c>
      <c r="D136" s="48" t="s">
        <v>869</v>
      </c>
      <c r="E136" s="48" t="s">
        <v>871</v>
      </c>
      <c r="F136" s="50">
        <v>10</v>
      </c>
      <c r="G136" s="52">
        <f>StockInData[Expiry]</f>
        <v>44181</v>
      </c>
      <c r="H136" s="48">
        <v>25</v>
      </c>
      <c r="I136" s="48">
        <f>SUMIFS(StockInData[Quantity],StockInData[Product ID],ProductMaster!$B136)-SUMIFS(StockOutData[Quantity],StockOutData[Product ID],ProductMaster!$B136)</f>
        <v>91</v>
      </c>
      <c r="J136" s="50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8">
        <v>136</v>
      </c>
      <c r="B137" s="48" t="s">
        <v>291</v>
      </c>
      <c r="C137" s="49" t="s">
        <v>292</v>
      </c>
      <c r="D137" s="48" t="s">
        <v>869</v>
      </c>
      <c r="E137" s="48" t="s">
        <v>871</v>
      </c>
      <c r="F137" s="50">
        <v>10</v>
      </c>
      <c r="G137" s="52">
        <f>StockInData[Expiry]</f>
        <v>44183</v>
      </c>
      <c r="H137" s="48">
        <v>25</v>
      </c>
      <c r="I137" s="48">
        <f>SUMIFS(StockInData[Quantity],StockInData[Product ID],ProductMaster!$B137)-SUMIFS(StockOutData[Quantity],StockOutData[Product ID],ProductMaster!$B137)</f>
        <v>90</v>
      </c>
      <c r="J137" s="50">
        <f>SUMIFS(StockInData[Value],StockInData[Product ID],ProductMaster!$B137)-SUMIFS(StockOutData[Value],StockOutData[Product ID],ProductMaster!$B137)</f>
        <v>225</v>
      </c>
    </row>
    <row r="138" spans="1:10" x14ac:dyDescent="0.25">
      <c r="A138" s="48">
        <v>137</v>
      </c>
      <c r="B138" s="48" t="s">
        <v>293</v>
      </c>
      <c r="C138" s="49" t="s">
        <v>294</v>
      </c>
      <c r="D138" s="48" t="s">
        <v>869</v>
      </c>
      <c r="E138" s="48" t="s">
        <v>871</v>
      </c>
      <c r="F138" s="50">
        <v>10</v>
      </c>
      <c r="G138" s="52">
        <f>StockInData[Expiry]</f>
        <v>44185</v>
      </c>
      <c r="H138" s="48">
        <v>25</v>
      </c>
      <c r="I138" s="48">
        <f>SUMIFS(StockInData[Quantity],StockInData[Product ID],ProductMaster!$B138)-SUMIFS(StockOutData[Quantity],StockOutData[Product ID],ProductMaster!$B138)</f>
        <v>50</v>
      </c>
      <c r="J138" s="50">
        <f>SUMIFS(StockInData[Value],StockInData[Product ID],ProductMaster!$B138)-SUMIFS(StockOutData[Value],StockOutData[Product ID],ProductMaster!$B138)</f>
        <v>125</v>
      </c>
    </row>
    <row r="139" spans="1:10" x14ac:dyDescent="0.25">
      <c r="A139" s="48">
        <v>138</v>
      </c>
      <c r="B139" s="48" t="s">
        <v>295</v>
      </c>
      <c r="C139" s="49" t="s">
        <v>296</v>
      </c>
      <c r="D139" s="48" t="s">
        <v>869</v>
      </c>
      <c r="E139" s="48" t="s">
        <v>871</v>
      </c>
      <c r="F139" s="50">
        <v>10</v>
      </c>
      <c r="G139" s="52">
        <f>StockInData[Expiry]</f>
        <v>44187</v>
      </c>
      <c r="H139" s="48">
        <v>25</v>
      </c>
      <c r="I139" s="48">
        <f>SUMIFS(StockInData[Quantity],StockInData[Product ID],ProductMaster!$B139)-SUMIFS(StockOutData[Quantity],StockOutData[Product ID],ProductMaster!$B139)</f>
        <v>30</v>
      </c>
      <c r="J139" s="50">
        <f>SUMIFS(StockInData[Value],StockInData[Product ID],ProductMaster!$B139)-SUMIFS(StockOutData[Value],StockOutData[Product ID],ProductMaster!$B139)</f>
        <v>75</v>
      </c>
    </row>
    <row r="140" spans="1:10" x14ac:dyDescent="0.25">
      <c r="A140" s="48">
        <v>139</v>
      </c>
      <c r="B140" s="48" t="s">
        <v>297</v>
      </c>
      <c r="C140" s="49" t="s">
        <v>298</v>
      </c>
      <c r="D140" s="48" t="s">
        <v>869</v>
      </c>
      <c r="E140" s="48" t="s">
        <v>871</v>
      </c>
      <c r="F140" s="50">
        <v>10</v>
      </c>
      <c r="G140" s="52">
        <f>StockInData[Expiry]</f>
        <v>44189</v>
      </c>
      <c r="H140" s="48">
        <v>25</v>
      </c>
      <c r="I140" s="48">
        <f>SUMIFS(StockInData[Quantity],StockInData[Product ID],ProductMaster!$B140)-SUMIFS(StockOutData[Quantity],StockOutData[Product ID],ProductMaster!$B140)</f>
        <v>23</v>
      </c>
      <c r="J140" s="50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8">
        <v>140</v>
      </c>
      <c r="B141" s="48" t="s">
        <v>299</v>
      </c>
      <c r="C141" s="49" t="s">
        <v>300</v>
      </c>
      <c r="D141" s="48" t="s">
        <v>869</v>
      </c>
      <c r="E141" s="48" t="s">
        <v>871</v>
      </c>
      <c r="F141" s="50">
        <v>10</v>
      </c>
      <c r="G141" s="52">
        <f>StockInData[Expiry]</f>
        <v>44191</v>
      </c>
      <c r="H141" s="48">
        <v>25</v>
      </c>
      <c r="I141" s="48">
        <f>SUMIFS(StockInData[Quantity],StockInData[Product ID],ProductMaster!$B141)-SUMIFS(StockOutData[Quantity],StockOutData[Product ID],ProductMaster!$B141)</f>
        <v>10</v>
      </c>
      <c r="J141" s="50">
        <f>SUMIFS(StockInData[Value],StockInData[Product ID],ProductMaster!$B141)-SUMIFS(StockOutData[Value],StockOutData[Product ID],ProductMaster!$B141)</f>
        <v>25</v>
      </c>
    </row>
    <row r="142" spans="1:10" x14ac:dyDescent="0.25">
      <c r="A142" s="48">
        <v>141</v>
      </c>
      <c r="B142" s="48" t="s">
        <v>301</v>
      </c>
      <c r="C142" s="49" t="s">
        <v>302</v>
      </c>
      <c r="D142" s="48" t="s">
        <v>869</v>
      </c>
      <c r="E142" s="48" t="s">
        <v>871</v>
      </c>
      <c r="F142" s="50">
        <v>10</v>
      </c>
      <c r="G142" s="52">
        <f>StockInData[Expiry]</f>
        <v>44193</v>
      </c>
      <c r="H142" s="48">
        <v>25</v>
      </c>
      <c r="I142" s="48">
        <f>SUMIFS(StockInData[Quantity],StockInData[Product ID],ProductMaster!$B142)-SUMIFS(StockOutData[Quantity],StockOutData[Product ID],ProductMaster!$B142)</f>
        <v>2</v>
      </c>
      <c r="J142" s="50">
        <f>SUMIFS(StockInData[Value],StockInData[Product ID],ProductMaster!$B142)-SUMIFS(StockOutData[Value],StockOutData[Product ID],ProductMaster!$B142)</f>
        <v>5</v>
      </c>
    </row>
    <row r="143" spans="1:10" x14ac:dyDescent="0.25">
      <c r="A143" s="48">
        <v>142</v>
      </c>
      <c r="B143" s="48" t="s">
        <v>303</v>
      </c>
      <c r="C143" s="49" t="s">
        <v>304</v>
      </c>
      <c r="D143" s="48" t="s">
        <v>869</v>
      </c>
      <c r="E143" s="48" t="s">
        <v>871</v>
      </c>
      <c r="F143" s="50">
        <v>10</v>
      </c>
      <c r="G143" s="52">
        <f>StockInData[Expiry]</f>
        <v>44195</v>
      </c>
      <c r="H143" s="48">
        <v>25</v>
      </c>
      <c r="I143" s="48">
        <f>SUMIFS(StockInData[Quantity],StockInData[Product ID],ProductMaster!$B143)-SUMIFS(StockOutData[Quantity],StockOutData[Product ID],ProductMaster!$B143)</f>
        <v>7</v>
      </c>
      <c r="J143" s="50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8">
        <v>143</v>
      </c>
      <c r="B144" s="48" t="s">
        <v>305</v>
      </c>
      <c r="C144" s="49" t="s">
        <v>306</v>
      </c>
      <c r="D144" s="48" t="s">
        <v>869</v>
      </c>
      <c r="E144" s="48" t="s">
        <v>871</v>
      </c>
      <c r="F144" s="50">
        <v>10</v>
      </c>
      <c r="G144" s="52">
        <f>StockInData[Expiry]</f>
        <v>44197</v>
      </c>
      <c r="H144" s="48">
        <v>25</v>
      </c>
      <c r="I144" s="48">
        <f>SUMIFS(StockInData[Quantity],StockInData[Product ID],ProductMaster!$B144)-SUMIFS(StockOutData[Quantity],StockOutData[Product ID],ProductMaster!$B144)</f>
        <v>9</v>
      </c>
      <c r="J144" s="50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8">
        <v>144</v>
      </c>
      <c r="B145" s="48" t="s">
        <v>307</v>
      </c>
      <c r="C145" s="49" t="s">
        <v>308</v>
      </c>
      <c r="D145" s="48" t="s">
        <v>869</v>
      </c>
      <c r="E145" s="48" t="s">
        <v>871</v>
      </c>
      <c r="F145" s="50">
        <v>10</v>
      </c>
      <c r="G145" s="52">
        <f>StockInData[Expiry]</f>
        <v>44199</v>
      </c>
      <c r="H145" s="48">
        <v>25</v>
      </c>
      <c r="I145" s="48">
        <f>SUMIFS(StockInData[Quantity],StockInData[Product ID],ProductMaster!$B145)-SUMIFS(StockOutData[Quantity],StockOutData[Product ID],ProductMaster!$B145)</f>
        <v>52</v>
      </c>
      <c r="J145" s="50">
        <f>SUMIFS(StockInData[Value],StockInData[Product ID],ProductMaster!$B145)-SUMIFS(StockOutData[Value],StockOutData[Product ID],ProductMaster!$B145)</f>
        <v>130</v>
      </c>
    </row>
    <row r="146" spans="1:10" x14ac:dyDescent="0.25">
      <c r="A146" s="48">
        <v>145</v>
      </c>
      <c r="B146" s="48" t="s">
        <v>309</v>
      </c>
      <c r="C146" s="49" t="s">
        <v>310</v>
      </c>
      <c r="D146" s="48" t="s">
        <v>869</v>
      </c>
      <c r="E146" s="48" t="s">
        <v>871</v>
      </c>
      <c r="F146" s="50">
        <v>10</v>
      </c>
      <c r="G146" s="52">
        <f>StockInData[Expiry]</f>
        <v>44201</v>
      </c>
      <c r="H146" s="48">
        <v>25</v>
      </c>
      <c r="I146" s="48">
        <f>SUMIFS(StockInData[Quantity],StockInData[Product ID],ProductMaster!$B146)-SUMIFS(StockOutData[Quantity],StockOutData[Product ID],ProductMaster!$B146)</f>
        <v>69</v>
      </c>
      <c r="J146" s="50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8">
        <v>146</v>
      </c>
      <c r="B147" s="48" t="s">
        <v>311</v>
      </c>
      <c r="C147" s="49" t="s">
        <v>312</v>
      </c>
      <c r="D147" s="48" t="s">
        <v>869</v>
      </c>
      <c r="E147" s="48" t="s">
        <v>871</v>
      </c>
      <c r="F147" s="50">
        <v>10</v>
      </c>
      <c r="G147" s="52">
        <f>StockInData[Expiry]</f>
        <v>44203</v>
      </c>
      <c r="H147" s="48">
        <v>25</v>
      </c>
      <c r="I147" s="48">
        <f>SUMIFS(StockInData[Quantity],StockInData[Product ID],ProductMaster!$B147)-SUMIFS(StockOutData[Quantity],StockOutData[Product ID],ProductMaster!$B147)</f>
        <v>47</v>
      </c>
      <c r="J147" s="50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8">
        <v>147</v>
      </c>
      <c r="B148" s="48" t="s">
        <v>313</v>
      </c>
      <c r="C148" s="49" t="s">
        <v>314</v>
      </c>
      <c r="D148" s="48" t="s">
        <v>869</v>
      </c>
      <c r="E148" s="48" t="s">
        <v>871</v>
      </c>
      <c r="F148" s="50">
        <v>10</v>
      </c>
      <c r="G148" s="52">
        <f>StockInData[Expiry]</f>
        <v>44205</v>
      </c>
      <c r="H148" s="48">
        <v>25</v>
      </c>
      <c r="I148" s="48">
        <f>SUMIFS(StockInData[Quantity],StockInData[Product ID],ProductMaster!$B148)-SUMIFS(StockOutData[Quantity],StockOutData[Product ID],ProductMaster!$B148)</f>
        <v>84</v>
      </c>
      <c r="J148" s="50">
        <f>SUMIFS(StockInData[Value],StockInData[Product ID],ProductMaster!$B148)-SUMIFS(StockOutData[Value],StockOutData[Product ID],ProductMaster!$B148)</f>
        <v>210</v>
      </c>
    </row>
    <row r="149" spans="1:10" x14ac:dyDescent="0.25">
      <c r="A149" s="48">
        <v>148</v>
      </c>
      <c r="B149" s="48" t="s">
        <v>315</v>
      </c>
      <c r="C149" s="49" t="s">
        <v>316</v>
      </c>
      <c r="D149" s="48" t="s">
        <v>869</v>
      </c>
      <c r="E149" s="48" t="s">
        <v>871</v>
      </c>
      <c r="F149" s="50">
        <v>10</v>
      </c>
      <c r="G149" s="52">
        <f>StockInData[Expiry]</f>
        <v>44207</v>
      </c>
      <c r="H149" s="48">
        <v>25</v>
      </c>
      <c r="I149" s="48">
        <f>SUMIFS(StockInData[Quantity],StockInData[Product ID],ProductMaster!$B149)-SUMIFS(StockOutData[Quantity],StockOutData[Product ID],ProductMaster!$B149)</f>
        <v>83</v>
      </c>
      <c r="J149" s="50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8">
        <v>149</v>
      </c>
      <c r="B150" s="48" t="s">
        <v>317</v>
      </c>
      <c r="C150" s="49" t="s">
        <v>318</v>
      </c>
      <c r="D150" s="48" t="s">
        <v>869</v>
      </c>
      <c r="E150" s="48" t="s">
        <v>871</v>
      </c>
      <c r="F150" s="50">
        <v>10</v>
      </c>
      <c r="G150" s="52">
        <f>StockInData[Expiry]</f>
        <v>44209</v>
      </c>
      <c r="H150" s="48">
        <v>25</v>
      </c>
      <c r="I150" s="48">
        <f>SUMIFS(StockInData[Quantity],StockInData[Product ID],ProductMaster!$B150)-SUMIFS(StockOutData[Quantity],StockOutData[Product ID],ProductMaster!$B150)</f>
        <v>88</v>
      </c>
      <c r="J150" s="50">
        <f>SUMIFS(StockInData[Value],StockInData[Product ID],ProductMaster!$B150)-SUMIFS(StockOutData[Value],StockOutData[Product ID],ProductMaster!$B150)</f>
        <v>220</v>
      </c>
    </row>
    <row r="151" spans="1:10" x14ac:dyDescent="0.25">
      <c r="A151" s="48">
        <v>150</v>
      </c>
      <c r="B151" s="48" t="s">
        <v>319</v>
      </c>
      <c r="C151" s="49" t="s">
        <v>320</v>
      </c>
      <c r="D151" s="48" t="s">
        <v>869</v>
      </c>
      <c r="E151" s="48" t="s">
        <v>871</v>
      </c>
      <c r="F151" s="50">
        <v>10</v>
      </c>
      <c r="G151" s="52">
        <f>StockInData[Expiry]</f>
        <v>44211</v>
      </c>
      <c r="H151" s="48">
        <v>25</v>
      </c>
      <c r="I151" s="48">
        <f>SUMIFS(StockInData[Quantity],StockInData[Product ID],ProductMaster!$B151)-SUMIFS(StockOutData[Quantity],StockOutData[Product ID],ProductMaster!$B151)</f>
        <v>86</v>
      </c>
      <c r="J151" s="50">
        <f>SUMIFS(StockInData[Value],StockInData[Product ID],ProductMaster!$B151)-SUMIFS(StockOutData[Value],StockOutData[Product ID],ProductMaster!$B151)</f>
        <v>215</v>
      </c>
    </row>
    <row r="152" spans="1:10" x14ac:dyDescent="0.25">
      <c r="A152" s="48">
        <v>151</v>
      </c>
      <c r="B152" s="48" t="s">
        <v>321</v>
      </c>
      <c r="C152" s="49" t="s">
        <v>322</v>
      </c>
      <c r="D152" s="48" t="s">
        <v>869</v>
      </c>
      <c r="E152" s="48" t="s">
        <v>871</v>
      </c>
      <c r="F152" s="50">
        <v>10</v>
      </c>
      <c r="G152" s="52">
        <f>StockInData[Expiry]</f>
        <v>44213</v>
      </c>
      <c r="H152" s="48">
        <v>25</v>
      </c>
      <c r="I152" s="48">
        <f>SUMIFS(StockInData[Quantity],StockInData[Product ID],ProductMaster!$B152)-SUMIFS(StockOutData[Quantity],StockOutData[Product ID],ProductMaster!$B152)</f>
        <v>67</v>
      </c>
      <c r="J152" s="50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8">
        <v>152</v>
      </c>
      <c r="B153" s="48" t="s">
        <v>323</v>
      </c>
      <c r="C153" s="49" t="s">
        <v>324</v>
      </c>
      <c r="D153" s="48" t="s">
        <v>869</v>
      </c>
      <c r="E153" s="48" t="s">
        <v>871</v>
      </c>
      <c r="F153" s="50">
        <v>10</v>
      </c>
      <c r="G153" s="52">
        <f>StockInData[Expiry]</f>
        <v>44215</v>
      </c>
      <c r="H153" s="48">
        <v>25</v>
      </c>
      <c r="I153" s="48">
        <f>SUMIFS(StockInData[Quantity],StockInData[Product ID],ProductMaster!$B153)-SUMIFS(StockOutData[Quantity],StockOutData[Product ID],ProductMaster!$B153)</f>
        <v>25</v>
      </c>
      <c r="J153" s="50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8">
        <v>153</v>
      </c>
      <c r="B154" s="48" t="s">
        <v>325</v>
      </c>
      <c r="C154" s="49" t="s">
        <v>326</v>
      </c>
      <c r="D154" s="48" t="s">
        <v>869</v>
      </c>
      <c r="E154" s="48" t="s">
        <v>871</v>
      </c>
      <c r="F154" s="50">
        <v>10</v>
      </c>
      <c r="G154" s="52">
        <f>StockInData[Expiry]</f>
        <v>44217</v>
      </c>
      <c r="H154" s="48">
        <v>25</v>
      </c>
      <c r="I154" s="48">
        <f>SUMIFS(StockInData[Quantity],StockInData[Product ID],ProductMaster!$B154)-SUMIFS(StockOutData[Quantity],StockOutData[Product ID],ProductMaster!$B154)</f>
        <v>23</v>
      </c>
      <c r="J154" s="50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8">
        <v>154</v>
      </c>
      <c r="B155" s="48" t="s">
        <v>327</v>
      </c>
      <c r="C155" s="49" t="s">
        <v>328</v>
      </c>
      <c r="D155" s="48" t="s">
        <v>869</v>
      </c>
      <c r="E155" s="48" t="s">
        <v>871</v>
      </c>
      <c r="F155" s="50">
        <v>10</v>
      </c>
      <c r="G155" s="52">
        <f>StockInData[Expiry]</f>
        <v>44219</v>
      </c>
      <c r="H155" s="48">
        <v>25</v>
      </c>
      <c r="I155" s="48">
        <f>SUMIFS(StockInData[Quantity],StockInData[Product ID],ProductMaster!$B155)-SUMIFS(StockOutData[Quantity],StockOutData[Product ID],ProductMaster!$B155)</f>
        <v>10</v>
      </c>
      <c r="J155" s="50">
        <f>SUMIFS(StockInData[Value],StockInData[Product ID],ProductMaster!$B155)-SUMIFS(StockOutData[Value],StockOutData[Product ID],ProductMaster!$B155)</f>
        <v>25</v>
      </c>
    </row>
    <row r="156" spans="1:10" x14ac:dyDescent="0.25">
      <c r="A156" s="48">
        <v>155</v>
      </c>
      <c r="B156" s="48" t="s">
        <v>329</v>
      </c>
      <c r="C156" s="49" t="s">
        <v>330</v>
      </c>
      <c r="D156" s="48" t="s">
        <v>869</v>
      </c>
      <c r="E156" s="48" t="s">
        <v>871</v>
      </c>
      <c r="F156" s="50">
        <v>10</v>
      </c>
      <c r="G156" s="52">
        <f>StockInData[Expiry]</f>
        <v>44221</v>
      </c>
      <c r="H156" s="48">
        <v>25</v>
      </c>
      <c r="I156" s="48">
        <f>SUMIFS(StockInData[Quantity],StockInData[Product ID],ProductMaster!$B156)-SUMIFS(StockOutData[Quantity],StockOutData[Product ID],ProductMaster!$B156)</f>
        <v>-43</v>
      </c>
      <c r="J156" s="50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8">
        <v>156</v>
      </c>
      <c r="B157" s="48" t="s">
        <v>331</v>
      </c>
      <c r="C157" s="49" t="s">
        <v>332</v>
      </c>
      <c r="D157" s="48" t="s">
        <v>869</v>
      </c>
      <c r="E157" s="48" t="s">
        <v>871</v>
      </c>
      <c r="F157" s="50">
        <v>10</v>
      </c>
      <c r="G157" s="52">
        <f>StockInData[Expiry]</f>
        <v>44223</v>
      </c>
      <c r="H157" s="48">
        <v>25</v>
      </c>
      <c r="I157" s="48">
        <f>SUMIFS(StockInData[Quantity],StockInData[Product ID],ProductMaster!$B157)-SUMIFS(StockOutData[Quantity],StockOutData[Product ID],ProductMaster!$B157)</f>
        <v>7</v>
      </c>
      <c r="J157" s="50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8">
        <v>157</v>
      </c>
      <c r="B158" s="48" t="s">
        <v>333</v>
      </c>
      <c r="C158" s="49" t="s">
        <v>334</v>
      </c>
      <c r="D158" s="48" t="s">
        <v>869</v>
      </c>
      <c r="E158" s="48" t="s">
        <v>871</v>
      </c>
      <c r="F158" s="50">
        <v>10</v>
      </c>
      <c r="G158" s="52">
        <f>StockInData[Expiry]</f>
        <v>44225</v>
      </c>
      <c r="H158" s="48">
        <v>25</v>
      </c>
      <c r="I158" s="48">
        <f>SUMIFS(StockInData[Quantity],StockInData[Product ID],ProductMaster!$B158)-SUMIFS(StockOutData[Quantity],StockOutData[Product ID],ProductMaster!$B158)</f>
        <v>13</v>
      </c>
      <c r="J158" s="50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8">
        <v>158</v>
      </c>
      <c r="B159" s="48" t="s">
        <v>335</v>
      </c>
      <c r="C159" s="49" t="s">
        <v>336</v>
      </c>
      <c r="D159" s="48" t="s">
        <v>869</v>
      </c>
      <c r="E159" s="48" t="s">
        <v>871</v>
      </c>
      <c r="F159" s="50">
        <v>10</v>
      </c>
      <c r="G159" s="52">
        <f>StockInData[Expiry]</f>
        <v>44227</v>
      </c>
      <c r="H159" s="48">
        <v>25</v>
      </c>
      <c r="I159" s="48">
        <f>SUMIFS(StockInData[Quantity],StockInData[Product ID],ProductMaster!$B159)-SUMIFS(StockOutData[Quantity],StockOutData[Product ID],ProductMaster!$B159)</f>
        <v>55</v>
      </c>
      <c r="J159" s="50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8">
        <v>159</v>
      </c>
      <c r="B160" s="48" t="s">
        <v>337</v>
      </c>
      <c r="C160" s="49" t="s">
        <v>338</v>
      </c>
      <c r="D160" s="48" t="s">
        <v>869</v>
      </c>
      <c r="E160" s="48" t="s">
        <v>871</v>
      </c>
      <c r="F160" s="50">
        <v>10</v>
      </c>
      <c r="G160" s="52">
        <f>StockInData[Expiry]</f>
        <v>44229</v>
      </c>
      <c r="H160" s="48">
        <v>25</v>
      </c>
      <c r="I160" s="48">
        <f>SUMIFS(StockInData[Quantity],StockInData[Product ID],ProductMaster!$B160)-SUMIFS(StockOutData[Quantity],StockOutData[Product ID],ProductMaster!$B160)</f>
        <v>64</v>
      </c>
      <c r="J160" s="50">
        <f>SUMIFS(StockInData[Value],StockInData[Product ID],ProductMaster!$B160)-SUMIFS(StockOutData[Value],StockOutData[Product ID],ProductMaster!$B160)</f>
        <v>160</v>
      </c>
    </row>
    <row r="161" spans="1:10" x14ac:dyDescent="0.25">
      <c r="A161" s="48">
        <v>160</v>
      </c>
      <c r="B161" s="48" t="s">
        <v>339</v>
      </c>
      <c r="C161" s="49" t="s">
        <v>340</v>
      </c>
      <c r="D161" s="48" t="s">
        <v>869</v>
      </c>
      <c r="E161" s="48" t="s">
        <v>871</v>
      </c>
      <c r="F161" s="50">
        <v>10</v>
      </c>
      <c r="G161" s="52">
        <f>StockInData[Expiry]</f>
        <v>44231</v>
      </c>
      <c r="H161" s="48">
        <v>25</v>
      </c>
      <c r="I161" s="48">
        <f>SUMIFS(StockInData[Quantity],StockInData[Product ID],ProductMaster!$B161)-SUMIFS(StockOutData[Quantity],StockOutData[Product ID],ProductMaster!$B161)</f>
        <v>74</v>
      </c>
      <c r="J161" s="50">
        <f>SUMIFS(StockInData[Value],StockInData[Product ID],ProductMaster!$B161)-SUMIFS(StockOutData[Value],StockOutData[Product ID],ProductMaster!$B161)</f>
        <v>185</v>
      </c>
    </row>
    <row r="162" spans="1:10" x14ac:dyDescent="0.25">
      <c r="A162" s="48">
        <v>161</v>
      </c>
      <c r="B162" s="48" t="s">
        <v>341</v>
      </c>
      <c r="C162" s="49" t="s">
        <v>342</v>
      </c>
      <c r="D162" s="48" t="s">
        <v>869</v>
      </c>
      <c r="E162" s="48" t="s">
        <v>871</v>
      </c>
      <c r="F162" s="50">
        <v>10</v>
      </c>
      <c r="G162" s="52">
        <f>StockInData[Expiry]</f>
        <v>44233</v>
      </c>
      <c r="H162" s="48">
        <v>25</v>
      </c>
      <c r="I162" s="48">
        <f>SUMIFS(StockInData[Quantity],StockInData[Product ID],ProductMaster!$B162)-SUMIFS(StockOutData[Quantity],StockOutData[Product ID],ProductMaster!$B162)</f>
        <v>77</v>
      </c>
      <c r="J162" s="50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8">
        <v>162</v>
      </c>
      <c r="B163" s="48" t="s">
        <v>343</v>
      </c>
      <c r="C163" s="49" t="s">
        <v>344</v>
      </c>
      <c r="D163" s="48" t="s">
        <v>869</v>
      </c>
      <c r="E163" s="48" t="s">
        <v>871</v>
      </c>
      <c r="F163" s="50">
        <v>10</v>
      </c>
      <c r="G163" s="52">
        <f>StockInData[Expiry]</f>
        <v>44235</v>
      </c>
      <c r="H163" s="48">
        <v>25</v>
      </c>
      <c r="I163" s="48">
        <f>SUMIFS(StockInData[Quantity],StockInData[Product ID],ProductMaster!$B163)-SUMIFS(StockOutData[Quantity],StockOutData[Product ID],ProductMaster!$B163)</f>
        <v>91</v>
      </c>
      <c r="J163" s="50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8">
        <v>163</v>
      </c>
      <c r="B164" s="48" t="s">
        <v>345</v>
      </c>
      <c r="C164" s="49" t="s">
        <v>346</v>
      </c>
      <c r="D164" s="48" t="s">
        <v>869</v>
      </c>
      <c r="E164" s="48" t="s">
        <v>871</v>
      </c>
      <c r="F164" s="50">
        <v>10</v>
      </c>
      <c r="G164" s="52">
        <f>StockInData[Expiry]</f>
        <v>44237</v>
      </c>
      <c r="H164" s="48">
        <v>25</v>
      </c>
      <c r="I164" s="48">
        <f>SUMIFS(StockInData[Quantity],StockInData[Product ID],ProductMaster!$B164)-SUMIFS(StockOutData[Quantity],StockOutData[Product ID],ProductMaster!$B164)</f>
        <v>53</v>
      </c>
      <c r="J164" s="50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8">
        <v>164</v>
      </c>
      <c r="B165" s="48" t="s">
        <v>347</v>
      </c>
      <c r="C165" s="49" t="s">
        <v>348</v>
      </c>
      <c r="D165" s="48" t="s">
        <v>869</v>
      </c>
      <c r="E165" s="48" t="s">
        <v>871</v>
      </c>
      <c r="F165" s="50">
        <v>10</v>
      </c>
      <c r="G165" s="52">
        <f>StockInData[Expiry]</f>
        <v>44239</v>
      </c>
      <c r="H165" s="48">
        <v>25</v>
      </c>
      <c r="I165" s="48">
        <f>SUMIFS(StockInData[Quantity],StockInData[Product ID],ProductMaster!$B165)-SUMIFS(StockOutData[Quantity],StockOutData[Product ID],ProductMaster!$B165)</f>
        <v>25</v>
      </c>
      <c r="J165" s="50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8">
        <v>165</v>
      </c>
      <c r="B166" s="48" t="s">
        <v>349</v>
      </c>
      <c r="C166" s="49" t="s">
        <v>350</v>
      </c>
      <c r="D166" s="48" t="s">
        <v>869</v>
      </c>
      <c r="E166" s="48" t="s">
        <v>871</v>
      </c>
      <c r="F166" s="50">
        <v>10</v>
      </c>
      <c r="G166" s="52">
        <f>StockInData[Expiry]</f>
        <v>44241</v>
      </c>
      <c r="H166" s="48">
        <v>25</v>
      </c>
      <c r="I166" s="48">
        <f>SUMIFS(StockInData[Quantity],StockInData[Product ID],ProductMaster!$B166)-SUMIFS(StockOutData[Quantity],StockOutData[Product ID],ProductMaster!$B166)</f>
        <v>12</v>
      </c>
      <c r="J166" s="50">
        <f>SUMIFS(StockInData[Value],StockInData[Product ID],ProductMaster!$B166)-SUMIFS(StockOutData[Value],StockOutData[Product ID],ProductMaster!$B166)</f>
        <v>30</v>
      </c>
    </row>
    <row r="167" spans="1:10" x14ac:dyDescent="0.25">
      <c r="A167" s="48">
        <v>166</v>
      </c>
      <c r="B167" s="48" t="s">
        <v>351</v>
      </c>
      <c r="C167" s="49" t="s">
        <v>352</v>
      </c>
      <c r="D167" s="48" t="s">
        <v>869</v>
      </c>
      <c r="E167" s="48" t="s">
        <v>871</v>
      </c>
      <c r="F167" s="50">
        <v>10</v>
      </c>
      <c r="G167" s="52">
        <f>StockInData[Expiry]</f>
        <v>44243</v>
      </c>
      <c r="H167" s="48">
        <v>25</v>
      </c>
      <c r="I167" s="48">
        <f>SUMIFS(StockInData[Quantity],StockInData[Product ID],ProductMaster!$B167)-SUMIFS(StockOutData[Quantity],StockOutData[Product ID],ProductMaster!$B167)</f>
        <v>13</v>
      </c>
      <c r="J167" s="50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8">
        <v>167</v>
      </c>
      <c r="B168" s="48" t="s">
        <v>353</v>
      </c>
      <c r="C168" s="49" t="s">
        <v>354</v>
      </c>
      <c r="D168" s="48" t="s">
        <v>869</v>
      </c>
      <c r="E168" s="48" t="s">
        <v>871</v>
      </c>
      <c r="F168" s="50">
        <v>10</v>
      </c>
      <c r="G168" s="52">
        <f>StockInData[Expiry]</f>
        <v>44245</v>
      </c>
      <c r="H168" s="48">
        <v>25</v>
      </c>
      <c r="I168" s="48">
        <f>SUMIFS(StockInData[Quantity],StockInData[Product ID],ProductMaster!$B168)-SUMIFS(StockOutData[Quantity],StockOutData[Product ID],ProductMaster!$B168)</f>
        <v>-6</v>
      </c>
      <c r="J168" s="50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8">
        <v>168</v>
      </c>
      <c r="B169" s="48" t="s">
        <v>355</v>
      </c>
      <c r="C169" s="49" t="s">
        <v>356</v>
      </c>
      <c r="D169" s="48" t="s">
        <v>869</v>
      </c>
      <c r="E169" s="48" t="s">
        <v>871</v>
      </c>
      <c r="F169" s="50">
        <v>10</v>
      </c>
      <c r="G169" s="52">
        <f>StockInData[Expiry]</f>
        <v>44247</v>
      </c>
      <c r="H169" s="48">
        <v>25</v>
      </c>
      <c r="I169" s="48">
        <f>SUMIFS(StockInData[Quantity],StockInData[Product ID],ProductMaster!$B169)-SUMIFS(StockOutData[Quantity],StockOutData[Product ID],ProductMaster!$B169)</f>
        <v>6</v>
      </c>
      <c r="J169" s="50">
        <f>SUMIFS(StockInData[Value],StockInData[Product ID],ProductMaster!$B169)-SUMIFS(StockOutData[Value],StockOutData[Product ID],ProductMaster!$B169)</f>
        <v>15</v>
      </c>
    </row>
    <row r="170" spans="1:10" x14ac:dyDescent="0.25">
      <c r="A170" s="48">
        <v>169</v>
      </c>
      <c r="B170" s="48" t="s">
        <v>357</v>
      </c>
      <c r="C170" s="49" t="s">
        <v>358</v>
      </c>
      <c r="D170" s="48" t="s">
        <v>869</v>
      </c>
      <c r="E170" s="48" t="s">
        <v>871</v>
      </c>
      <c r="F170" s="50">
        <v>10</v>
      </c>
      <c r="G170" s="52">
        <f>StockInData[Expiry]</f>
        <v>44249</v>
      </c>
      <c r="H170" s="48">
        <v>25</v>
      </c>
      <c r="I170" s="48">
        <f>SUMIFS(StockInData[Quantity],StockInData[Product ID],ProductMaster!$B170)-SUMIFS(StockOutData[Quantity],StockOutData[Product ID],ProductMaster!$B170)</f>
        <v>18</v>
      </c>
      <c r="J170" s="50">
        <f>SUMIFS(StockInData[Value],StockInData[Product ID],ProductMaster!$B170)-SUMIFS(StockOutData[Value],StockOutData[Product ID],ProductMaster!$B170)</f>
        <v>45</v>
      </c>
    </row>
    <row r="171" spans="1:10" x14ac:dyDescent="0.25">
      <c r="A171" s="48">
        <v>170</v>
      </c>
      <c r="B171" s="48" t="s">
        <v>359</v>
      </c>
      <c r="C171" s="49" t="s">
        <v>360</v>
      </c>
      <c r="D171" s="48" t="s">
        <v>869</v>
      </c>
      <c r="E171" s="48" t="s">
        <v>871</v>
      </c>
      <c r="F171" s="50">
        <v>10</v>
      </c>
      <c r="G171" s="52">
        <f>StockInData[Expiry]</f>
        <v>44251</v>
      </c>
      <c r="H171" s="48">
        <v>25</v>
      </c>
      <c r="I171" s="48">
        <f>SUMIFS(StockInData[Quantity],StockInData[Product ID],ProductMaster!$B171)-SUMIFS(StockOutData[Quantity],StockOutData[Product ID],ProductMaster!$B171)</f>
        <v>58</v>
      </c>
      <c r="J171" s="50">
        <f>SUMIFS(StockInData[Value],StockInData[Product ID],ProductMaster!$B171)-SUMIFS(StockOutData[Value],StockOutData[Product ID],ProductMaster!$B171)</f>
        <v>145</v>
      </c>
    </row>
    <row r="172" spans="1:10" x14ac:dyDescent="0.25">
      <c r="A172" s="48">
        <v>171</v>
      </c>
      <c r="B172" s="48" t="s">
        <v>361</v>
      </c>
      <c r="C172" s="49" t="s">
        <v>362</v>
      </c>
      <c r="D172" s="48" t="s">
        <v>869</v>
      </c>
      <c r="E172" s="48" t="s">
        <v>871</v>
      </c>
      <c r="F172" s="50">
        <v>10</v>
      </c>
      <c r="G172" s="52">
        <f>StockInData[Expiry]</f>
        <v>44253</v>
      </c>
      <c r="H172" s="48">
        <v>25</v>
      </c>
      <c r="I172" s="48">
        <f>SUMIFS(StockInData[Quantity],StockInData[Product ID],ProductMaster!$B172)-SUMIFS(StockOutData[Quantity],StockOutData[Product ID],ProductMaster!$B172)</f>
        <v>59</v>
      </c>
      <c r="J172" s="50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8">
        <v>172</v>
      </c>
      <c r="B173" s="48" t="s">
        <v>363</v>
      </c>
      <c r="C173" s="49" t="s">
        <v>364</v>
      </c>
      <c r="D173" s="48" t="s">
        <v>869</v>
      </c>
      <c r="E173" s="48" t="s">
        <v>871</v>
      </c>
      <c r="F173" s="50">
        <v>10</v>
      </c>
      <c r="G173" s="52">
        <f>StockInData[Expiry]</f>
        <v>44255</v>
      </c>
      <c r="H173" s="48">
        <v>25</v>
      </c>
      <c r="I173" s="48">
        <f>SUMIFS(StockInData[Quantity],StockInData[Product ID],ProductMaster!$B173)-SUMIFS(StockOutData[Quantity],StockOutData[Product ID],ProductMaster!$B173)</f>
        <v>66</v>
      </c>
      <c r="J173" s="50">
        <f>SUMIFS(StockInData[Value],StockInData[Product ID],ProductMaster!$B173)-SUMIFS(StockOutData[Value],StockOutData[Product ID],ProductMaster!$B173)</f>
        <v>165</v>
      </c>
    </row>
    <row r="174" spans="1:10" x14ac:dyDescent="0.25">
      <c r="A174" s="48">
        <v>173</v>
      </c>
      <c r="B174" s="48" t="s">
        <v>365</v>
      </c>
      <c r="C174" s="49" t="s">
        <v>366</v>
      </c>
      <c r="D174" s="48" t="s">
        <v>869</v>
      </c>
      <c r="E174" s="48" t="s">
        <v>871</v>
      </c>
      <c r="F174" s="50">
        <v>10</v>
      </c>
      <c r="G174" s="52">
        <f>StockInData[Expiry]</f>
        <v>44257</v>
      </c>
      <c r="H174" s="48">
        <v>25</v>
      </c>
      <c r="I174" s="48">
        <f>SUMIFS(StockInData[Quantity],StockInData[Product ID],ProductMaster!$B174)-SUMIFS(StockOutData[Quantity],StockOutData[Product ID],ProductMaster!$B174)</f>
        <v>87</v>
      </c>
      <c r="J174" s="50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8">
        <v>174</v>
      </c>
      <c r="B175" s="48" t="s">
        <v>367</v>
      </c>
      <c r="C175" s="49" t="s">
        <v>368</v>
      </c>
      <c r="D175" s="48" t="s">
        <v>869</v>
      </c>
      <c r="E175" s="48" t="s">
        <v>871</v>
      </c>
      <c r="F175" s="50">
        <v>10</v>
      </c>
      <c r="G175" s="52">
        <f>StockInData[Expiry]</f>
        <v>44259</v>
      </c>
      <c r="H175" s="48">
        <v>25</v>
      </c>
      <c r="I175" s="48">
        <f>SUMIFS(StockInData[Quantity],StockInData[Product ID],ProductMaster!$B175)-SUMIFS(StockOutData[Quantity],StockOutData[Product ID],ProductMaster!$B175)</f>
        <v>87</v>
      </c>
      <c r="J175" s="50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8">
        <v>175</v>
      </c>
      <c r="B176" s="48" t="s">
        <v>369</v>
      </c>
      <c r="C176" s="49" t="s">
        <v>370</v>
      </c>
      <c r="D176" s="48" t="s">
        <v>869</v>
      </c>
      <c r="E176" s="48" t="s">
        <v>871</v>
      </c>
      <c r="F176" s="50">
        <v>10</v>
      </c>
      <c r="G176" s="52">
        <f>StockInData[Expiry]</f>
        <v>44261</v>
      </c>
      <c r="H176" s="48">
        <v>25</v>
      </c>
      <c r="I176" s="48">
        <f>SUMIFS(StockInData[Quantity],StockInData[Product ID],ProductMaster!$B176)-SUMIFS(StockOutData[Quantity],StockOutData[Product ID],ProductMaster!$B176)</f>
        <v>47</v>
      </c>
      <c r="J176" s="50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8">
        <v>176</v>
      </c>
      <c r="B177" s="48" t="s">
        <v>371</v>
      </c>
      <c r="C177" s="49" t="s">
        <v>372</v>
      </c>
      <c r="D177" s="48" t="s">
        <v>869</v>
      </c>
      <c r="E177" s="48" t="s">
        <v>871</v>
      </c>
      <c r="F177" s="50">
        <v>10</v>
      </c>
      <c r="G177" s="52">
        <f>StockInData[Expiry]</f>
        <v>44263</v>
      </c>
      <c r="H177" s="48">
        <v>25</v>
      </c>
      <c r="I177" s="48">
        <f>SUMIFS(StockInData[Quantity],StockInData[Product ID],ProductMaster!$B177)-SUMIFS(StockOutData[Quantity],StockOutData[Product ID],ProductMaster!$B177)</f>
        <v>35</v>
      </c>
      <c r="J177" s="50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8">
        <v>177</v>
      </c>
      <c r="B178" s="48" t="s">
        <v>373</v>
      </c>
      <c r="C178" s="49" t="s">
        <v>374</v>
      </c>
      <c r="D178" s="48" t="s">
        <v>869</v>
      </c>
      <c r="E178" s="48" t="s">
        <v>871</v>
      </c>
      <c r="F178" s="50">
        <v>10</v>
      </c>
      <c r="G178" s="52">
        <f>StockInData[Expiry]</f>
        <v>44265</v>
      </c>
      <c r="H178" s="48">
        <v>25</v>
      </c>
      <c r="I178" s="48">
        <f>SUMIFS(StockInData[Quantity],StockInData[Product ID],ProductMaster!$B178)-SUMIFS(StockOutData[Quantity],StockOutData[Product ID],ProductMaster!$B178)</f>
        <v>-17</v>
      </c>
      <c r="J178" s="50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8">
        <v>178</v>
      </c>
      <c r="B179" s="48" t="s">
        <v>375</v>
      </c>
      <c r="C179" s="49" t="s">
        <v>376</v>
      </c>
      <c r="D179" s="48" t="s">
        <v>869</v>
      </c>
      <c r="E179" s="48" t="s">
        <v>871</v>
      </c>
      <c r="F179" s="50">
        <v>10</v>
      </c>
      <c r="G179" s="52">
        <f>StockInData[Expiry]</f>
        <v>44267</v>
      </c>
      <c r="H179" s="48">
        <v>25</v>
      </c>
      <c r="I179" s="48">
        <f>SUMIFS(StockInData[Quantity],StockInData[Product ID],ProductMaster!$B179)-SUMIFS(StockOutData[Quantity],StockOutData[Product ID],ProductMaster!$B179)</f>
        <v>10</v>
      </c>
      <c r="J179" s="50">
        <f>SUMIFS(StockInData[Value],StockInData[Product ID],ProductMaster!$B179)-SUMIFS(StockOutData[Value],StockOutData[Product ID],ProductMaster!$B179)</f>
        <v>25</v>
      </c>
    </row>
    <row r="180" spans="1:10" x14ac:dyDescent="0.25">
      <c r="A180" s="48">
        <v>179</v>
      </c>
      <c r="B180" s="48" t="s">
        <v>377</v>
      </c>
      <c r="C180" s="49" t="s">
        <v>378</v>
      </c>
      <c r="D180" s="48" t="s">
        <v>869</v>
      </c>
      <c r="E180" s="48" t="s">
        <v>871</v>
      </c>
      <c r="F180" s="50">
        <v>10</v>
      </c>
      <c r="G180" s="52">
        <f>StockInData[Expiry]</f>
        <v>44269</v>
      </c>
      <c r="H180" s="48">
        <v>25</v>
      </c>
      <c r="I180" s="48">
        <f>SUMIFS(StockInData[Quantity],StockInData[Product ID],ProductMaster!$B180)-SUMIFS(StockOutData[Quantity],StockOutData[Product ID],ProductMaster!$B180)</f>
        <v>2</v>
      </c>
      <c r="J180" s="50">
        <f>SUMIFS(StockInData[Value],StockInData[Product ID],ProductMaster!$B180)-SUMIFS(StockOutData[Value],StockOutData[Product ID],ProductMaster!$B180)</f>
        <v>5</v>
      </c>
    </row>
    <row r="181" spans="1:10" x14ac:dyDescent="0.25">
      <c r="A181" s="48">
        <v>180</v>
      </c>
      <c r="B181" s="48" t="s">
        <v>379</v>
      </c>
      <c r="C181" s="49" t="s">
        <v>380</v>
      </c>
      <c r="D181" s="48" t="s">
        <v>869</v>
      </c>
      <c r="E181" s="48" t="s">
        <v>871</v>
      </c>
      <c r="F181" s="50">
        <v>10</v>
      </c>
      <c r="G181" s="52">
        <f>StockInData[Expiry]</f>
        <v>44271</v>
      </c>
      <c r="H181" s="48">
        <v>25</v>
      </c>
      <c r="I181" s="48">
        <f>SUMIFS(StockInData[Quantity],StockInData[Product ID],ProductMaster!$B181)-SUMIFS(StockOutData[Quantity],StockOutData[Product ID],ProductMaster!$B181)</f>
        <v>7</v>
      </c>
      <c r="J181" s="50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8">
        <v>181</v>
      </c>
      <c r="B182" s="48" t="s">
        <v>381</v>
      </c>
      <c r="C182" s="49" t="s">
        <v>382</v>
      </c>
      <c r="D182" s="48" t="s">
        <v>869</v>
      </c>
      <c r="E182" s="48" t="s">
        <v>871</v>
      </c>
      <c r="F182" s="50">
        <v>10</v>
      </c>
      <c r="G182" s="52">
        <f>StockInData[Expiry]</f>
        <v>44273</v>
      </c>
      <c r="H182" s="48">
        <v>25</v>
      </c>
      <c r="I182" s="48">
        <f>SUMIFS(StockInData[Quantity],StockInData[Product ID],ProductMaster!$B182)-SUMIFS(StockOutData[Quantity],StockOutData[Product ID],ProductMaster!$B182)</f>
        <v>13</v>
      </c>
      <c r="J182" s="50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8">
        <v>182</v>
      </c>
      <c r="B183" s="48" t="s">
        <v>383</v>
      </c>
      <c r="C183" s="49" t="s">
        <v>384</v>
      </c>
      <c r="D183" s="48" t="s">
        <v>869</v>
      </c>
      <c r="E183" s="48" t="s">
        <v>871</v>
      </c>
      <c r="F183" s="50">
        <v>10</v>
      </c>
      <c r="G183" s="52">
        <f>StockInData[Expiry]</f>
        <v>44275</v>
      </c>
      <c r="H183" s="48">
        <v>25</v>
      </c>
      <c r="I183" s="48">
        <f>SUMIFS(StockInData[Quantity],StockInData[Product ID],ProductMaster!$B183)-SUMIFS(StockOutData[Quantity],StockOutData[Product ID],ProductMaster!$B183)</f>
        <v>55</v>
      </c>
      <c r="J183" s="50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8">
        <v>183</v>
      </c>
      <c r="B184" s="48" t="s">
        <v>385</v>
      </c>
      <c r="C184" s="49" t="s">
        <v>386</v>
      </c>
      <c r="D184" s="48" t="s">
        <v>869</v>
      </c>
      <c r="E184" s="48" t="s">
        <v>871</v>
      </c>
      <c r="F184" s="50">
        <v>10</v>
      </c>
      <c r="G184" s="52">
        <f>StockInData[Expiry]</f>
        <v>44277</v>
      </c>
      <c r="H184" s="48">
        <v>25</v>
      </c>
      <c r="I184" s="48">
        <f>SUMIFS(StockInData[Quantity],StockInData[Product ID],ProductMaster!$B184)-SUMIFS(StockOutData[Quantity],StockOutData[Product ID],ProductMaster!$B184)</f>
        <v>64</v>
      </c>
      <c r="J184" s="50">
        <f>SUMIFS(StockInData[Value],StockInData[Product ID],ProductMaster!$B184)-SUMIFS(StockOutData[Value],StockOutData[Product ID],ProductMaster!$B184)</f>
        <v>160</v>
      </c>
    </row>
    <row r="185" spans="1:10" x14ac:dyDescent="0.25">
      <c r="A185" s="48">
        <v>184</v>
      </c>
      <c r="B185" s="48" t="s">
        <v>387</v>
      </c>
      <c r="C185" s="49" t="s">
        <v>388</v>
      </c>
      <c r="D185" s="48" t="s">
        <v>869</v>
      </c>
      <c r="E185" s="48" t="s">
        <v>871</v>
      </c>
      <c r="F185" s="50">
        <v>10</v>
      </c>
      <c r="G185" s="52">
        <f>StockInData[Expiry]</f>
        <v>44279</v>
      </c>
      <c r="H185" s="48">
        <v>25</v>
      </c>
      <c r="I185" s="48">
        <f>SUMIFS(StockInData[Quantity],StockInData[Product ID],ProductMaster!$B185)-SUMIFS(StockOutData[Quantity],StockOutData[Product ID],ProductMaster!$B185)</f>
        <v>74</v>
      </c>
      <c r="J185" s="50">
        <f>SUMIFS(StockInData[Value],StockInData[Product ID],ProductMaster!$B185)-SUMIFS(StockOutData[Value],StockOutData[Product ID],ProductMaster!$B185)</f>
        <v>185</v>
      </c>
    </row>
    <row r="186" spans="1:10" x14ac:dyDescent="0.25">
      <c r="A186" s="48">
        <v>185</v>
      </c>
      <c r="B186" s="48" t="s">
        <v>389</v>
      </c>
      <c r="C186" s="49" t="s">
        <v>390</v>
      </c>
      <c r="D186" s="48" t="s">
        <v>869</v>
      </c>
      <c r="E186" s="48" t="s">
        <v>871</v>
      </c>
      <c r="F186" s="50">
        <v>10</v>
      </c>
      <c r="G186" s="52">
        <f>StockInData[Expiry]</f>
        <v>44281</v>
      </c>
      <c r="H186" s="48">
        <v>25</v>
      </c>
      <c r="I186" s="48">
        <f>SUMIFS(StockInData[Quantity],StockInData[Product ID],ProductMaster!$B186)-SUMIFS(StockOutData[Quantity],StockOutData[Product ID],ProductMaster!$B186)</f>
        <v>89</v>
      </c>
      <c r="J186" s="50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8">
        <v>186</v>
      </c>
      <c r="B187" s="48" t="s">
        <v>391</v>
      </c>
      <c r="C187" s="49" t="s">
        <v>392</v>
      </c>
      <c r="D187" s="48" t="s">
        <v>869</v>
      </c>
      <c r="E187" s="48" t="s">
        <v>871</v>
      </c>
      <c r="F187" s="50">
        <v>10</v>
      </c>
      <c r="G187" s="52">
        <f>StockInData[Expiry]</f>
        <v>44283</v>
      </c>
      <c r="H187" s="48">
        <v>25</v>
      </c>
      <c r="I187" s="48">
        <f>SUMIFS(StockInData[Quantity],StockInData[Product ID],ProductMaster!$B187)-SUMIFS(StockOutData[Quantity],StockOutData[Product ID],ProductMaster!$B187)</f>
        <v>94</v>
      </c>
      <c r="J187" s="50">
        <f>SUMIFS(StockInData[Value],StockInData[Product ID],ProductMaster!$B187)-SUMIFS(StockOutData[Value],StockOutData[Product ID],ProductMaster!$B187)</f>
        <v>235</v>
      </c>
    </row>
    <row r="188" spans="1:10" x14ac:dyDescent="0.25">
      <c r="A188" s="48">
        <v>187</v>
      </c>
      <c r="B188" s="48" t="s">
        <v>393</v>
      </c>
      <c r="C188" s="49" t="s">
        <v>394</v>
      </c>
      <c r="D188" s="48" t="s">
        <v>869</v>
      </c>
      <c r="E188" s="48" t="s">
        <v>871</v>
      </c>
      <c r="F188" s="50">
        <v>10</v>
      </c>
      <c r="G188" s="52">
        <f>StockInData[Expiry]</f>
        <v>44285</v>
      </c>
      <c r="H188" s="48">
        <v>25</v>
      </c>
      <c r="I188" s="48">
        <f>SUMIFS(StockInData[Quantity],StockInData[Product ID],ProductMaster!$B188)-SUMIFS(StockOutData[Quantity],StockOutData[Product ID],ProductMaster!$B188)</f>
        <v>85</v>
      </c>
      <c r="J188" s="50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8">
        <v>188</v>
      </c>
      <c r="B189" s="48" t="s">
        <v>395</v>
      </c>
      <c r="C189" s="49" t="s">
        <v>396</v>
      </c>
      <c r="D189" s="48" t="s">
        <v>869</v>
      </c>
      <c r="E189" s="48" t="s">
        <v>871</v>
      </c>
      <c r="F189" s="50">
        <v>10</v>
      </c>
      <c r="G189" s="52">
        <f>StockInData[Expiry]</f>
        <v>44287</v>
      </c>
      <c r="H189" s="48">
        <v>25</v>
      </c>
      <c r="I189" s="48">
        <f>SUMIFS(StockInData[Quantity],StockInData[Product ID],ProductMaster!$B189)-SUMIFS(StockOutData[Quantity],StockOutData[Product ID],ProductMaster!$B189)</f>
        <v>42</v>
      </c>
      <c r="J189" s="50">
        <f>SUMIFS(StockInData[Value],StockInData[Product ID],ProductMaster!$B189)-SUMIFS(StockOutData[Value],StockOutData[Product ID],ProductMaster!$B189)</f>
        <v>105</v>
      </c>
    </row>
    <row r="190" spans="1:10" x14ac:dyDescent="0.25">
      <c r="A190" s="48">
        <v>189</v>
      </c>
      <c r="B190" s="48" t="s">
        <v>397</v>
      </c>
      <c r="C190" s="49" t="s">
        <v>398</v>
      </c>
      <c r="D190" s="48" t="s">
        <v>869</v>
      </c>
      <c r="E190" s="48" t="s">
        <v>871</v>
      </c>
      <c r="F190" s="50">
        <v>10</v>
      </c>
      <c r="G190" s="52">
        <f>StockInData[Expiry]</f>
        <v>44289</v>
      </c>
      <c r="H190" s="48">
        <v>25</v>
      </c>
      <c r="I190" s="48">
        <f>SUMIFS(StockInData[Quantity],StockInData[Product ID],ProductMaster!$B190)-SUMIFS(StockOutData[Quantity],StockOutData[Product ID],ProductMaster!$B190)</f>
        <v>28</v>
      </c>
      <c r="J190" s="50">
        <f>SUMIFS(StockInData[Value],StockInData[Product ID],ProductMaster!$B190)-SUMIFS(StockOutData[Value],StockOutData[Product ID],ProductMaster!$B190)</f>
        <v>70</v>
      </c>
    </row>
    <row r="191" spans="1:10" x14ac:dyDescent="0.25">
      <c r="A191" s="48">
        <v>190</v>
      </c>
      <c r="B191" s="48" t="s">
        <v>399</v>
      </c>
      <c r="C191" s="49" t="s">
        <v>400</v>
      </c>
      <c r="D191" s="48" t="s">
        <v>869</v>
      </c>
      <c r="E191" s="48" t="s">
        <v>871</v>
      </c>
      <c r="F191" s="50">
        <v>10</v>
      </c>
      <c r="G191" s="52">
        <f>StockInData[Expiry]</f>
        <v>44291</v>
      </c>
      <c r="H191" s="48">
        <v>25</v>
      </c>
      <c r="I191" s="48">
        <f>SUMIFS(StockInData[Quantity],StockInData[Product ID],ProductMaster!$B191)-SUMIFS(StockOutData[Quantity],StockOutData[Product ID],ProductMaster!$B191)</f>
        <v>16</v>
      </c>
      <c r="J191" s="50">
        <f>SUMIFS(StockInData[Value],StockInData[Product ID],ProductMaster!$B191)-SUMIFS(StockOutData[Value],StockOutData[Product ID],ProductMaster!$B191)</f>
        <v>40</v>
      </c>
    </row>
    <row r="192" spans="1:10" x14ac:dyDescent="0.25">
      <c r="A192" s="48">
        <v>191</v>
      </c>
      <c r="B192" s="48" t="s">
        <v>401</v>
      </c>
      <c r="C192" s="49" t="s">
        <v>402</v>
      </c>
      <c r="D192" s="48" t="s">
        <v>869</v>
      </c>
      <c r="E192" s="48" t="s">
        <v>871</v>
      </c>
      <c r="F192" s="50">
        <v>10</v>
      </c>
      <c r="G192" s="52">
        <f>StockInData[Expiry]</f>
        <v>44293</v>
      </c>
      <c r="H192" s="48">
        <v>25</v>
      </c>
      <c r="I192" s="48">
        <f>SUMIFS(StockInData[Quantity],StockInData[Product ID],ProductMaster!$B192)-SUMIFS(StockOutData[Quantity],StockOutData[Product ID],ProductMaster!$B192)</f>
        <v>12</v>
      </c>
      <c r="J192" s="50">
        <f>SUMIFS(StockInData[Value],StockInData[Product ID],ProductMaster!$B192)-SUMIFS(StockOutData[Value],StockOutData[Product ID],ProductMaster!$B192)</f>
        <v>30</v>
      </c>
    </row>
    <row r="193" spans="1:10" x14ac:dyDescent="0.25">
      <c r="A193" s="48">
        <v>192</v>
      </c>
      <c r="B193" s="48" t="s">
        <v>403</v>
      </c>
      <c r="C193" s="49" t="s">
        <v>404</v>
      </c>
      <c r="D193" s="48" t="s">
        <v>869</v>
      </c>
      <c r="E193" s="48" t="s">
        <v>871</v>
      </c>
      <c r="F193" s="50">
        <v>10</v>
      </c>
      <c r="G193" s="52">
        <f>StockInData[Expiry]</f>
        <v>44295</v>
      </c>
      <c r="H193" s="48">
        <v>25</v>
      </c>
      <c r="I193" s="48">
        <f>SUMIFS(StockInData[Quantity],StockInData[Product ID],ProductMaster!$B193)-SUMIFS(StockOutData[Quantity],StockOutData[Product ID],ProductMaster!$B193)</f>
        <v>15</v>
      </c>
      <c r="J193" s="50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8">
        <v>193</v>
      </c>
      <c r="B194" s="48" t="s">
        <v>405</v>
      </c>
      <c r="C194" s="49" t="s">
        <v>406</v>
      </c>
      <c r="D194" s="48" t="s">
        <v>869</v>
      </c>
      <c r="E194" s="48" t="s">
        <v>871</v>
      </c>
      <c r="F194" s="50">
        <v>10</v>
      </c>
      <c r="G194" s="52">
        <f>StockInData[Expiry]</f>
        <v>44297</v>
      </c>
      <c r="H194" s="48">
        <v>25</v>
      </c>
      <c r="I194" s="48">
        <f>SUMIFS(StockInData[Quantity],StockInData[Product ID],ProductMaster!$B194)-SUMIFS(StockOutData[Quantity],StockOutData[Product ID],ProductMaster!$B194)</f>
        <v>12</v>
      </c>
      <c r="J194" s="50">
        <f>SUMIFS(StockInData[Value],StockInData[Product ID],ProductMaster!$B194)-SUMIFS(StockOutData[Value],StockOutData[Product ID],ProductMaster!$B194)</f>
        <v>30</v>
      </c>
    </row>
    <row r="195" spans="1:10" x14ac:dyDescent="0.25">
      <c r="A195" s="48">
        <v>194</v>
      </c>
      <c r="B195" s="48" t="s">
        <v>407</v>
      </c>
      <c r="C195" s="49" t="s">
        <v>408</v>
      </c>
      <c r="D195" s="48" t="s">
        <v>869</v>
      </c>
      <c r="E195" s="48" t="s">
        <v>871</v>
      </c>
      <c r="F195" s="50">
        <v>10</v>
      </c>
      <c r="G195" s="52">
        <f>StockInData[Expiry]</f>
        <v>44299</v>
      </c>
      <c r="H195" s="48">
        <v>25</v>
      </c>
      <c r="I195" s="48">
        <f>SUMIFS(StockInData[Quantity],StockInData[Product ID],ProductMaster!$B195)-SUMIFS(StockOutData[Quantity],StockOutData[Product ID],ProductMaster!$B195)</f>
        <v>8</v>
      </c>
      <c r="J195" s="50">
        <f>SUMIFS(StockInData[Value],StockInData[Product ID],ProductMaster!$B195)-SUMIFS(StockOutData[Value],StockOutData[Product ID],ProductMaster!$B195)</f>
        <v>20</v>
      </c>
    </row>
    <row r="196" spans="1:10" x14ac:dyDescent="0.25">
      <c r="A196" s="48">
        <v>195</v>
      </c>
      <c r="B196" s="48" t="s">
        <v>409</v>
      </c>
      <c r="C196" s="49" t="s">
        <v>410</v>
      </c>
      <c r="D196" s="48" t="s">
        <v>869</v>
      </c>
      <c r="E196" s="48" t="s">
        <v>871</v>
      </c>
      <c r="F196" s="50">
        <v>10</v>
      </c>
      <c r="G196" s="52">
        <f>StockInData[Expiry]</f>
        <v>44301</v>
      </c>
      <c r="H196" s="48">
        <v>25</v>
      </c>
      <c r="I196" s="48">
        <f>SUMIFS(StockInData[Quantity],StockInData[Product ID],ProductMaster!$B196)-SUMIFS(StockOutData[Quantity],StockOutData[Product ID],ProductMaster!$B196)</f>
        <v>47</v>
      </c>
      <c r="J196" s="50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8">
        <v>196</v>
      </c>
      <c r="B197" s="48" t="s">
        <v>411</v>
      </c>
      <c r="C197" s="49" t="s">
        <v>412</v>
      </c>
      <c r="D197" s="48" t="s">
        <v>869</v>
      </c>
      <c r="E197" s="48" t="s">
        <v>871</v>
      </c>
      <c r="F197" s="50">
        <v>10</v>
      </c>
      <c r="G197" s="52">
        <f>StockInData[Expiry]</f>
        <v>44303</v>
      </c>
      <c r="H197" s="48">
        <v>25</v>
      </c>
      <c r="I197" s="48">
        <f>SUMIFS(StockInData[Quantity],StockInData[Product ID],ProductMaster!$B197)-SUMIFS(StockOutData[Quantity],StockOutData[Product ID],ProductMaster!$B197)</f>
        <v>62</v>
      </c>
      <c r="J197" s="50">
        <f>SUMIFS(StockInData[Value],StockInData[Product ID],ProductMaster!$B197)-SUMIFS(StockOutData[Value],StockOutData[Product ID],ProductMaster!$B197)</f>
        <v>155</v>
      </c>
    </row>
    <row r="198" spans="1:10" x14ac:dyDescent="0.25">
      <c r="A198" s="48">
        <v>197</v>
      </c>
      <c r="B198" s="48" t="s">
        <v>413</v>
      </c>
      <c r="C198" s="49" t="s">
        <v>414</v>
      </c>
      <c r="D198" s="48" t="s">
        <v>869</v>
      </c>
      <c r="E198" s="48" t="s">
        <v>871</v>
      </c>
      <c r="F198" s="50">
        <v>10</v>
      </c>
      <c r="G198" s="52">
        <f>StockInData[Expiry]</f>
        <v>44305</v>
      </c>
      <c r="H198" s="48">
        <v>25</v>
      </c>
      <c r="I198" s="48">
        <f>SUMIFS(StockInData[Quantity],StockInData[Product ID],ProductMaster!$B198)-SUMIFS(StockOutData[Quantity],StockOutData[Product ID],ProductMaster!$B198)</f>
        <v>70</v>
      </c>
      <c r="J198" s="50">
        <f>SUMIFS(StockInData[Value],StockInData[Product ID],ProductMaster!$B198)-SUMIFS(StockOutData[Value],StockOutData[Product ID],ProductMaster!$B198)</f>
        <v>175</v>
      </c>
    </row>
    <row r="199" spans="1:10" x14ac:dyDescent="0.25">
      <c r="A199" s="48">
        <v>198</v>
      </c>
      <c r="B199" s="48" t="s">
        <v>415</v>
      </c>
      <c r="C199" s="49" t="s">
        <v>416</v>
      </c>
      <c r="D199" s="48" t="s">
        <v>869</v>
      </c>
      <c r="E199" s="48" t="s">
        <v>871</v>
      </c>
      <c r="F199" s="50">
        <v>10</v>
      </c>
      <c r="G199" s="52">
        <f>StockInData[Expiry]</f>
        <v>44307</v>
      </c>
      <c r="H199" s="48">
        <v>25</v>
      </c>
      <c r="I199" s="48">
        <f>SUMIFS(StockInData[Quantity],StockInData[Product ID],ProductMaster!$B199)-SUMIFS(StockOutData[Quantity],StockOutData[Product ID],ProductMaster!$B199)</f>
        <v>86</v>
      </c>
      <c r="J199" s="50">
        <f>SUMIFS(StockInData[Value],StockInData[Product ID],ProductMaster!$B199)-SUMIFS(StockOutData[Value],StockOutData[Product ID],ProductMaster!$B199)</f>
        <v>215</v>
      </c>
    </row>
    <row r="200" spans="1:10" x14ac:dyDescent="0.25">
      <c r="A200" s="48">
        <v>199</v>
      </c>
      <c r="B200" s="48" t="s">
        <v>417</v>
      </c>
      <c r="C200" s="49" t="s">
        <v>418</v>
      </c>
      <c r="D200" s="48" t="s">
        <v>869</v>
      </c>
      <c r="E200" s="48" t="s">
        <v>871</v>
      </c>
      <c r="F200" s="50">
        <v>10</v>
      </c>
      <c r="G200" s="52">
        <f>StockInData[Expiry]</f>
        <v>44309</v>
      </c>
      <c r="H200" s="48">
        <v>25</v>
      </c>
      <c r="I200" s="48">
        <f>SUMIFS(StockInData[Quantity],StockInData[Product ID],ProductMaster!$B200)-SUMIFS(StockOutData[Quantity],StockOutData[Product ID],ProductMaster!$B200)</f>
        <v>96</v>
      </c>
      <c r="J200" s="50">
        <f>SUMIFS(StockInData[Value],StockInData[Product ID],ProductMaster!$B200)-SUMIFS(StockOutData[Value],StockOutData[Product ID],ProductMaster!$B200)</f>
        <v>240</v>
      </c>
    </row>
    <row r="201" spans="1:10" x14ac:dyDescent="0.25">
      <c r="A201" s="48">
        <v>200</v>
      </c>
      <c r="B201" s="48" t="s">
        <v>419</v>
      </c>
      <c r="C201" s="49" t="s">
        <v>420</v>
      </c>
      <c r="D201" s="48" t="s">
        <v>869</v>
      </c>
      <c r="E201" s="48" t="s">
        <v>871</v>
      </c>
      <c r="F201" s="50">
        <v>10</v>
      </c>
      <c r="G201" s="52">
        <f>StockInData[Expiry]</f>
        <v>44311</v>
      </c>
      <c r="H201" s="48">
        <v>25</v>
      </c>
      <c r="I201" s="48">
        <f>SUMIFS(StockInData[Quantity],StockInData[Product ID],ProductMaster!$B201)-SUMIFS(StockOutData[Quantity],StockOutData[Product ID],ProductMaster!$B201)</f>
        <v>93</v>
      </c>
      <c r="J201" s="50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8">
        <v>201</v>
      </c>
      <c r="B202" s="48" t="s">
        <v>421</v>
      </c>
      <c r="C202" s="49" t="s">
        <v>422</v>
      </c>
      <c r="D202" s="48" t="s">
        <v>869</v>
      </c>
      <c r="E202" s="48" t="s">
        <v>871</v>
      </c>
      <c r="F202" s="50">
        <v>10</v>
      </c>
      <c r="G202" s="52">
        <f>StockInData[Expiry]</f>
        <v>44313</v>
      </c>
      <c r="H202" s="48">
        <v>25</v>
      </c>
      <c r="I202" s="48">
        <f>SUMIFS(StockInData[Quantity],StockInData[Product ID],ProductMaster!$B202)-SUMIFS(StockOutData[Quantity],StockOutData[Product ID],ProductMaster!$B202)</f>
        <v>85</v>
      </c>
      <c r="J202" s="50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8">
        <v>202</v>
      </c>
      <c r="B203" s="48" t="s">
        <v>423</v>
      </c>
      <c r="C203" s="49" t="s">
        <v>424</v>
      </c>
      <c r="D203" s="48" t="s">
        <v>869</v>
      </c>
      <c r="E203" s="48" t="s">
        <v>871</v>
      </c>
      <c r="F203" s="50">
        <v>10</v>
      </c>
      <c r="G203" s="52">
        <f>StockInData[Expiry]</f>
        <v>44315</v>
      </c>
      <c r="H203" s="48">
        <v>25</v>
      </c>
      <c r="I203" s="48">
        <f>SUMIFS(StockInData[Quantity],StockInData[Product ID],ProductMaster!$B203)-SUMIFS(StockOutData[Quantity],StockOutData[Product ID],ProductMaster!$B203)</f>
        <v>82</v>
      </c>
      <c r="J203" s="50">
        <f>SUMIFS(StockInData[Value],StockInData[Product ID],ProductMaster!$B203)-SUMIFS(StockOutData[Value],StockOutData[Product ID],ProductMaster!$B203)</f>
        <v>205</v>
      </c>
    </row>
    <row r="204" spans="1:10" x14ac:dyDescent="0.25">
      <c r="A204" s="48">
        <v>203</v>
      </c>
      <c r="B204" s="48" t="s">
        <v>425</v>
      </c>
      <c r="C204" s="49" t="s">
        <v>426</v>
      </c>
      <c r="D204" s="48" t="s">
        <v>869</v>
      </c>
      <c r="E204" s="48" t="s">
        <v>871</v>
      </c>
      <c r="F204" s="50">
        <v>10</v>
      </c>
      <c r="G204" s="52">
        <f>StockInData[Expiry]</f>
        <v>44317</v>
      </c>
      <c r="H204" s="48">
        <v>25</v>
      </c>
      <c r="I204" s="48">
        <f>SUMIFS(StockInData[Quantity],StockInData[Product ID],ProductMaster!$B204)-SUMIFS(StockOutData[Quantity],StockOutData[Product ID],ProductMaster!$B204)</f>
        <v>88</v>
      </c>
      <c r="J204" s="50">
        <f>SUMIFS(StockInData[Value],StockInData[Product ID],ProductMaster!$B204)-SUMIFS(StockOutData[Value],StockOutData[Product ID],ProductMaster!$B204)</f>
        <v>220</v>
      </c>
    </row>
    <row r="205" spans="1:10" x14ac:dyDescent="0.25">
      <c r="A205" s="48">
        <v>204</v>
      </c>
      <c r="B205" s="48" t="s">
        <v>427</v>
      </c>
      <c r="C205" s="49" t="s">
        <v>428</v>
      </c>
      <c r="D205" s="48" t="s">
        <v>869</v>
      </c>
      <c r="E205" s="48" t="s">
        <v>871</v>
      </c>
      <c r="F205" s="50">
        <v>10</v>
      </c>
      <c r="G205" s="52">
        <f>StockInData[Expiry]</f>
        <v>44319</v>
      </c>
      <c r="H205" s="48">
        <v>25</v>
      </c>
      <c r="I205" s="48">
        <f>SUMIFS(StockInData[Quantity],StockInData[Product ID],ProductMaster!$B205)-SUMIFS(StockOutData[Quantity],StockOutData[Product ID],ProductMaster!$B205)</f>
        <v>30</v>
      </c>
      <c r="J205" s="50">
        <f>SUMIFS(StockInData[Value],StockInData[Product ID],ProductMaster!$B205)-SUMIFS(StockOutData[Value],StockOutData[Product ID],ProductMaster!$B205)</f>
        <v>75</v>
      </c>
    </row>
    <row r="206" spans="1:10" x14ac:dyDescent="0.25">
      <c r="A206" s="48">
        <v>205</v>
      </c>
      <c r="B206" s="48" t="s">
        <v>429</v>
      </c>
      <c r="C206" s="49" t="s">
        <v>430</v>
      </c>
      <c r="D206" s="48" t="s">
        <v>869</v>
      </c>
      <c r="E206" s="48" t="s">
        <v>871</v>
      </c>
      <c r="F206" s="50">
        <v>10</v>
      </c>
      <c r="G206" s="52">
        <f>StockInData[Expiry]</f>
        <v>44321</v>
      </c>
      <c r="H206" s="48">
        <v>25</v>
      </c>
      <c r="I206" s="48">
        <f>SUMIFS(StockInData[Quantity],StockInData[Product ID],ProductMaster!$B206)-SUMIFS(StockOutData[Quantity],StockOutData[Product ID],ProductMaster!$B206)</f>
        <v>20</v>
      </c>
      <c r="J206" s="50">
        <f>SUMIFS(StockInData[Value],StockInData[Product ID],ProductMaster!$B206)-SUMIFS(StockOutData[Value],StockOutData[Product ID],ProductMaster!$B206)</f>
        <v>50</v>
      </c>
    </row>
    <row r="207" spans="1:10" x14ac:dyDescent="0.25">
      <c r="A207" s="48">
        <v>206</v>
      </c>
      <c r="B207" s="48" t="s">
        <v>431</v>
      </c>
      <c r="C207" s="49" t="s">
        <v>432</v>
      </c>
      <c r="D207" s="48" t="s">
        <v>869</v>
      </c>
      <c r="E207" s="48" t="s">
        <v>871</v>
      </c>
      <c r="F207" s="50">
        <v>10</v>
      </c>
      <c r="G207" s="52">
        <f>StockInData[Expiry]</f>
        <v>44323</v>
      </c>
      <c r="H207" s="48">
        <v>25</v>
      </c>
      <c r="I207" s="48">
        <f>SUMIFS(StockInData[Quantity],StockInData[Product ID],ProductMaster!$B207)-SUMIFS(StockOutData[Quantity],StockOutData[Product ID],ProductMaster!$B207)</f>
        <v>15</v>
      </c>
      <c r="J207" s="50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8">
        <v>207</v>
      </c>
      <c r="B208" s="48" t="s">
        <v>433</v>
      </c>
      <c r="C208" s="49" t="s">
        <v>434</v>
      </c>
      <c r="D208" s="48" t="s">
        <v>869</v>
      </c>
      <c r="E208" s="48" t="s">
        <v>871</v>
      </c>
      <c r="F208" s="50">
        <v>10</v>
      </c>
      <c r="G208" s="52">
        <f>StockInData[Expiry]</f>
        <v>44325</v>
      </c>
      <c r="H208" s="48">
        <v>25</v>
      </c>
      <c r="I208" s="48">
        <f>SUMIFS(StockInData[Quantity],StockInData[Product ID],ProductMaster!$B208)-SUMIFS(StockOutData[Quantity],StockOutData[Product ID],ProductMaster!$B208)</f>
        <v>10</v>
      </c>
      <c r="J208" s="50">
        <f>SUMIFS(StockInData[Value],StockInData[Product ID],ProductMaster!$B208)-SUMIFS(StockOutData[Value],StockOutData[Product ID],ProductMaster!$B208)</f>
        <v>25</v>
      </c>
    </row>
    <row r="209" spans="1:10" x14ac:dyDescent="0.25">
      <c r="A209" s="48">
        <v>208</v>
      </c>
      <c r="B209" s="48" t="s">
        <v>435</v>
      </c>
      <c r="C209" s="49" t="s">
        <v>436</v>
      </c>
      <c r="D209" s="48" t="s">
        <v>869</v>
      </c>
      <c r="E209" s="48" t="s">
        <v>871</v>
      </c>
      <c r="F209" s="50">
        <v>10</v>
      </c>
      <c r="G209" s="52">
        <f>StockInData[Expiry]</f>
        <v>44327</v>
      </c>
      <c r="H209" s="48">
        <v>25</v>
      </c>
      <c r="I209" s="48">
        <f>SUMIFS(StockInData[Quantity],StockInData[Product ID],ProductMaster!$B209)-SUMIFS(StockOutData[Quantity],StockOutData[Product ID],ProductMaster!$B209)</f>
        <v>-3</v>
      </c>
      <c r="J209" s="50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8">
        <v>209</v>
      </c>
      <c r="B210" s="48" t="s">
        <v>437</v>
      </c>
      <c r="C210" s="49" t="s">
        <v>438</v>
      </c>
      <c r="D210" s="48" t="s">
        <v>869</v>
      </c>
      <c r="E210" s="48" t="s">
        <v>871</v>
      </c>
      <c r="F210" s="50">
        <v>10</v>
      </c>
      <c r="G210" s="52">
        <f>StockInData[Expiry]</f>
        <v>44329</v>
      </c>
      <c r="H210" s="48">
        <v>25</v>
      </c>
      <c r="I210" s="48">
        <f>SUMIFS(StockInData[Quantity],StockInData[Product ID],ProductMaster!$B210)-SUMIFS(StockOutData[Quantity],StockOutData[Product ID],ProductMaster!$B210)</f>
        <v>16</v>
      </c>
      <c r="J210" s="50">
        <f>SUMIFS(StockInData[Value],StockInData[Product ID],ProductMaster!$B210)-SUMIFS(StockOutData[Value],StockOutData[Product ID],ProductMaster!$B210)</f>
        <v>40</v>
      </c>
    </row>
    <row r="211" spans="1:10" x14ac:dyDescent="0.25">
      <c r="A211" s="48">
        <v>210</v>
      </c>
      <c r="B211" s="48" t="s">
        <v>439</v>
      </c>
      <c r="C211" s="49" t="s">
        <v>440</v>
      </c>
      <c r="D211" s="48" t="s">
        <v>869</v>
      </c>
      <c r="E211" s="48" t="s">
        <v>877</v>
      </c>
      <c r="F211" s="50">
        <v>10</v>
      </c>
      <c r="G211" s="52">
        <f>StockInData[Expiry]</f>
        <v>44331</v>
      </c>
      <c r="H211" s="48">
        <v>25</v>
      </c>
      <c r="I211" s="48">
        <f>SUMIFS(StockInData[Quantity],StockInData[Product ID],ProductMaster!$B211)-SUMIFS(StockOutData[Quantity],StockOutData[Product ID],ProductMaster!$B211)</f>
        <v>38</v>
      </c>
      <c r="J211" s="50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8">
        <v>211</v>
      </c>
      <c r="B212" s="48" t="s">
        <v>441</v>
      </c>
      <c r="C212" s="49" t="s">
        <v>442</v>
      </c>
      <c r="D212" s="48" t="s">
        <v>869</v>
      </c>
      <c r="E212" s="48" t="s">
        <v>877</v>
      </c>
      <c r="F212" s="50">
        <v>10</v>
      </c>
      <c r="G212" s="52">
        <f>StockInData[Expiry]</f>
        <v>44333</v>
      </c>
      <c r="H212" s="48">
        <v>25</v>
      </c>
      <c r="I212" s="48">
        <f>SUMIFS(StockInData[Quantity],StockInData[Product ID],ProductMaster!$B212)-SUMIFS(StockOutData[Quantity],StockOutData[Product ID],ProductMaster!$B212)</f>
        <v>56</v>
      </c>
      <c r="J212" s="50">
        <f>SUMIFS(StockInData[Value],StockInData[Product ID],ProductMaster!$B212)-SUMIFS(StockOutData[Value],StockOutData[Product ID],ProductMaster!$B212)</f>
        <v>140</v>
      </c>
    </row>
    <row r="213" spans="1:10" x14ac:dyDescent="0.25">
      <c r="A213" s="48">
        <v>212</v>
      </c>
      <c r="B213" s="48" t="s">
        <v>443</v>
      </c>
      <c r="C213" s="49" t="s">
        <v>444</v>
      </c>
      <c r="D213" s="48" t="s">
        <v>869</v>
      </c>
      <c r="E213" s="48" t="s">
        <v>877</v>
      </c>
      <c r="F213" s="50">
        <v>10</v>
      </c>
      <c r="G213" s="52">
        <f>StockInData[Expiry]</f>
        <v>44335</v>
      </c>
      <c r="H213" s="48">
        <v>25</v>
      </c>
      <c r="I213" s="48">
        <f>SUMIFS(StockInData[Quantity],StockInData[Product ID],ProductMaster!$B213)-SUMIFS(StockOutData[Quantity],StockOutData[Product ID],ProductMaster!$B213)</f>
        <v>72</v>
      </c>
      <c r="J213" s="50">
        <f>SUMIFS(StockInData[Value],StockInData[Product ID],ProductMaster!$B213)-SUMIFS(StockOutData[Value],StockOutData[Product ID],ProductMaster!$B213)</f>
        <v>180</v>
      </c>
    </row>
    <row r="214" spans="1:10" x14ac:dyDescent="0.25">
      <c r="A214" s="48">
        <v>213</v>
      </c>
      <c r="B214" s="48" t="s">
        <v>445</v>
      </c>
      <c r="C214" s="49" t="s">
        <v>446</v>
      </c>
      <c r="D214" s="48" t="s">
        <v>869</v>
      </c>
      <c r="E214" s="48" t="s">
        <v>877</v>
      </c>
      <c r="F214" s="50">
        <v>10</v>
      </c>
      <c r="G214" s="52">
        <f>StockInData[Expiry]</f>
        <v>44337</v>
      </c>
      <c r="H214" s="48">
        <v>25</v>
      </c>
      <c r="I214" s="48">
        <f>SUMIFS(StockInData[Quantity],StockInData[Product ID],ProductMaster!$B214)-SUMIFS(StockOutData[Quantity],StockOutData[Product ID],ProductMaster!$B214)</f>
        <v>85</v>
      </c>
      <c r="J214" s="50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8">
        <v>214</v>
      </c>
      <c r="B215" s="48" t="s">
        <v>447</v>
      </c>
      <c r="C215" s="49" t="s">
        <v>448</v>
      </c>
      <c r="D215" s="48" t="s">
        <v>869</v>
      </c>
      <c r="E215" s="48" t="s">
        <v>877</v>
      </c>
      <c r="F215" s="50">
        <v>10</v>
      </c>
      <c r="G215" s="52">
        <f>StockInData[Expiry]</f>
        <v>44339</v>
      </c>
      <c r="H215" s="48">
        <v>25</v>
      </c>
      <c r="I215" s="48">
        <f>SUMIFS(StockInData[Quantity],StockInData[Product ID],ProductMaster!$B215)-SUMIFS(StockOutData[Quantity],StockOutData[Product ID],ProductMaster!$B215)</f>
        <v>88</v>
      </c>
      <c r="J215" s="50">
        <f>SUMIFS(StockInData[Value],StockInData[Product ID],ProductMaster!$B215)-SUMIFS(StockOutData[Value],StockOutData[Product ID],ProductMaster!$B215)</f>
        <v>220</v>
      </c>
    </row>
    <row r="216" spans="1:10" x14ac:dyDescent="0.25">
      <c r="A216" s="48">
        <v>215</v>
      </c>
      <c r="B216" s="48" t="s">
        <v>449</v>
      </c>
      <c r="C216" s="49" t="s">
        <v>450</v>
      </c>
      <c r="D216" s="48" t="s">
        <v>869</v>
      </c>
      <c r="E216" s="48" t="s">
        <v>877</v>
      </c>
      <c r="F216" s="50">
        <v>10</v>
      </c>
      <c r="G216" s="52">
        <f>StockInData[Expiry]</f>
        <v>44341</v>
      </c>
      <c r="H216" s="48">
        <v>25</v>
      </c>
      <c r="I216" s="48">
        <f>SUMIFS(StockInData[Quantity],StockInData[Product ID],ProductMaster!$B216)-SUMIFS(StockOutData[Quantity],StockOutData[Product ID],ProductMaster!$B216)</f>
        <v>55</v>
      </c>
      <c r="J216" s="50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8">
        <v>216</v>
      </c>
      <c r="B217" s="48" t="s">
        <v>451</v>
      </c>
      <c r="C217" s="49" t="s">
        <v>452</v>
      </c>
      <c r="D217" s="48" t="s">
        <v>869</v>
      </c>
      <c r="E217" s="48" t="s">
        <v>877</v>
      </c>
      <c r="F217" s="50">
        <v>10</v>
      </c>
      <c r="G217" s="52">
        <f>StockInData[Expiry]</f>
        <v>44343</v>
      </c>
      <c r="H217" s="48">
        <v>25</v>
      </c>
      <c r="I217" s="48">
        <f>SUMIFS(StockInData[Quantity],StockInData[Product ID],ProductMaster!$B217)-SUMIFS(StockOutData[Quantity],StockOutData[Product ID],ProductMaster!$B217)</f>
        <v>33</v>
      </c>
      <c r="J217" s="50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8">
        <v>217</v>
      </c>
      <c r="B218" s="48" t="s">
        <v>453</v>
      </c>
      <c r="C218" s="49" t="s">
        <v>454</v>
      </c>
      <c r="D218" s="48" t="s">
        <v>869</v>
      </c>
      <c r="E218" s="48" t="s">
        <v>877</v>
      </c>
      <c r="F218" s="50">
        <v>10</v>
      </c>
      <c r="G218" s="52">
        <f>StockInData[Expiry]</f>
        <v>44345</v>
      </c>
      <c r="H218" s="48">
        <v>25</v>
      </c>
      <c r="I218" s="48">
        <f>SUMIFS(StockInData[Quantity],StockInData[Product ID],ProductMaster!$B218)-SUMIFS(StockOutData[Quantity],StockOutData[Product ID],ProductMaster!$B218)</f>
        <v>15</v>
      </c>
      <c r="J218" s="50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8">
        <v>218</v>
      </c>
      <c r="B219" s="48" t="s">
        <v>455</v>
      </c>
      <c r="C219" s="49" t="s">
        <v>456</v>
      </c>
      <c r="D219" s="48" t="s">
        <v>869</v>
      </c>
      <c r="E219" s="48" t="s">
        <v>877</v>
      </c>
      <c r="F219" s="50">
        <v>10</v>
      </c>
      <c r="G219" s="52">
        <f>StockInData[Expiry]</f>
        <v>44347</v>
      </c>
      <c r="H219" s="48">
        <v>25</v>
      </c>
      <c r="I219" s="48">
        <f>SUMIFS(StockInData[Quantity],StockInData[Product ID],ProductMaster!$B219)-SUMIFS(StockOutData[Quantity],StockOutData[Product ID],ProductMaster!$B219)</f>
        <v>7</v>
      </c>
      <c r="J219" s="50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8">
        <v>219</v>
      </c>
      <c r="B220" s="48" t="s">
        <v>457</v>
      </c>
      <c r="C220" s="49" t="s">
        <v>458</v>
      </c>
      <c r="D220" s="48" t="s">
        <v>869</v>
      </c>
      <c r="E220" s="48" t="s">
        <v>877</v>
      </c>
      <c r="F220" s="50">
        <v>10</v>
      </c>
      <c r="G220" s="52">
        <f>StockInData[Expiry]</f>
        <v>44349</v>
      </c>
      <c r="H220" s="48">
        <v>25</v>
      </c>
      <c r="I220" s="48">
        <f>SUMIFS(StockInData[Quantity],StockInData[Product ID],ProductMaster!$B220)-SUMIFS(StockOutData[Quantity],StockOutData[Product ID],ProductMaster!$B220)</f>
        <v>8</v>
      </c>
      <c r="J220" s="50">
        <f>SUMIFS(StockInData[Value],StockInData[Product ID],ProductMaster!$B220)-SUMIFS(StockOutData[Value],StockOutData[Product ID],ProductMaster!$B220)</f>
        <v>20</v>
      </c>
    </row>
    <row r="221" spans="1:10" x14ac:dyDescent="0.25">
      <c r="A221" s="48">
        <v>220</v>
      </c>
      <c r="B221" s="48" t="s">
        <v>459</v>
      </c>
      <c r="C221" s="49" t="s">
        <v>460</v>
      </c>
      <c r="D221" s="48" t="s">
        <v>869</v>
      </c>
      <c r="E221" s="48" t="s">
        <v>877</v>
      </c>
      <c r="F221" s="50">
        <v>10</v>
      </c>
      <c r="G221" s="52">
        <f>StockInData[Expiry]</f>
        <v>44351</v>
      </c>
      <c r="H221" s="48">
        <v>25</v>
      </c>
      <c r="I221" s="48">
        <f>SUMIFS(StockInData[Quantity],StockInData[Product ID],ProductMaster!$B221)-SUMIFS(StockOutData[Quantity],StockOutData[Product ID],ProductMaster!$B221)</f>
        <v>5</v>
      </c>
      <c r="J221" s="50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8">
        <v>221</v>
      </c>
      <c r="B222" s="48" t="s">
        <v>461</v>
      </c>
      <c r="C222" s="49" t="s">
        <v>462</v>
      </c>
      <c r="D222" s="48" t="s">
        <v>869</v>
      </c>
      <c r="E222" s="48" t="s">
        <v>877</v>
      </c>
      <c r="F222" s="50">
        <v>10</v>
      </c>
      <c r="G222" s="52">
        <f>StockInData[Expiry]</f>
        <v>44353</v>
      </c>
      <c r="H222" s="48">
        <v>25</v>
      </c>
      <c r="I222" s="48">
        <f>SUMIFS(StockInData[Quantity],StockInData[Product ID],ProductMaster!$B222)-SUMIFS(StockOutData[Quantity],StockOutData[Product ID],ProductMaster!$B222)</f>
        <v>10</v>
      </c>
      <c r="J222" s="50">
        <f>SUMIFS(StockInData[Value],StockInData[Product ID],ProductMaster!$B222)-SUMIFS(StockOutData[Value],StockOutData[Product ID],ProductMaster!$B222)</f>
        <v>25</v>
      </c>
    </row>
    <row r="223" spans="1:10" x14ac:dyDescent="0.25">
      <c r="A223" s="48">
        <v>222</v>
      </c>
      <c r="B223" s="48" t="s">
        <v>463</v>
      </c>
      <c r="C223" s="49" t="s">
        <v>464</v>
      </c>
      <c r="D223" s="48" t="s">
        <v>869</v>
      </c>
      <c r="E223" s="48" t="s">
        <v>877</v>
      </c>
      <c r="F223" s="50">
        <v>10</v>
      </c>
      <c r="G223" s="52">
        <f>StockInData[Expiry]</f>
        <v>44355</v>
      </c>
      <c r="H223" s="48">
        <v>25</v>
      </c>
      <c r="I223" s="48">
        <f>SUMIFS(StockInData[Quantity],StockInData[Product ID],ProductMaster!$B223)-SUMIFS(StockOutData[Quantity],StockOutData[Product ID],ProductMaster!$B223)</f>
        <v>60</v>
      </c>
      <c r="J223" s="50">
        <f>SUMIFS(StockInData[Value],StockInData[Product ID],ProductMaster!$B223)-SUMIFS(StockOutData[Value],StockOutData[Product ID],ProductMaster!$B223)</f>
        <v>150</v>
      </c>
    </row>
    <row r="224" spans="1:10" x14ac:dyDescent="0.25">
      <c r="A224" s="48">
        <v>223</v>
      </c>
      <c r="B224" s="48" t="s">
        <v>465</v>
      </c>
      <c r="C224" s="49" t="s">
        <v>466</v>
      </c>
      <c r="D224" s="48" t="s">
        <v>869</v>
      </c>
      <c r="E224" s="48" t="s">
        <v>877</v>
      </c>
      <c r="F224" s="50">
        <v>10</v>
      </c>
      <c r="G224" s="52">
        <f>StockInData[Expiry]</f>
        <v>44357</v>
      </c>
      <c r="H224" s="48">
        <v>25</v>
      </c>
      <c r="I224" s="48">
        <f>SUMIFS(StockInData[Quantity],StockInData[Product ID],ProductMaster!$B224)-SUMIFS(StockOutData[Quantity],StockOutData[Product ID],ProductMaster!$B224)</f>
        <v>67</v>
      </c>
      <c r="J224" s="50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8">
        <v>224</v>
      </c>
      <c r="B225" s="48" t="s">
        <v>467</v>
      </c>
      <c r="C225" s="49" t="s">
        <v>468</v>
      </c>
      <c r="D225" s="48" t="s">
        <v>869</v>
      </c>
      <c r="E225" s="48" t="s">
        <v>877</v>
      </c>
      <c r="F225" s="50">
        <v>10</v>
      </c>
      <c r="G225" s="52">
        <f>StockInData[Expiry]</f>
        <v>44359</v>
      </c>
      <c r="H225" s="48">
        <v>25</v>
      </c>
      <c r="I225" s="48">
        <f>SUMIFS(StockInData[Quantity],StockInData[Product ID],ProductMaster!$B225)-SUMIFS(StockOutData[Quantity],StockOutData[Product ID],ProductMaster!$B225)</f>
        <v>69</v>
      </c>
      <c r="J225" s="50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8">
        <v>225</v>
      </c>
      <c r="B226" s="48" t="s">
        <v>469</v>
      </c>
      <c r="C226" s="49" t="s">
        <v>470</v>
      </c>
      <c r="D226" s="48" t="s">
        <v>869</v>
      </c>
      <c r="E226" s="48" t="s">
        <v>877</v>
      </c>
      <c r="F226" s="50">
        <v>10</v>
      </c>
      <c r="G226" s="52">
        <f>StockInData[Expiry]</f>
        <v>44361</v>
      </c>
      <c r="H226" s="48">
        <v>25</v>
      </c>
      <c r="I226" s="48">
        <f>SUMIFS(StockInData[Quantity],StockInData[Product ID],ProductMaster!$B226)-SUMIFS(StockOutData[Quantity],StockOutData[Product ID],ProductMaster!$B226)</f>
        <v>81</v>
      </c>
      <c r="J226" s="50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8">
        <v>226</v>
      </c>
      <c r="B227" s="48" t="s">
        <v>471</v>
      </c>
      <c r="C227" s="49" t="s">
        <v>472</v>
      </c>
      <c r="D227" s="48" t="s">
        <v>869</v>
      </c>
      <c r="E227" s="48" t="s">
        <v>877</v>
      </c>
      <c r="F227" s="50">
        <v>10</v>
      </c>
      <c r="G227" s="52">
        <f>StockInData[Expiry]</f>
        <v>44363</v>
      </c>
      <c r="H227" s="48">
        <v>25</v>
      </c>
      <c r="I227" s="48">
        <f>SUMIFS(StockInData[Quantity],StockInData[Product ID],ProductMaster!$B227)-SUMIFS(StockOutData[Quantity],StockOutData[Product ID],ProductMaster!$B227)</f>
        <v>89</v>
      </c>
      <c r="J227" s="50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8">
        <v>227</v>
      </c>
      <c r="B228" s="48" t="s">
        <v>473</v>
      </c>
      <c r="C228" s="49" t="s">
        <v>474</v>
      </c>
      <c r="D228" s="48" t="s">
        <v>869</v>
      </c>
      <c r="E228" s="48" t="s">
        <v>877</v>
      </c>
      <c r="F228" s="50">
        <v>10</v>
      </c>
      <c r="G228" s="52">
        <f>StockInData[Expiry]</f>
        <v>44365</v>
      </c>
      <c r="H228" s="48">
        <v>25</v>
      </c>
      <c r="I228" s="48">
        <f>SUMIFS(StockInData[Quantity],StockInData[Product ID],ProductMaster!$B228)-SUMIFS(StockOutData[Quantity],StockOutData[Product ID],ProductMaster!$B228)</f>
        <v>50</v>
      </c>
      <c r="J228" s="50">
        <f>SUMIFS(StockInData[Value],StockInData[Product ID],ProductMaster!$B228)-SUMIFS(StockOutData[Value],StockOutData[Product ID],ProductMaster!$B228)</f>
        <v>125</v>
      </c>
    </row>
    <row r="229" spans="1:10" x14ac:dyDescent="0.25">
      <c r="A229" s="48">
        <v>228</v>
      </c>
      <c r="B229" s="48" t="s">
        <v>475</v>
      </c>
      <c r="C229" s="49" t="s">
        <v>476</v>
      </c>
      <c r="D229" s="48" t="s">
        <v>869</v>
      </c>
      <c r="E229" s="48" t="s">
        <v>877</v>
      </c>
      <c r="F229" s="50">
        <v>10</v>
      </c>
      <c r="G229" s="52">
        <f>StockInData[Expiry]</f>
        <v>44367</v>
      </c>
      <c r="H229" s="48">
        <v>25</v>
      </c>
      <c r="I229" s="48">
        <f>SUMIFS(StockInData[Quantity],StockInData[Product ID],ProductMaster!$B229)-SUMIFS(StockOutData[Quantity],StockOutData[Product ID],ProductMaster!$B229)</f>
        <v>30</v>
      </c>
      <c r="J229" s="50">
        <f>SUMIFS(StockInData[Value],StockInData[Product ID],ProductMaster!$B229)-SUMIFS(StockOutData[Value],StockOutData[Product ID],ProductMaster!$B229)</f>
        <v>75</v>
      </c>
    </row>
    <row r="230" spans="1:10" x14ac:dyDescent="0.25">
      <c r="A230" s="48">
        <v>229</v>
      </c>
      <c r="B230" s="48" t="s">
        <v>477</v>
      </c>
      <c r="C230" s="49" t="s">
        <v>478</v>
      </c>
      <c r="D230" s="48" t="s">
        <v>869</v>
      </c>
      <c r="E230" s="48" t="s">
        <v>877</v>
      </c>
      <c r="F230" s="50">
        <v>10</v>
      </c>
      <c r="G230" s="52">
        <f>StockInData[Expiry]</f>
        <v>44369</v>
      </c>
      <c r="H230" s="48">
        <v>25</v>
      </c>
      <c r="I230" s="48">
        <f>SUMIFS(StockInData[Quantity],StockInData[Product ID],ProductMaster!$B230)-SUMIFS(StockOutData[Quantity],StockOutData[Product ID],ProductMaster!$B230)</f>
        <v>20</v>
      </c>
      <c r="J230" s="50">
        <f>SUMIFS(StockInData[Value],StockInData[Product ID],ProductMaster!$B230)-SUMIFS(StockOutData[Value],StockOutData[Product ID],ProductMaster!$B230)</f>
        <v>50</v>
      </c>
    </row>
    <row r="231" spans="1:10" x14ac:dyDescent="0.25">
      <c r="A231" s="48">
        <v>230</v>
      </c>
      <c r="B231" s="48" t="s">
        <v>479</v>
      </c>
      <c r="C231" s="49" t="s">
        <v>480</v>
      </c>
      <c r="D231" s="48" t="s">
        <v>869</v>
      </c>
      <c r="E231" s="48" t="s">
        <v>877</v>
      </c>
      <c r="F231" s="50">
        <v>10</v>
      </c>
      <c r="G231" s="52">
        <f>StockInData[Expiry]</f>
        <v>44371</v>
      </c>
      <c r="H231" s="48">
        <v>25</v>
      </c>
      <c r="I231" s="48">
        <f>SUMIFS(StockInData[Quantity],StockInData[Product ID],ProductMaster!$B231)-SUMIFS(StockOutData[Quantity],StockOutData[Product ID],ProductMaster!$B231)</f>
        <v>15</v>
      </c>
      <c r="J231" s="50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8">
        <v>231</v>
      </c>
      <c r="B232" s="48" t="s">
        <v>481</v>
      </c>
      <c r="C232" s="49" t="s">
        <v>482</v>
      </c>
      <c r="D232" s="48" t="s">
        <v>869</v>
      </c>
      <c r="E232" s="48" t="s">
        <v>877</v>
      </c>
      <c r="F232" s="50">
        <v>10</v>
      </c>
      <c r="G232" s="52">
        <f>StockInData[Expiry]</f>
        <v>44373</v>
      </c>
      <c r="H232" s="48">
        <v>25</v>
      </c>
      <c r="I232" s="48">
        <f>SUMIFS(StockInData[Quantity],StockInData[Product ID],ProductMaster!$B232)-SUMIFS(StockOutData[Quantity],StockOutData[Product ID],ProductMaster!$B232)</f>
        <v>10</v>
      </c>
      <c r="J232" s="50">
        <f>SUMIFS(StockInData[Value],StockInData[Product ID],ProductMaster!$B232)-SUMIFS(StockOutData[Value],StockOutData[Product ID],ProductMaster!$B232)</f>
        <v>25</v>
      </c>
    </row>
    <row r="233" spans="1:10" x14ac:dyDescent="0.25">
      <c r="A233" s="48">
        <v>232</v>
      </c>
      <c r="B233" s="48" t="s">
        <v>483</v>
      </c>
      <c r="C233" s="49" t="s">
        <v>484</v>
      </c>
      <c r="D233" s="48" t="s">
        <v>869</v>
      </c>
      <c r="E233" s="48" t="s">
        <v>877</v>
      </c>
      <c r="F233" s="50">
        <v>10</v>
      </c>
      <c r="G233" s="52">
        <f>StockInData[Expiry]</f>
        <v>44375</v>
      </c>
      <c r="H233" s="48">
        <v>25</v>
      </c>
      <c r="I233" s="48">
        <f>SUMIFS(StockInData[Quantity],StockInData[Product ID],ProductMaster!$B233)-SUMIFS(StockOutData[Quantity],StockOutData[Product ID],ProductMaster!$B233)</f>
        <v>12</v>
      </c>
      <c r="J233" s="50">
        <f>SUMIFS(StockInData[Value],StockInData[Product ID],ProductMaster!$B233)-SUMIFS(StockOutData[Value],StockOutData[Product ID],ProductMaster!$B233)</f>
        <v>30</v>
      </c>
    </row>
    <row r="234" spans="1:10" x14ac:dyDescent="0.25">
      <c r="A234" s="48">
        <v>233</v>
      </c>
      <c r="B234" s="48" t="s">
        <v>485</v>
      </c>
      <c r="C234" s="49" t="s">
        <v>486</v>
      </c>
      <c r="D234" s="48" t="s">
        <v>869</v>
      </c>
      <c r="E234" s="48" t="s">
        <v>877</v>
      </c>
      <c r="F234" s="50">
        <v>10</v>
      </c>
      <c r="G234" s="52">
        <f>StockInData[Expiry]</f>
        <v>44377</v>
      </c>
      <c r="H234" s="48">
        <v>25</v>
      </c>
      <c r="I234" s="48">
        <f>SUMIFS(StockInData[Quantity],StockInData[Product ID],ProductMaster!$B234)-SUMIFS(StockOutData[Quantity],StockOutData[Product ID],ProductMaster!$B234)</f>
        <v>8</v>
      </c>
      <c r="J234" s="50">
        <f>SUMIFS(StockInData[Value],StockInData[Product ID],ProductMaster!$B234)-SUMIFS(StockOutData[Value],StockOutData[Product ID],ProductMaster!$B234)</f>
        <v>20</v>
      </c>
    </row>
    <row r="235" spans="1:10" x14ac:dyDescent="0.25">
      <c r="A235" s="48">
        <v>234</v>
      </c>
      <c r="B235" s="48" t="s">
        <v>487</v>
      </c>
      <c r="C235" s="49" t="s">
        <v>488</v>
      </c>
      <c r="D235" s="48" t="s">
        <v>869</v>
      </c>
      <c r="E235" s="48" t="s">
        <v>877</v>
      </c>
      <c r="F235" s="50">
        <v>10</v>
      </c>
      <c r="G235" s="52">
        <f>StockInData[Expiry]</f>
        <v>44379</v>
      </c>
      <c r="H235" s="48">
        <v>25</v>
      </c>
      <c r="I235" s="48">
        <f>SUMIFS(StockInData[Quantity],StockInData[Product ID],ProductMaster!$B235)-SUMIFS(StockOutData[Quantity],StockOutData[Product ID],ProductMaster!$B235)</f>
        <v>41</v>
      </c>
      <c r="J235" s="50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8">
        <v>235</v>
      </c>
      <c r="B236" s="48" t="s">
        <v>489</v>
      </c>
      <c r="C236" s="49" t="s">
        <v>490</v>
      </c>
      <c r="D236" s="48" t="s">
        <v>869</v>
      </c>
      <c r="E236" s="48" t="s">
        <v>877</v>
      </c>
      <c r="F236" s="50">
        <v>10</v>
      </c>
      <c r="G236" s="52">
        <f>StockInData[Expiry]</f>
        <v>44381</v>
      </c>
      <c r="H236" s="48">
        <v>25</v>
      </c>
      <c r="I236" s="48">
        <f>SUMIFS(StockInData[Quantity],StockInData[Product ID],ProductMaster!$B236)-SUMIFS(StockOutData[Quantity],StockOutData[Product ID],ProductMaster!$B236)</f>
        <v>56</v>
      </c>
      <c r="J236" s="50">
        <f>SUMIFS(StockInData[Value],StockInData[Product ID],ProductMaster!$B236)-SUMIFS(StockOutData[Value],StockOutData[Product ID],ProductMaster!$B236)</f>
        <v>152</v>
      </c>
    </row>
    <row r="237" spans="1:10" x14ac:dyDescent="0.25">
      <c r="A237" s="48">
        <v>236</v>
      </c>
      <c r="B237" s="48" t="s">
        <v>491</v>
      </c>
      <c r="C237" s="49" t="s">
        <v>492</v>
      </c>
      <c r="D237" s="48" t="s">
        <v>869</v>
      </c>
      <c r="E237" s="48" t="s">
        <v>877</v>
      </c>
      <c r="F237" s="50">
        <v>10</v>
      </c>
      <c r="G237" s="52">
        <f>StockInData[Expiry]</f>
        <v>44383</v>
      </c>
      <c r="H237" s="48">
        <v>25</v>
      </c>
      <c r="I237" s="48">
        <f>SUMIFS(StockInData[Quantity],StockInData[Product ID],ProductMaster!$B237)-SUMIFS(StockOutData[Quantity],StockOutData[Product ID],ProductMaster!$B237)</f>
        <v>70</v>
      </c>
      <c r="J237" s="50">
        <f>SUMIFS(StockInData[Value],StockInData[Product ID],ProductMaster!$B237)-SUMIFS(StockOutData[Value],StockOutData[Product ID],ProductMaster!$B237)</f>
        <v>175</v>
      </c>
    </row>
    <row r="238" spans="1:10" x14ac:dyDescent="0.25">
      <c r="A238" s="48">
        <v>237</v>
      </c>
      <c r="B238" s="48" t="s">
        <v>493</v>
      </c>
      <c r="C238" s="49" t="s">
        <v>494</v>
      </c>
      <c r="D238" s="48" t="s">
        <v>869</v>
      </c>
      <c r="E238" s="48" t="s">
        <v>877</v>
      </c>
      <c r="F238" s="50">
        <v>10</v>
      </c>
      <c r="G238" s="52">
        <f>StockInData[Expiry]</f>
        <v>44385</v>
      </c>
      <c r="H238" s="48">
        <v>25</v>
      </c>
      <c r="I238" s="48">
        <f>SUMIFS(StockInData[Quantity],StockInData[Product ID],ProductMaster!$B238)-SUMIFS(StockOutData[Quantity],StockOutData[Product ID],ProductMaster!$B238)</f>
        <v>86</v>
      </c>
      <c r="J238" s="50">
        <f>SUMIFS(StockInData[Value],StockInData[Product ID],ProductMaster!$B238)-SUMIFS(StockOutData[Value],StockOutData[Product ID],ProductMaster!$B238)</f>
        <v>215</v>
      </c>
    </row>
    <row r="239" spans="1:10" x14ac:dyDescent="0.25">
      <c r="A239" s="48">
        <v>238</v>
      </c>
      <c r="B239" s="48" t="s">
        <v>495</v>
      </c>
      <c r="C239" s="49" t="s">
        <v>496</v>
      </c>
      <c r="D239" s="48" t="s">
        <v>869</v>
      </c>
      <c r="E239" s="48" t="s">
        <v>877</v>
      </c>
      <c r="F239" s="50">
        <v>10</v>
      </c>
      <c r="G239" s="52">
        <f>StockInData[Expiry]</f>
        <v>44387</v>
      </c>
      <c r="H239" s="48">
        <v>25</v>
      </c>
      <c r="I239" s="48">
        <f>SUMIFS(StockInData[Quantity],StockInData[Product ID],ProductMaster!$B239)-SUMIFS(StockOutData[Quantity],StockOutData[Product ID],ProductMaster!$B239)</f>
        <v>96</v>
      </c>
      <c r="J239" s="50">
        <f>SUMIFS(StockInData[Value],StockInData[Product ID],ProductMaster!$B239)-SUMIFS(StockOutData[Value],StockOutData[Product ID],ProductMaster!$B239)</f>
        <v>240</v>
      </c>
    </row>
    <row r="240" spans="1:10" x14ac:dyDescent="0.25">
      <c r="A240" s="48">
        <v>239</v>
      </c>
      <c r="B240" s="48" t="s">
        <v>497</v>
      </c>
      <c r="C240" s="49" t="s">
        <v>498</v>
      </c>
      <c r="D240" s="48" t="s">
        <v>869</v>
      </c>
      <c r="E240" s="48" t="s">
        <v>877</v>
      </c>
      <c r="F240" s="50">
        <v>10</v>
      </c>
      <c r="G240" s="52">
        <f>StockInData[Expiry]</f>
        <v>44389</v>
      </c>
      <c r="H240" s="48">
        <v>25</v>
      </c>
      <c r="I240" s="48">
        <f>SUMIFS(StockInData[Quantity],StockInData[Product ID],ProductMaster!$B240)-SUMIFS(StockOutData[Quantity],StockOutData[Product ID],ProductMaster!$B240)</f>
        <v>93</v>
      </c>
      <c r="J240" s="50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8">
        <v>240</v>
      </c>
      <c r="B241" s="48" t="s">
        <v>499</v>
      </c>
      <c r="C241" s="49" t="s">
        <v>500</v>
      </c>
      <c r="D241" s="48" t="s">
        <v>869</v>
      </c>
      <c r="E241" s="48" t="s">
        <v>877</v>
      </c>
      <c r="F241" s="50">
        <v>10</v>
      </c>
      <c r="G241" s="52">
        <f>StockInData[Expiry]</f>
        <v>44391</v>
      </c>
      <c r="H241" s="48">
        <v>25</v>
      </c>
      <c r="I241" s="48">
        <f>SUMIFS(StockInData[Quantity],StockInData[Product ID],ProductMaster!$B241)-SUMIFS(StockOutData[Quantity],StockOutData[Product ID],ProductMaster!$B241)</f>
        <v>45</v>
      </c>
      <c r="J241" s="50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8">
        <v>241</v>
      </c>
      <c r="B242" s="48" t="s">
        <v>501</v>
      </c>
      <c r="C242" s="49" t="s">
        <v>502</v>
      </c>
      <c r="D242" s="48" t="s">
        <v>869</v>
      </c>
      <c r="E242" s="48" t="s">
        <v>877</v>
      </c>
      <c r="F242" s="50">
        <v>10</v>
      </c>
      <c r="G242" s="52">
        <f>StockInData[Expiry]</f>
        <v>44393</v>
      </c>
      <c r="H242" s="48">
        <v>25</v>
      </c>
      <c r="I242" s="48">
        <f>SUMIFS(StockInData[Quantity],StockInData[Product ID],ProductMaster!$B242)-SUMIFS(StockOutData[Quantity],StockOutData[Product ID],ProductMaster!$B242)</f>
        <v>22</v>
      </c>
      <c r="J242" s="50">
        <f>SUMIFS(StockInData[Value],StockInData[Product ID],ProductMaster!$B242)-SUMIFS(StockOutData[Value],StockOutData[Product ID],ProductMaster!$B242)</f>
        <v>55</v>
      </c>
    </row>
    <row r="243" spans="1:10" x14ac:dyDescent="0.25">
      <c r="A243" s="48">
        <v>242</v>
      </c>
      <c r="B243" s="48" t="s">
        <v>503</v>
      </c>
      <c r="C243" s="49" t="s">
        <v>504</v>
      </c>
      <c r="D243" s="48" t="s">
        <v>869</v>
      </c>
      <c r="E243" s="48" t="s">
        <v>877</v>
      </c>
      <c r="F243" s="50">
        <v>10</v>
      </c>
      <c r="G243" s="52">
        <f>StockInData[Expiry]</f>
        <v>44395</v>
      </c>
      <c r="H243" s="48">
        <v>25</v>
      </c>
      <c r="I243" s="48">
        <f>SUMIFS(StockInData[Quantity],StockInData[Product ID],ProductMaster!$B243)-SUMIFS(StockOutData[Quantity],StockOutData[Product ID],ProductMaster!$B243)</f>
        <v>18</v>
      </c>
      <c r="J243" s="50">
        <f>SUMIFS(StockInData[Value],StockInData[Product ID],ProductMaster!$B243)-SUMIFS(StockOutData[Value],StockOutData[Product ID],ProductMaster!$B243)</f>
        <v>45</v>
      </c>
    </row>
    <row r="244" spans="1:10" x14ac:dyDescent="0.25">
      <c r="A244" s="48">
        <v>243</v>
      </c>
      <c r="B244" s="48" t="s">
        <v>505</v>
      </c>
      <c r="C244" s="49" t="s">
        <v>506</v>
      </c>
      <c r="D244" s="48" t="s">
        <v>869</v>
      </c>
      <c r="E244" s="48" t="s">
        <v>877</v>
      </c>
      <c r="F244" s="50">
        <v>10</v>
      </c>
      <c r="G244" s="52">
        <f>StockInData[Expiry]</f>
        <v>44397</v>
      </c>
      <c r="H244" s="48">
        <v>25</v>
      </c>
      <c r="I244" s="48">
        <f>SUMIFS(StockInData[Quantity],StockInData[Product ID],ProductMaster!$B244)-SUMIFS(StockOutData[Quantity],StockOutData[Product ID],ProductMaster!$B244)</f>
        <v>11</v>
      </c>
      <c r="J244" s="50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8">
        <v>244</v>
      </c>
      <c r="B245" s="48" t="s">
        <v>507</v>
      </c>
      <c r="C245" s="49" t="s">
        <v>508</v>
      </c>
      <c r="D245" s="48" t="s">
        <v>869</v>
      </c>
      <c r="E245" s="48" t="s">
        <v>877</v>
      </c>
      <c r="F245" s="50">
        <v>10</v>
      </c>
      <c r="G245" s="52">
        <f>StockInData[Expiry]</f>
        <v>44399</v>
      </c>
      <c r="H245" s="48">
        <v>25</v>
      </c>
      <c r="I245" s="48">
        <f>SUMIFS(StockInData[Quantity],StockInData[Product ID],ProductMaster!$B245)-SUMIFS(StockOutData[Quantity],StockOutData[Product ID],ProductMaster!$B245)</f>
        <v>7</v>
      </c>
      <c r="J245" s="50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8">
        <v>245</v>
      </c>
      <c r="B246" s="48" t="s">
        <v>509</v>
      </c>
      <c r="C246" s="49" t="s">
        <v>510</v>
      </c>
      <c r="D246" s="48" t="s">
        <v>869</v>
      </c>
      <c r="E246" s="48" t="s">
        <v>877</v>
      </c>
      <c r="F246" s="50">
        <v>10</v>
      </c>
      <c r="G246" s="52">
        <f>StockInData[Expiry]</f>
        <v>44401</v>
      </c>
      <c r="H246" s="48">
        <v>25</v>
      </c>
      <c r="I246" s="48">
        <f>SUMIFS(StockInData[Quantity],StockInData[Product ID],ProductMaster!$B246)-SUMIFS(StockOutData[Quantity],StockOutData[Product ID],ProductMaster!$B246)</f>
        <v>14</v>
      </c>
      <c r="J246" s="50">
        <f>SUMIFS(StockInData[Value],StockInData[Product ID],ProductMaster!$B246)-SUMIFS(StockOutData[Value],StockOutData[Product ID],ProductMaster!$B246)</f>
        <v>35</v>
      </c>
    </row>
    <row r="247" spans="1:10" x14ac:dyDescent="0.25">
      <c r="A247" s="48">
        <v>246</v>
      </c>
      <c r="B247" s="48" t="s">
        <v>511</v>
      </c>
      <c r="C247" s="49" t="s">
        <v>512</v>
      </c>
      <c r="D247" s="48" t="s">
        <v>869</v>
      </c>
      <c r="E247" s="48" t="s">
        <v>877</v>
      </c>
      <c r="F247" s="50">
        <v>10</v>
      </c>
      <c r="G247" s="52">
        <f>StockInData[Expiry]</f>
        <v>44403</v>
      </c>
      <c r="H247" s="48">
        <v>25</v>
      </c>
      <c r="I247" s="48">
        <f>SUMIFS(StockInData[Quantity],StockInData[Product ID],ProductMaster!$B247)-SUMIFS(StockOutData[Quantity],StockOutData[Product ID],ProductMaster!$B247)</f>
        <v>4</v>
      </c>
      <c r="J247" s="50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8">
        <v>247</v>
      </c>
      <c r="B248" s="48" t="s">
        <v>513</v>
      </c>
      <c r="C248" s="49" t="s">
        <v>514</v>
      </c>
      <c r="D248" s="48" t="s">
        <v>869</v>
      </c>
      <c r="E248" s="48" t="s">
        <v>877</v>
      </c>
      <c r="F248" s="50">
        <v>10</v>
      </c>
      <c r="G248" s="52">
        <f>StockInData[Expiry]</f>
        <v>44405</v>
      </c>
      <c r="H248" s="48">
        <v>25</v>
      </c>
      <c r="I248" s="48">
        <f>SUMIFS(StockInData[Quantity],StockInData[Product ID],ProductMaster!$B248)-SUMIFS(StockOutData[Quantity],StockOutData[Product ID],ProductMaster!$B248)</f>
        <v>50</v>
      </c>
      <c r="J248" s="50">
        <f>SUMIFS(StockInData[Value],StockInData[Product ID],ProductMaster!$B248)-SUMIFS(StockOutData[Value],StockOutData[Product ID],ProductMaster!$B248)</f>
        <v>125</v>
      </c>
    </row>
    <row r="249" spans="1:10" x14ac:dyDescent="0.25">
      <c r="A249" s="48">
        <v>248</v>
      </c>
      <c r="B249" s="48" t="s">
        <v>515</v>
      </c>
      <c r="C249" s="49" t="s">
        <v>516</v>
      </c>
      <c r="D249" s="48" t="s">
        <v>869</v>
      </c>
      <c r="E249" s="48" t="s">
        <v>877</v>
      </c>
      <c r="F249" s="50">
        <v>10</v>
      </c>
      <c r="G249" s="52">
        <f>StockInData[Expiry]</f>
        <v>44407</v>
      </c>
      <c r="H249" s="48">
        <v>25</v>
      </c>
      <c r="I249" s="48">
        <f>SUMIFS(StockInData[Quantity],StockInData[Product ID],ProductMaster!$B249)-SUMIFS(StockOutData[Quantity],StockOutData[Product ID],ProductMaster!$B249)</f>
        <v>56</v>
      </c>
      <c r="J249" s="50">
        <f>SUMIFS(StockInData[Value],StockInData[Product ID],ProductMaster!$B249)-SUMIFS(StockOutData[Value],StockOutData[Product ID],ProductMaster!$B249)</f>
        <v>140</v>
      </c>
    </row>
    <row r="250" spans="1:10" x14ac:dyDescent="0.25">
      <c r="A250" s="48">
        <v>249</v>
      </c>
      <c r="B250" s="48" t="s">
        <v>517</v>
      </c>
      <c r="C250" s="49" t="s">
        <v>518</v>
      </c>
      <c r="D250" s="48" t="s">
        <v>869</v>
      </c>
      <c r="E250" s="48" t="s">
        <v>877</v>
      </c>
      <c r="F250" s="50">
        <v>10</v>
      </c>
      <c r="G250" s="52">
        <f>StockInData[Expiry]</f>
        <v>44409</v>
      </c>
      <c r="H250" s="48">
        <v>25</v>
      </c>
      <c r="I250" s="48">
        <f>SUMIFS(StockInData[Quantity],StockInData[Product ID],ProductMaster!$B250)-SUMIFS(StockOutData[Quantity],StockOutData[Product ID],ProductMaster!$B250)</f>
        <v>72</v>
      </c>
      <c r="J250" s="50">
        <f>SUMIFS(StockInData[Value],StockInData[Product ID],ProductMaster!$B250)-SUMIFS(StockOutData[Value],StockOutData[Product ID],ProductMaster!$B250)</f>
        <v>180</v>
      </c>
    </row>
    <row r="251" spans="1:10" x14ac:dyDescent="0.25">
      <c r="A251" s="48">
        <v>250</v>
      </c>
      <c r="B251" s="48" t="s">
        <v>519</v>
      </c>
      <c r="C251" s="49" t="s">
        <v>520</v>
      </c>
      <c r="D251" s="48" t="s">
        <v>869</v>
      </c>
      <c r="E251" s="48" t="s">
        <v>877</v>
      </c>
      <c r="F251" s="50">
        <v>10</v>
      </c>
      <c r="G251" s="52">
        <f>StockInData[Expiry]</f>
        <v>44411</v>
      </c>
      <c r="H251" s="48">
        <v>25</v>
      </c>
      <c r="I251" s="48">
        <f>SUMIFS(StockInData[Quantity],StockInData[Product ID],ProductMaster!$B251)-SUMIFS(StockOutData[Quantity],StockOutData[Product ID],ProductMaster!$B251)</f>
        <v>89</v>
      </c>
      <c r="J251" s="50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8">
        <v>251</v>
      </c>
      <c r="B252" s="48" t="s">
        <v>521</v>
      </c>
      <c r="C252" s="49" t="s">
        <v>522</v>
      </c>
      <c r="D252" s="48" t="s">
        <v>869</v>
      </c>
      <c r="E252" s="48" t="s">
        <v>877</v>
      </c>
      <c r="F252" s="50">
        <v>10</v>
      </c>
      <c r="G252" s="52">
        <f>StockInData[Expiry]</f>
        <v>44413</v>
      </c>
      <c r="H252" s="48">
        <v>25</v>
      </c>
      <c r="I252" s="48">
        <f>SUMIFS(StockInData[Quantity],StockInData[Product ID],ProductMaster!$B252)-SUMIFS(StockOutData[Quantity],StockOutData[Product ID],ProductMaster!$B252)</f>
        <v>91</v>
      </c>
      <c r="J252" s="50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8">
        <v>252</v>
      </c>
      <c r="B253" s="48" t="s">
        <v>523</v>
      </c>
      <c r="C253" s="49" t="s">
        <v>524</v>
      </c>
      <c r="D253" s="48" t="s">
        <v>869</v>
      </c>
      <c r="E253" s="48" t="s">
        <v>877</v>
      </c>
      <c r="F253" s="50">
        <v>10</v>
      </c>
      <c r="G253" s="52">
        <f>StockInData[Expiry]</f>
        <v>44415</v>
      </c>
      <c r="H253" s="48">
        <v>25</v>
      </c>
      <c r="I253" s="48">
        <f>SUMIFS(StockInData[Quantity],StockInData[Product ID],ProductMaster!$B253)-SUMIFS(StockOutData[Quantity],StockOutData[Product ID],ProductMaster!$B253)</f>
        <v>90</v>
      </c>
      <c r="J253" s="50">
        <f>SUMIFS(StockInData[Value],StockInData[Product ID],ProductMaster!$B253)-SUMIFS(StockOutData[Value],StockOutData[Product ID],ProductMaster!$B253)</f>
        <v>225</v>
      </c>
    </row>
    <row r="254" spans="1:10" x14ac:dyDescent="0.25">
      <c r="A254" s="48">
        <v>253</v>
      </c>
      <c r="B254" s="48" t="s">
        <v>525</v>
      </c>
      <c r="C254" s="49" t="s">
        <v>526</v>
      </c>
      <c r="D254" s="48" t="s">
        <v>869</v>
      </c>
      <c r="E254" s="48" t="s">
        <v>877</v>
      </c>
      <c r="F254" s="50">
        <v>10</v>
      </c>
      <c r="G254" s="52">
        <f>StockInData[Expiry]</f>
        <v>44417</v>
      </c>
      <c r="H254" s="48">
        <v>25</v>
      </c>
      <c r="I254" s="48">
        <f>SUMIFS(StockInData[Quantity],StockInData[Product ID],ProductMaster!$B254)-SUMIFS(StockOutData[Quantity],StockOutData[Product ID],ProductMaster!$B254)</f>
        <v>90</v>
      </c>
      <c r="J254" s="50">
        <f>SUMIFS(StockInData[Value],StockInData[Product ID],ProductMaster!$B254)-SUMIFS(StockOutData[Value],StockOutData[Product ID],ProductMaster!$B254)</f>
        <v>225</v>
      </c>
    </row>
    <row r="255" spans="1:10" x14ac:dyDescent="0.25">
      <c r="A255" s="48">
        <v>254</v>
      </c>
      <c r="B255" s="48" t="s">
        <v>527</v>
      </c>
      <c r="C255" s="49" t="s">
        <v>528</v>
      </c>
      <c r="D255" s="48" t="s">
        <v>869</v>
      </c>
      <c r="E255" s="48" t="s">
        <v>877</v>
      </c>
      <c r="F255" s="50">
        <v>10</v>
      </c>
      <c r="G255" s="52">
        <f>StockInData[Expiry]</f>
        <v>44419</v>
      </c>
      <c r="H255" s="48">
        <v>25</v>
      </c>
      <c r="I255" s="48">
        <f>SUMIFS(StockInData[Quantity],StockInData[Product ID],ProductMaster!$B255)-SUMIFS(StockOutData[Quantity],StockOutData[Product ID],ProductMaster!$B255)</f>
        <v>93</v>
      </c>
      <c r="J255" s="50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8">
        <v>255</v>
      </c>
      <c r="B256" s="48" t="s">
        <v>529</v>
      </c>
      <c r="C256" s="49" t="s">
        <v>530</v>
      </c>
      <c r="D256" s="48" t="s">
        <v>869</v>
      </c>
      <c r="E256" s="48" t="s">
        <v>877</v>
      </c>
      <c r="F256" s="50">
        <v>10</v>
      </c>
      <c r="G256" s="52">
        <f>StockInData[Expiry]</f>
        <v>44421</v>
      </c>
      <c r="H256" s="48">
        <v>25</v>
      </c>
      <c r="I256" s="48">
        <f>SUMIFS(StockInData[Quantity],StockInData[Product ID],ProductMaster!$B256)-SUMIFS(StockOutData[Quantity],StockOutData[Product ID],ProductMaster!$B256)</f>
        <v>85</v>
      </c>
      <c r="J256" s="50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8">
        <v>256</v>
      </c>
      <c r="B257" s="48" t="s">
        <v>531</v>
      </c>
      <c r="C257" s="49" t="s">
        <v>532</v>
      </c>
      <c r="D257" s="48" t="s">
        <v>869</v>
      </c>
      <c r="E257" s="48" t="s">
        <v>877</v>
      </c>
      <c r="F257" s="50">
        <v>10</v>
      </c>
      <c r="G257" s="52">
        <f>StockInData[Expiry]</f>
        <v>44423</v>
      </c>
      <c r="H257" s="48">
        <v>25</v>
      </c>
      <c r="I257" s="48">
        <f>SUMIFS(StockInData[Quantity],StockInData[Product ID],ProductMaster!$B257)-SUMIFS(StockOutData[Quantity],StockOutData[Product ID],ProductMaster!$B257)</f>
        <v>82</v>
      </c>
      <c r="J257" s="50">
        <f>SUMIFS(StockInData[Value],StockInData[Product ID],ProductMaster!$B257)-SUMIFS(StockOutData[Value],StockOutData[Product ID],ProductMaster!$B257)</f>
        <v>205</v>
      </c>
    </row>
    <row r="258" spans="1:10" x14ac:dyDescent="0.25">
      <c r="A258" s="48">
        <v>257</v>
      </c>
      <c r="B258" s="48" t="s">
        <v>533</v>
      </c>
      <c r="C258" s="49" t="s">
        <v>534</v>
      </c>
      <c r="D258" s="48" t="s">
        <v>869</v>
      </c>
      <c r="E258" s="48" t="s">
        <v>877</v>
      </c>
      <c r="F258" s="50">
        <v>10</v>
      </c>
      <c r="G258" s="52">
        <f>StockInData[Expiry]</f>
        <v>44425</v>
      </c>
      <c r="H258" s="48">
        <v>25</v>
      </c>
      <c r="I258" s="48">
        <f>SUMIFS(StockInData[Quantity],StockInData[Product ID],ProductMaster!$B258)-SUMIFS(StockOutData[Quantity],StockOutData[Product ID],ProductMaster!$B258)</f>
        <v>88</v>
      </c>
      <c r="J258" s="50">
        <f>SUMIFS(StockInData[Value],StockInData[Product ID],ProductMaster!$B258)-SUMIFS(StockOutData[Value],StockOutData[Product ID],ProductMaster!$B258)</f>
        <v>220</v>
      </c>
    </row>
    <row r="259" spans="1:10" x14ac:dyDescent="0.25">
      <c r="A259" s="48">
        <v>258</v>
      </c>
      <c r="B259" s="48" t="s">
        <v>535</v>
      </c>
      <c r="C259" s="49" t="s">
        <v>536</v>
      </c>
      <c r="D259" s="48" t="s">
        <v>869</v>
      </c>
      <c r="E259" s="48" t="s">
        <v>877</v>
      </c>
      <c r="F259" s="50">
        <v>10</v>
      </c>
      <c r="G259" s="52">
        <f>StockInData[Expiry]</f>
        <v>44427</v>
      </c>
      <c r="H259" s="48">
        <v>25</v>
      </c>
      <c r="I259" s="48">
        <f>SUMIFS(StockInData[Quantity],StockInData[Product ID],ProductMaster!$B259)-SUMIFS(StockOutData[Quantity],StockOutData[Product ID],ProductMaster!$B259)</f>
        <v>26</v>
      </c>
      <c r="J259" s="50">
        <f>SUMIFS(StockInData[Value],StockInData[Product ID],ProductMaster!$B259)-SUMIFS(StockOutData[Value],StockOutData[Product ID],ProductMaster!$B259)</f>
        <v>65</v>
      </c>
    </row>
    <row r="260" spans="1:10" x14ac:dyDescent="0.25">
      <c r="A260" s="48">
        <v>259</v>
      </c>
      <c r="B260" s="48" t="s">
        <v>537</v>
      </c>
      <c r="C260" s="49" t="s">
        <v>538</v>
      </c>
      <c r="D260" s="48" t="s">
        <v>869</v>
      </c>
      <c r="E260" s="48" t="s">
        <v>877</v>
      </c>
      <c r="F260" s="50">
        <v>10</v>
      </c>
      <c r="G260" s="52">
        <f>StockInData[Expiry]</f>
        <v>44429</v>
      </c>
      <c r="H260" s="48">
        <v>25</v>
      </c>
      <c r="I260" s="48">
        <f>SUMIFS(StockInData[Quantity],StockInData[Product ID],ProductMaster!$B260)-SUMIFS(StockOutData[Quantity],StockOutData[Product ID],ProductMaster!$B260)</f>
        <v>17</v>
      </c>
      <c r="J260" s="50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8">
        <v>260</v>
      </c>
      <c r="B261" s="48" t="s">
        <v>539</v>
      </c>
      <c r="C261" s="49" t="s">
        <v>540</v>
      </c>
      <c r="D261" s="48" t="s">
        <v>869</v>
      </c>
      <c r="E261" s="48" t="s">
        <v>877</v>
      </c>
      <c r="F261" s="50">
        <v>10</v>
      </c>
      <c r="G261" s="52">
        <f>StockInData[Expiry]</f>
        <v>44431</v>
      </c>
      <c r="H261" s="48">
        <v>25</v>
      </c>
      <c r="I261" s="48">
        <f>SUMIFS(StockInData[Quantity],StockInData[Product ID],ProductMaster!$B261)-SUMIFS(StockOutData[Quantity],StockOutData[Product ID],ProductMaster!$B261)</f>
        <v>20</v>
      </c>
      <c r="J261" s="50">
        <f>SUMIFS(StockInData[Value],StockInData[Product ID],ProductMaster!$B261)-SUMIFS(StockOutData[Value],StockOutData[Product ID],ProductMaster!$B261)</f>
        <v>50</v>
      </c>
    </row>
    <row r="262" spans="1:10" x14ac:dyDescent="0.25">
      <c r="A262" s="48">
        <v>261</v>
      </c>
      <c r="B262" s="48" t="s">
        <v>541</v>
      </c>
      <c r="C262" s="49" t="s">
        <v>542</v>
      </c>
      <c r="D262" s="48" t="s">
        <v>869</v>
      </c>
      <c r="E262" s="48" t="s">
        <v>877</v>
      </c>
      <c r="F262" s="50">
        <v>10</v>
      </c>
      <c r="G262" s="52">
        <f>StockInData[Expiry]</f>
        <v>44433</v>
      </c>
      <c r="H262" s="48">
        <v>25</v>
      </c>
      <c r="I262" s="48">
        <f>SUMIFS(StockInData[Quantity],StockInData[Product ID],ProductMaster!$B262)-SUMIFS(StockOutData[Quantity],StockOutData[Product ID],ProductMaster!$B262)</f>
        <v>13</v>
      </c>
      <c r="J262" s="50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8">
        <v>262</v>
      </c>
      <c r="B263" s="48" t="s">
        <v>543</v>
      </c>
      <c r="C263" s="49" t="s">
        <v>544</v>
      </c>
      <c r="D263" s="48" t="s">
        <v>869</v>
      </c>
      <c r="E263" s="48" t="s">
        <v>877</v>
      </c>
      <c r="F263" s="50">
        <v>10</v>
      </c>
      <c r="G263" s="52">
        <f>StockInData[Expiry]</f>
        <v>44435</v>
      </c>
      <c r="H263" s="48">
        <v>25</v>
      </c>
      <c r="I263" s="48">
        <f>SUMIFS(StockInData[Quantity],StockInData[Product ID],ProductMaster!$B263)-SUMIFS(StockOutData[Quantity],StockOutData[Product ID],ProductMaster!$B263)</f>
        <v>4</v>
      </c>
      <c r="J263" s="50">
        <f>SUMIFS(StockInData[Value],StockInData[Product ID],ProductMaster!$B263)-SUMIFS(StockOutData[Value],StockOutData[Product ID],ProductMaster!$B263)</f>
        <v>10</v>
      </c>
    </row>
    <row r="264" spans="1:10" x14ac:dyDescent="0.25">
      <c r="A264" s="48">
        <v>263</v>
      </c>
      <c r="B264" s="48" t="s">
        <v>545</v>
      </c>
      <c r="C264" s="49" t="s">
        <v>546</v>
      </c>
      <c r="D264" s="48" t="s">
        <v>869</v>
      </c>
      <c r="E264" s="48" t="s">
        <v>877</v>
      </c>
      <c r="F264" s="50">
        <v>10</v>
      </c>
      <c r="G264" s="52">
        <f>StockInData[Expiry]</f>
        <v>44437</v>
      </c>
      <c r="H264" s="48">
        <v>25</v>
      </c>
      <c r="I264" s="48">
        <f>SUMIFS(StockInData[Quantity],StockInData[Product ID],ProductMaster!$B264)-SUMIFS(StockOutData[Quantity],StockOutData[Product ID],ProductMaster!$B264)</f>
        <v>5</v>
      </c>
      <c r="J264" s="50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8">
        <v>264</v>
      </c>
      <c r="B265" s="48" t="s">
        <v>547</v>
      </c>
      <c r="C265" s="49" t="s">
        <v>548</v>
      </c>
      <c r="D265" s="48" t="s">
        <v>869</v>
      </c>
      <c r="E265" s="48" t="s">
        <v>877</v>
      </c>
      <c r="F265" s="50">
        <v>10</v>
      </c>
      <c r="G265" s="52">
        <f>StockInData[Expiry]</f>
        <v>44439</v>
      </c>
      <c r="H265" s="48">
        <v>25</v>
      </c>
      <c r="I265" s="48">
        <f>SUMIFS(StockInData[Quantity],StockInData[Product ID],ProductMaster!$B265)-SUMIFS(StockOutData[Quantity],StockOutData[Product ID],ProductMaster!$B265)</f>
        <v>53</v>
      </c>
      <c r="J265" s="50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8">
        <v>265</v>
      </c>
      <c r="B266" s="48" t="s">
        <v>549</v>
      </c>
      <c r="C266" s="49" t="s">
        <v>550</v>
      </c>
      <c r="D266" s="48" t="s">
        <v>869</v>
      </c>
      <c r="E266" s="48" t="s">
        <v>877</v>
      </c>
      <c r="F266" s="50">
        <v>10</v>
      </c>
      <c r="G266" s="52">
        <f>StockInData[Expiry]</f>
        <v>44441</v>
      </c>
      <c r="H266" s="48">
        <v>25</v>
      </c>
      <c r="I266" s="48">
        <f>SUMIFS(StockInData[Quantity],StockInData[Product ID],ProductMaster!$B266)-SUMIFS(StockOutData[Quantity],StockOutData[Product ID],ProductMaster!$B266)</f>
        <v>60</v>
      </c>
      <c r="J266" s="50">
        <f>SUMIFS(StockInData[Value],StockInData[Product ID],ProductMaster!$B266)-SUMIFS(StockOutData[Value],StockOutData[Product ID],ProductMaster!$B266)</f>
        <v>150</v>
      </c>
    </row>
    <row r="267" spans="1:10" x14ac:dyDescent="0.25">
      <c r="A267" s="48">
        <v>266</v>
      </c>
      <c r="B267" s="48" t="s">
        <v>551</v>
      </c>
      <c r="C267" s="49" t="s">
        <v>552</v>
      </c>
      <c r="D267" s="48" t="s">
        <v>869</v>
      </c>
      <c r="E267" s="48" t="s">
        <v>877</v>
      </c>
      <c r="F267" s="50">
        <v>10</v>
      </c>
      <c r="G267" s="52">
        <f>StockInData[Expiry]</f>
        <v>44443</v>
      </c>
      <c r="H267" s="48">
        <v>25</v>
      </c>
      <c r="I267" s="48">
        <f>SUMIFS(StockInData[Quantity],StockInData[Product ID],ProductMaster!$B267)-SUMIFS(StockOutData[Quantity],StockOutData[Product ID],ProductMaster!$B267)</f>
        <v>71</v>
      </c>
      <c r="J267" s="50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8">
        <v>267</v>
      </c>
      <c r="B268" s="48" t="s">
        <v>553</v>
      </c>
      <c r="C268" s="49" t="s">
        <v>554</v>
      </c>
      <c r="D268" s="48" t="s">
        <v>869</v>
      </c>
      <c r="E268" s="48" t="s">
        <v>877</v>
      </c>
      <c r="F268" s="50">
        <v>10</v>
      </c>
      <c r="G268" s="52">
        <f>StockInData[Expiry]</f>
        <v>44445</v>
      </c>
      <c r="H268" s="48">
        <v>25</v>
      </c>
      <c r="I268" s="48">
        <f>SUMIFS(StockInData[Quantity],StockInData[Product ID],ProductMaster!$B268)-SUMIFS(StockOutData[Quantity],StockOutData[Product ID],ProductMaster!$B268)</f>
        <v>94</v>
      </c>
      <c r="J268" s="50">
        <f>SUMIFS(StockInData[Value],StockInData[Product ID],ProductMaster!$B268)-SUMIFS(StockOutData[Value],StockOutData[Product ID],ProductMaster!$B268)</f>
        <v>235</v>
      </c>
    </row>
    <row r="269" spans="1:10" x14ac:dyDescent="0.25">
      <c r="A269" s="48">
        <v>268</v>
      </c>
      <c r="B269" s="48" t="s">
        <v>555</v>
      </c>
      <c r="C269" s="49" t="s">
        <v>556</v>
      </c>
      <c r="D269" s="48" t="s">
        <v>869</v>
      </c>
      <c r="E269" s="48" t="s">
        <v>877</v>
      </c>
      <c r="F269" s="50">
        <v>10</v>
      </c>
      <c r="G269" s="52">
        <f>StockInData[Expiry]</f>
        <v>44447</v>
      </c>
      <c r="H269" s="48">
        <v>25</v>
      </c>
      <c r="I269" s="48">
        <f>SUMIFS(StockInData[Quantity],StockInData[Product ID],ProductMaster!$B269)-SUMIFS(StockOutData[Quantity],StockOutData[Product ID],ProductMaster!$B269)</f>
        <v>94</v>
      </c>
      <c r="J269" s="50">
        <f>SUMIFS(StockInData[Value],StockInData[Product ID],ProductMaster!$B269)-SUMIFS(StockOutData[Value],StockOutData[Product ID],ProductMaster!$B269)</f>
        <v>235</v>
      </c>
    </row>
    <row r="270" spans="1:10" x14ac:dyDescent="0.25">
      <c r="A270" s="48">
        <v>269</v>
      </c>
      <c r="B270" s="48" t="s">
        <v>557</v>
      </c>
      <c r="C270" s="49" t="s">
        <v>558</v>
      </c>
      <c r="D270" s="48" t="s">
        <v>869</v>
      </c>
      <c r="E270" s="48" t="s">
        <v>877</v>
      </c>
      <c r="F270" s="50">
        <v>10</v>
      </c>
      <c r="G270" s="52">
        <f>StockInData[Expiry]</f>
        <v>44449</v>
      </c>
      <c r="H270" s="48">
        <v>25</v>
      </c>
      <c r="I270" s="48">
        <f>SUMIFS(StockInData[Quantity],StockInData[Product ID],ProductMaster!$B270)-SUMIFS(StockOutData[Quantity],StockOutData[Product ID],ProductMaster!$B270)</f>
        <v>45</v>
      </c>
      <c r="J270" s="50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8">
        <v>270</v>
      </c>
      <c r="B271" s="48" t="s">
        <v>559</v>
      </c>
      <c r="C271" s="49" t="s">
        <v>560</v>
      </c>
      <c r="D271" s="48" t="s">
        <v>869</v>
      </c>
      <c r="E271" s="48" t="s">
        <v>877</v>
      </c>
      <c r="F271" s="50">
        <v>10</v>
      </c>
      <c r="G271" s="52">
        <f>StockInData[Expiry]</f>
        <v>44451</v>
      </c>
      <c r="H271" s="48">
        <v>25</v>
      </c>
      <c r="I271" s="48">
        <f>SUMIFS(StockInData[Quantity],StockInData[Product ID],ProductMaster!$B271)-SUMIFS(StockOutData[Quantity],StockOutData[Product ID],ProductMaster!$B271)</f>
        <v>22</v>
      </c>
      <c r="J271" s="50">
        <f>SUMIFS(StockInData[Value],StockInData[Product ID],ProductMaster!$B271)-SUMIFS(StockOutData[Value],StockOutData[Product ID],ProductMaster!$B271)</f>
        <v>55</v>
      </c>
    </row>
    <row r="272" spans="1:10" x14ac:dyDescent="0.25">
      <c r="A272" s="48">
        <v>271</v>
      </c>
      <c r="B272" s="48" t="s">
        <v>561</v>
      </c>
      <c r="C272" s="49" t="s">
        <v>562</v>
      </c>
      <c r="D272" s="48" t="s">
        <v>869</v>
      </c>
      <c r="E272" s="48" t="s">
        <v>877</v>
      </c>
      <c r="F272" s="50">
        <v>10</v>
      </c>
      <c r="G272" s="52">
        <f>StockInData[Expiry]</f>
        <v>44453</v>
      </c>
      <c r="H272" s="48">
        <v>25</v>
      </c>
      <c r="I272" s="48">
        <f>SUMIFS(StockInData[Quantity],StockInData[Product ID],ProductMaster!$B272)-SUMIFS(StockOutData[Quantity],StockOutData[Product ID],ProductMaster!$B272)</f>
        <v>18</v>
      </c>
      <c r="J272" s="50">
        <f>SUMIFS(StockInData[Value],StockInData[Product ID],ProductMaster!$B272)-SUMIFS(StockOutData[Value],StockOutData[Product ID],ProductMaster!$B272)</f>
        <v>45</v>
      </c>
    </row>
    <row r="273" spans="1:10" x14ac:dyDescent="0.25">
      <c r="A273" s="48">
        <v>272</v>
      </c>
      <c r="B273" s="48" t="s">
        <v>563</v>
      </c>
      <c r="C273" s="49" t="s">
        <v>564</v>
      </c>
      <c r="D273" s="48" t="s">
        <v>869</v>
      </c>
      <c r="E273" s="48" t="s">
        <v>877</v>
      </c>
      <c r="F273" s="50">
        <v>10</v>
      </c>
      <c r="G273" s="52">
        <f>StockInData[Expiry]</f>
        <v>44455</v>
      </c>
      <c r="H273" s="48">
        <v>25</v>
      </c>
      <c r="I273" s="48">
        <f>SUMIFS(StockInData[Quantity],StockInData[Product ID],ProductMaster!$B273)-SUMIFS(StockOutData[Quantity],StockOutData[Product ID],ProductMaster!$B273)</f>
        <v>15</v>
      </c>
      <c r="J273" s="50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8">
        <v>273</v>
      </c>
      <c r="B274" s="48" t="s">
        <v>565</v>
      </c>
      <c r="C274" s="49" t="s">
        <v>566</v>
      </c>
      <c r="D274" s="48" t="s">
        <v>869</v>
      </c>
      <c r="E274" s="48" t="s">
        <v>877</v>
      </c>
      <c r="F274" s="50">
        <v>10</v>
      </c>
      <c r="G274" s="52">
        <f>StockInData[Expiry]</f>
        <v>44457</v>
      </c>
      <c r="H274" s="48">
        <v>25</v>
      </c>
      <c r="I274" s="48">
        <f>SUMIFS(StockInData[Quantity],StockInData[Product ID],ProductMaster!$B274)-SUMIFS(StockOutData[Quantity],StockOutData[Product ID],ProductMaster!$B274)</f>
        <v>10</v>
      </c>
      <c r="J274" s="50">
        <f>SUMIFS(StockInData[Value],StockInData[Product ID],ProductMaster!$B274)-SUMIFS(StockOutData[Value],StockOutData[Product ID],ProductMaster!$B274)</f>
        <v>25</v>
      </c>
    </row>
    <row r="275" spans="1:10" x14ac:dyDescent="0.25">
      <c r="A275" s="48">
        <v>274</v>
      </c>
      <c r="B275" s="48" t="s">
        <v>567</v>
      </c>
      <c r="C275" s="49" t="s">
        <v>568</v>
      </c>
      <c r="D275" s="48" t="s">
        <v>869</v>
      </c>
      <c r="E275" s="48" t="s">
        <v>877</v>
      </c>
      <c r="F275" s="50">
        <v>10</v>
      </c>
      <c r="G275" s="52">
        <f>StockInData[Expiry]</f>
        <v>44459</v>
      </c>
      <c r="H275" s="48">
        <v>25</v>
      </c>
      <c r="I275" s="48">
        <f>SUMIFS(StockInData[Quantity],StockInData[Product ID],ProductMaster!$B275)-SUMIFS(StockOutData[Quantity],StockOutData[Product ID],ProductMaster!$B275)</f>
        <v>9</v>
      </c>
      <c r="J275" s="50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8">
        <v>275</v>
      </c>
      <c r="B276" s="48" t="s">
        <v>569</v>
      </c>
      <c r="C276" s="49" t="s">
        <v>570</v>
      </c>
      <c r="D276" s="48" t="s">
        <v>869</v>
      </c>
      <c r="E276" s="48" t="s">
        <v>877</v>
      </c>
      <c r="F276" s="50">
        <v>10</v>
      </c>
      <c r="G276" s="52">
        <f>StockInData[Expiry]</f>
        <v>44461</v>
      </c>
      <c r="H276" s="48">
        <v>25</v>
      </c>
      <c r="I276" s="48">
        <f>SUMIFS(StockInData[Quantity],StockInData[Product ID],ProductMaster!$B276)-SUMIFS(StockOutData[Quantity],StockOutData[Product ID],ProductMaster!$B276)</f>
        <v>13</v>
      </c>
      <c r="J276" s="50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8">
        <v>276</v>
      </c>
      <c r="B277" s="48" t="s">
        <v>571</v>
      </c>
      <c r="C277" s="49" t="s">
        <v>572</v>
      </c>
      <c r="D277" s="48" t="s">
        <v>869</v>
      </c>
      <c r="E277" s="48" t="s">
        <v>877</v>
      </c>
      <c r="F277" s="50">
        <v>10</v>
      </c>
      <c r="G277" s="52">
        <f>StockInData[Expiry]</f>
        <v>44463</v>
      </c>
      <c r="H277" s="48">
        <v>25</v>
      </c>
      <c r="I277" s="48">
        <f>SUMIFS(StockInData[Quantity],StockInData[Product ID],ProductMaster!$B277)-SUMIFS(StockOutData[Quantity],StockOutData[Product ID],ProductMaster!$B277)</f>
        <v>58</v>
      </c>
      <c r="J277" s="50">
        <f>SUMIFS(StockInData[Value],StockInData[Product ID],ProductMaster!$B277)-SUMIFS(StockOutData[Value],StockOutData[Product ID],ProductMaster!$B277)</f>
        <v>145</v>
      </c>
    </row>
    <row r="278" spans="1:10" x14ac:dyDescent="0.25">
      <c r="A278" s="48">
        <v>277</v>
      </c>
      <c r="B278" s="48" t="s">
        <v>573</v>
      </c>
      <c r="C278" s="49" t="s">
        <v>574</v>
      </c>
      <c r="D278" s="48" t="s">
        <v>869</v>
      </c>
      <c r="E278" s="48" t="s">
        <v>877</v>
      </c>
      <c r="F278" s="50">
        <v>10</v>
      </c>
      <c r="G278" s="52">
        <f>StockInData[Expiry]</f>
        <v>44465</v>
      </c>
      <c r="H278" s="48">
        <v>25</v>
      </c>
      <c r="I278" s="48">
        <f>SUMIFS(StockInData[Quantity],StockInData[Product ID],ProductMaster!$B278)-SUMIFS(StockOutData[Quantity],StockOutData[Product ID],ProductMaster!$B278)</f>
        <v>59</v>
      </c>
      <c r="J278" s="50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8">
        <v>278</v>
      </c>
      <c r="B279" s="48" t="s">
        <v>575</v>
      </c>
      <c r="C279" s="49" t="s">
        <v>576</v>
      </c>
      <c r="D279" s="48" t="s">
        <v>869</v>
      </c>
      <c r="E279" s="48" t="s">
        <v>877</v>
      </c>
      <c r="F279" s="50">
        <v>10</v>
      </c>
      <c r="G279" s="52">
        <f>StockInData[Expiry]</f>
        <v>44467</v>
      </c>
      <c r="H279" s="48">
        <v>25</v>
      </c>
      <c r="I279" s="48">
        <f>SUMIFS(StockInData[Quantity],StockInData[Product ID],ProductMaster!$B279)-SUMIFS(StockOutData[Quantity],StockOutData[Product ID],ProductMaster!$B279)</f>
        <v>66</v>
      </c>
      <c r="J279" s="50">
        <f>SUMIFS(StockInData[Value],StockInData[Product ID],ProductMaster!$B279)-SUMIFS(StockOutData[Value],StockOutData[Product ID],ProductMaster!$B279)</f>
        <v>165</v>
      </c>
    </row>
    <row r="280" spans="1:10" x14ac:dyDescent="0.25">
      <c r="A280" s="48">
        <v>279</v>
      </c>
      <c r="B280" s="48" t="s">
        <v>577</v>
      </c>
      <c r="C280" s="49" t="s">
        <v>578</v>
      </c>
      <c r="D280" s="48" t="s">
        <v>869</v>
      </c>
      <c r="E280" s="48" t="s">
        <v>877</v>
      </c>
      <c r="F280" s="50">
        <v>10</v>
      </c>
      <c r="G280" s="52">
        <f>StockInData[Expiry]</f>
        <v>44469</v>
      </c>
      <c r="H280" s="48">
        <v>25</v>
      </c>
      <c r="I280" s="48">
        <f>SUMIFS(StockInData[Quantity],StockInData[Product ID],ProductMaster!$B280)-SUMIFS(StockOutData[Quantity],StockOutData[Product ID],ProductMaster!$B280)</f>
        <v>87</v>
      </c>
      <c r="J280" s="50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8">
        <v>280</v>
      </c>
      <c r="B281" s="48" t="s">
        <v>579</v>
      </c>
      <c r="C281" s="49" t="s">
        <v>580</v>
      </c>
      <c r="D281" s="48" t="s">
        <v>869</v>
      </c>
      <c r="E281" s="48" t="s">
        <v>877</v>
      </c>
      <c r="F281" s="50">
        <v>10</v>
      </c>
      <c r="G281" s="52">
        <f>StockInData[Expiry]</f>
        <v>44471</v>
      </c>
      <c r="H281" s="48">
        <v>25</v>
      </c>
      <c r="I281" s="48">
        <f>SUMIFS(StockInData[Quantity],StockInData[Product ID],ProductMaster!$B281)-SUMIFS(StockOutData[Quantity],StockOutData[Product ID],ProductMaster!$B281)</f>
        <v>87</v>
      </c>
      <c r="J281" s="50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8">
        <v>281</v>
      </c>
      <c r="B282" s="48" t="s">
        <v>581</v>
      </c>
      <c r="C282" s="49" t="s">
        <v>582</v>
      </c>
      <c r="D282" s="48" t="s">
        <v>869</v>
      </c>
      <c r="E282" s="48" t="s">
        <v>877</v>
      </c>
      <c r="F282" s="50">
        <v>10</v>
      </c>
      <c r="G282" s="52">
        <f>StockInData[Expiry]</f>
        <v>44473</v>
      </c>
      <c r="H282" s="48">
        <v>25</v>
      </c>
      <c r="I282" s="48">
        <f>SUMIFS(StockInData[Quantity],StockInData[Product ID],ProductMaster!$B282)-SUMIFS(StockOutData[Quantity],StockOutData[Product ID],ProductMaster!$B282)</f>
        <v>47</v>
      </c>
      <c r="J282" s="50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8">
        <v>282</v>
      </c>
      <c r="B283" s="48" t="s">
        <v>583</v>
      </c>
      <c r="C283" s="49" t="s">
        <v>584</v>
      </c>
      <c r="D283" s="48" t="s">
        <v>869</v>
      </c>
      <c r="E283" s="48" t="s">
        <v>877</v>
      </c>
      <c r="F283" s="50">
        <v>10</v>
      </c>
      <c r="G283" s="52">
        <f>StockInData[Expiry]</f>
        <v>44475</v>
      </c>
      <c r="H283" s="48">
        <v>25</v>
      </c>
      <c r="I283" s="48">
        <f>SUMIFS(StockInData[Quantity],StockInData[Product ID],ProductMaster!$B283)-SUMIFS(StockOutData[Quantity],StockOutData[Product ID],ProductMaster!$B283)</f>
        <v>35</v>
      </c>
      <c r="J283" s="50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8">
        <v>283</v>
      </c>
      <c r="B284" s="48" t="s">
        <v>585</v>
      </c>
      <c r="C284" s="49" t="s">
        <v>586</v>
      </c>
      <c r="D284" s="48" t="s">
        <v>869</v>
      </c>
      <c r="E284" s="48" t="s">
        <v>877</v>
      </c>
      <c r="F284" s="50">
        <v>10</v>
      </c>
      <c r="G284" s="52">
        <f>StockInData[Expiry]</f>
        <v>44477</v>
      </c>
      <c r="H284" s="48">
        <v>25</v>
      </c>
      <c r="I284" s="48">
        <f>SUMIFS(StockInData[Quantity],StockInData[Product ID],ProductMaster!$B284)-SUMIFS(StockOutData[Quantity],StockOutData[Product ID],ProductMaster!$B284)</f>
        <v>23</v>
      </c>
      <c r="J284" s="50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8">
        <v>284</v>
      </c>
      <c r="B285" s="48" t="s">
        <v>587</v>
      </c>
      <c r="C285" s="49" t="s">
        <v>588</v>
      </c>
      <c r="D285" s="48" t="s">
        <v>869</v>
      </c>
      <c r="E285" s="48" t="s">
        <v>877</v>
      </c>
      <c r="F285" s="50">
        <v>10</v>
      </c>
      <c r="G285" s="52">
        <f>StockInData[Expiry]</f>
        <v>44479</v>
      </c>
      <c r="H285" s="48">
        <v>25</v>
      </c>
      <c r="I285" s="48">
        <f>SUMIFS(StockInData[Quantity],StockInData[Product ID],ProductMaster!$B285)-SUMIFS(StockOutData[Quantity],StockOutData[Product ID],ProductMaster!$B285)</f>
        <v>10</v>
      </c>
      <c r="J285" s="50">
        <f>SUMIFS(StockInData[Value],StockInData[Product ID],ProductMaster!$B285)-SUMIFS(StockOutData[Value],StockOutData[Product ID],ProductMaster!$B285)</f>
        <v>25</v>
      </c>
    </row>
    <row r="286" spans="1:10" x14ac:dyDescent="0.25">
      <c r="A286" s="48">
        <v>285</v>
      </c>
      <c r="B286" s="48" t="s">
        <v>589</v>
      </c>
      <c r="C286" s="49" t="s">
        <v>590</v>
      </c>
      <c r="D286" s="48" t="s">
        <v>869</v>
      </c>
      <c r="E286" s="48" t="s">
        <v>877</v>
      </c>
      <c r="F286" s="50">
        <v>10</v>
      </c>
      <c r="G286" s="52">
        <f>StockInData[Expiry]</f>
        <v>44481</v>
      </c>
      <c r="H286" s="48">
        <v>25</v>
      </c>
      <c r="I286" s="48">
        <f>SUMIFS(StockInData[Quantity],StockInData[Product ID],ProductMaster!$B286)-SUMIFS(StockOutData[Quantity],StockOutData[Product ID],ProductMaster!$B286)</f>
        <v>2</v>
      </c>
      <c r="J286" s="50">
        <f>SUMIFS(StockInData[Value],StockInData[Product ID],ProductMaster!$B286)-SUMIFS(StockOutData[Value],StockOutData[Product ID],ProductMaster!$B286)</f>
        <v>5</v>
      </c>
    </row>
    <row r="287" spans="1:10" x14ac:dyDescent="0.25">
      <c r="A287" s="48">
        <v>286</v>
      </c>
      <c r="B287" s="48" t="s">
        <v>591</v>
      </c>
      <c r="C287" s="49" t="s">
        <v>592</v>
      </c>
      <c r="D287" s="48" t="s">
        <v>869</v>
      </c>
      <c r="E287" s="48" t="s">
        <v>877</v>
      </c>
      <c r="F287" s="50">
        <v>10</v>
      </c>
      <c r="G287" s="52">
        <f>StockInData[Expiry]</f>
        <v>44483</v>
      </c>
      <c r="H287" s="48">
        <v>25</v>
      </c>
      <c r="I287" s="48">
        <f>SUMIFS(StockInData[Quantity],StockInData[Product ID],ProductMaster!$B287)-SUMIFS(StockOutData[Quantity],StockOutData[Product ID],ProductMaster!$B287)</f>
        <v>7</v>
      </c>
      <c r="J287" s="50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8">
        <v>287</v>
      </c>
      <c r="B288" s="48" t="s">
        <v>593</v>
      </c>
      <c r="C288" s="49" t="s">
        <v>594</v>
      </c>
      <c r="D288" s="48" t="s">
        <v>869</v>
      </c>
      <c r="E288" s="48" t="s">
        <v>877</v>
      </c>
      <c r="F288" s="50">
        <v>10</v>
      </c>
      <c r="G288" s="52">
        <f>StockInData[Expiry]</f>
        <v>44485</v>
      </c>
      <c r="H288" s="48">
        <v>25</v>
      </c>
      <c r="I288" s="48">
        <f>SUMIFS(StockInData[Quantity],StockInData[Product ID],ProductMaster!$B288)-SUMIFS(StockOutData[Quantity],StockOutData[Product ID],ProductMaster!$B288)</f>
        <v>9</v>
      </c>
      <c r="J288" s="50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8">
        <v>288</v>
      </c>
      <c r="B289" s="48" t="s">
        <v>595</v>
      </c>
      <c r="C289" s="49" t="s">
        <v>596</v>
      </c>
      <c r="D289" s="48" t="s">
        <v>869</v>
      </c>
      <c r="E289" s="48" t="s">
        <v>877</v>
      </c>
      <c r="F289" s="50">
        <v>10</v>
      </c>
      <c r="G289" s="52">
        <f>StockInData[Expiry]</f>
        <v>44487</v>
      </c>
      <c r="H289" s="48">
        <v>25</v>
      </c>
      <c r="I289" s="48">
        <f>SUMIFS(StockInData[Quantity],StockInData[Product ID],ProductMaster!$B289)-SUMIFS(StockOutData[Quantity],StockOutData[Product ID],ProductMaster!$B289)</f>
        <v>52</v>
      </c>
      <c r="J289" s="50">
        <f>SUMIFS(StockInData[Value],StockInData[Product ID],ProductMaster!$B289)-SUMIFS(StockOutData[Value],StockOutData[Product ID],ProductMaster!$B289)</f>
        <v>130</v>
      </c>
    </row>
    <row r="290" spans="1:10" x14ac:dyDescent="0.25">
      <c r="A290" s="48">
        <v>289</v>
      </c>
      <c r="B290" s="48" t="s">
        <v>597</v>
      </c>
      <c r="C290" s="49" t="s">
        <v>598</v>
      </c>
      <c r="D290" s="48" t="s">
        <v>869</v>
      </c>
      <c r="E290" s="48" t="s">
        <v>877</v>
      </c>
      <c r="F290" s="50">
        <v>10</v>
      </c>
      <c r="G290" s="52">
        <f>StockInData[Expiry]</f>
        <v>44489</v>
      </c>
      <c r="H290" s="48">
        <v>25</v>
      </c>
      <c r="I290" s="48">
        <f>SUMIFS(StockInData[Quantity],StockInData[Product ID],ProductMaster!$B290)-SUMIFS(StockOutData[Quantity],StockOutData[Product ID],ProductMaster!$B290)</f>
        <v>69</v>
      </c>
      <c r="J290" s="50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8">
        <v>290</v>
      </c>
      <c r="B291" s="48" t="s">
        <v>599</v>
      </c>
      <c r="C291" s="49" t="s">
        <v>600</v>
      </c>
      <c r="D291" s="48" t="s">
        <v>869</v>
      </c>
      <c r="E291" s="48" t="s">
        <v>877</v>
      </c>
      <c r="F291" s="50">
        <v>10</v>
      </c>
      <c r="G291" s="52">
        <f>StockInData[Expiry]</f>
        <v>44491</v>
      </c>
      <c r="H291" s="48">
        <v>25</v>
      </c>
      <c r="I291" s="48">
        <f>SUMIFS(StockInData[Quantity],StockInData[Product ID],ProductMaster!$B291)-SUMIFS(StockOutData[Quantity],StockOutData[Product ID],ProductMaster!$B291)</f>
        <v>77</v>
      </c>
      <c r="J291" s="50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8">
        <v>291</v>
      </c>
      <c r="B292" s="48" t="s">
        <v>601</v>
      </c>
      <c r="C292" s="49" t="s">
        <v>602</v>
      </c>
      <c r="D292" s="48" t="s">
        <v>869</v>
      </c>
      <c r="E292" s="48" t="s">
        <v>877</v>
      </c>
      <c r="F292" s="50">
        <v>10</v>
      </c>
      <c r="G292" s="52">
        <f>StockInData[Expiry]</f>
        <v>44493</v>
      </c>
      <c r="H292" s="48">
        <v>25</v>
      </c>
      <c r="I292" s="48">
        <f>SUMIFS(StockInData[Quantity],StockInData[Product ID],ProductMaster!$B292)-SUMIFS(StockOutData[Quantity],StockOutData[Product ID],ProductMaster!$B292)</f>
        <v>84</v>
      </c>
      <c r="J292" s="50">
        <f>SUMIFS(StockInData[Value],StockInData[Product ID],ProductMaster!$B292)-SUMIFS(StockOutData[Value],StockOutData[Product ID],ProductMaster!$B292)</f>
        <v>210</v>
      </c>
    </row>
    <row r="293" spans="1:10" x14ac:dyDescent="0.25">
      <c r="A293" s="48">
        <v>292</v>
      </c>
      <c r="B293" s="48" t="s">
        <v>603</v>
      </c>
      <c r="C293" s="49" t="s">
        <v>604</v>
      </c>
      <c r="D293" s="48" t="s">
        <v>869</v>
      </c>
      <c r="E293" s="48" t="s">
        <v>877</v>
      </c>
      <c r="F293" s="50">
        <v>10</v>
      </c>
      <c r="G293" s="52">
        <f>StockInData[Expiry]</f>
        <v>44495</v>
      </c>
      <c r="H293" s="48">
        <v>25</v>
      </c>
      <c r="I293" s="48">
        <f>SUMIFS(StockInData[Quantity],StockInData[Product ID],ProductMaster!$B293)-SUMIFS(StockOutData[Quantity],StockOutData[Product ID],ProductMaster!$B293)</f>
        <v>83</v>
      </c>
      <c r="J293" s="50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8">
        <v>293</v>
      </c>
      <c r="B294" s="48" t="s">
        <v>605</v>
      </c>
      <c r="C294" s="49" t="s">
        <v>606</v>
      </c>
      <c r="D294" s="48" t="s">
        <v>869</v>
      </c>
      <c r="E294" s="48" t="s">
        <v>877</v>
      </c>
      <c r="F294" s="50">
        <v>10</v>
      </c>
      <c r="G294" s="52">
        <f>StockInData[Expiry]</f>
        <v>44497</v>
      </c>
      <c r="H294" s="48">
        <v>25</v>
      </c>
      <c r="I294" s="48">
        <f>SUMIFS(StockInData[Quantity],StockInData[Product ID],ProductMaster!$B294)-SUMIFS(StockOutData[Quantity],StockOutData[Product ID],ProductMaster!$B294)</f>
        <v>88</v>
      </c>
      <c r="J294" s="50">
        <f>SUMIFS(StockInData[Value],StockInData[Product ID],ProductMaster!$B294)-SUMIFS(StockOutData[Value],StockOutData[Product ID],ProductMaster!$B294)</f>
        <v>220</v>
      </c>
    </row>
    <row r="295" spans="1:10" x14ac:dyDescent="0.25">
      <c r="A295" s="48">
        <v>294</v>
      </c>
      <c r="B295" s="48" t="s">
        <v>607</v>
      </c>
      <c r="C295" s="49" t="s">
        <v>608</v>
      </c>
      <c r="D295" s="48" t="s">
        <v>869</v>
      </c>
      <c r="E295" s="48" t="s">
        <v>877</v>
      </c>
      <c r="F295" s="50">
        <v>10</v>
      </c>
      <c r="G295" s="52">
        <f>StockInData[Expiry]</f>
        <v>44499</v>
      </c>
      <c r="H295" s="48">
        <v>25</v>
      </c>
      <c r="I295" s="48">
        <f>SUMIFS(StockInData[Quantity],StockInData[Product ID],ProductMaster!$B295)-SUMIFS(StockOutData[Quantity],StockOutData[Product ID],ProductMaster!$B295)</f>
        <v>50</v>
      </c>
      <c r="J295" s="50">
        <f>SUMIFS(StockInData[Value],StockInData[Product ID],ProductMaster!$B295)-SUMIFS(StockOutData[Value],StockOutData[Product ID],ProductMaster!$B295)</f>
        <v>125</v>
      </c>
    </row>
    <row r="296" spans="1:10" x14ac:dyDescent="0.25">
      <c r="A296" s="48">
        <v>295</v>
      </c>
      <c r="B296" s="48" t="s">
        <v>609</v>
      </c>
      <c r="C296" s="49" t="s">
        <v>610</v>
      </c>
      <c r="D296" s="48" t="s">
        <v>869</v>
      </c>
      <c r="E296" s="48" t="s">
        <v>877</v>
      </c>
      <c r="F296" s="50">
        <v>10</v>
      </c>
      <c r="G296" s="52">
        <f>StockInData[Expiry]</f>
        <v>44501</v>
      </c>
      <c r="H296" s="48">
        <v>25</v>
      </c>
      <c r="I296" s="48">
        <f>SUMIFS(StockInData[Quantity],StockInData[Product ID],ProductMaster!$B296)-SUMIFS(StockOutData[Quantity],StockOutData[Product ID],ProductMaster!$B296)</f>
        <v>30</v>
      </c>
      <c r="J296" s="50">
        <f>SUMIFS(StockInData[Value],StockInData[Product ID],ProductMaster!$B296)-SUMIFS(StockOutData[Value],StockOutData[Product ID],ProductMaster!$B296)</f>
        <v>75</v>
      </c>
    </row>
    <row r="297" spans="1:10" x14ac:dyDescent="0.25">
      <c r="A297" s="48">
        <v>296</v>
      </c>
      <c r="B297" s="48" t="s">
        <v>611</v>
      </c>
      <c r="C297" s="49" t="s">
        <v>612</v>
      </c>
      <c r="D297" s="48" t="s">
        <v>869</v>
      </c>
      <c r="E297" s="48" t="s">
        <v>877</v>
      </c>
      <c r="F297" s="50">
        <v>10</v>
      </c>
      <c r="G297" s="52">
        <f>StockInData[Expiry]</f>
        <v>44503</v>
      </c>
      <c r="H297" s="48">
        <v>25</v>
      </c>
      <c r="I297" s="48">
        <f>SUMIFS(StockInData[Quantity],StockInData[Product ID],ProductMaster!$B297)-SUMIFS(StockOutData[Quantity],StockOutData[Product ID],ProductMaster!$B297)</f>
        <v>20</v>
      </c>
      <c r="J297" s="50">
        <f>SUMIFS(StockInData[Value],StockInData[Product ID],ProductMaster!$B297)-SUMIFS(StockOutData[Value],StockOutData[Product ID],ProductMaster!$B297)</f>
        <v>50</v>
      </c>
    </row>
    <row r="298" spans="1:10" x14ac:dyDescent="0.25">
      <c r="A298" s="48">
        <v>297</v>
      </c>
      <c r="B298" s="48" t="s">
        <v>613</v>
      </c>
      <c r="C298" s="49" t="s">
        <v>614</v>
      </c>
      <c r="D298" s="48" t="s">
        <v>869</v>
      </c>
      <c r="E298" s="48" t="s">
        <v>877</v>
      </c>
      <c r="F298" s="50">
        <v>10</v>
      </c>
      <c r="G298" s="52">
        <f>StockInData[Expiry]</f>
        <v>44505</v>
      </c>
      <c r="H298" s="48">
        <v>25</v>
      </c>
      <c r="I298" s="48">
        <f>SUMIFS(StockInData[Quantity],StockInData[Product ID],ProductMaster!$B298)-SUMIFS(StockOutData[Quantity],StockOutData[Product ID],ProductMaster!$B298)</f>
        <v>3</v>
      </c>
      <c r="J298" s="50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8">
        <v>298</v>
      </c>
      <c r="B299" s="48" t="s">
        <v>615</v>
      </c>
      <c r="C299" s="49" t="s">
        <v>616</v>
      </c>
      <c r="D299" s="48" t="s">
        <v>869</v>
      </c>
      <c r="E299" s="48" t="s">
        <v>877</v>
      </c>
      <c r="F299" s="50">
        <v>10</v>
      </c>
      <c r="G299" s="52">
        <f>StockInData[Expiry]</f>
        <v>44507</v>
      </c>
      <c r="H299" s="48">
        <v>25</v>
      </c>
      <c r="I299" s="48">
        <f>SUMIFS(StockInData[Quantity],StockInData[Product ID],ProductMaster!$B299)-SUMIFS(StockOutData[Quantity],StockOutData[Product ID],ProductMaster!$B299)</f>
        <v>13</v>
      </c>
      <c r="J299" s="50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8">
        <v>299</v>
      </c>
      <c r="B300" s="48" t="s">
        <v>617</v>
      </c>
      <c r="C300" s="49" t="s">
        <v>618</v>
      </c>
      <c r="D300" s="48" t="s">
        <v>869</v>
      </c>
      <c r="E300" s="48" t="s">
        <v>877</v>
      </c>
      <c r="F300" s="50">
        <v>10</v>
      </c>
      <c r="G300" s="52">
        <f>StockInData[Expiry]</f>
        <v>44509</v>
      </c>
      <c r="H300" s="48">
        <v>25</v>
      </c>
      <c r="I300" s="48">
        <f>SUMIFS(StockInData[Quantity],StockInData[Product ID],ProductMaster!$B300)-SUMIFS(StockOutData[Quantity],StockOutData[Product ID],ProductMaster!$B300)</f>
        <v>4</v>
      </c>
      <c r="J300" s="50">
        <f>SUMIFS(StockInData[Value],StockInData[Product ID],ProductMaster!$B300)-SUMIFS(StockOutData[Value],StockOutData[Product ID],ProductMaster!$B300)</f>
        <v>10</v>
      </c>
    </row>
    <row r="301" spans="1:10" x14ac:dyDescent="0.25">
      <c r="A301" s="48">
        <v>300</v>
      </c>
      <c r="B301" s="48" t="s">
        <v>619</v>
      </c>
      <c r="C301" s="49" t="s">
        <v>620</v>
      </c>
      <c r="D301" s="48" t="s">
        <v>869</v>
      </c>
      <c r="E301" s="48" t="s">
        <v>877</v>
      </c>
      <c r="F301" s="50">
        <v>10</v>
      </c>
      <c r="G301" s="52">
        <f>StockInData[Expiry]</f>
        <v>44511</v>
      </c>
      <c r="H301" s="48">
        <v>25</v>
      </c>
      <c r="I301" s="48">
        <f>SUMIFS(StockInData[Quantity],StockInData[Product ID],ProductMaster!$B301)-SUMIFS(StockOutData[Quantity],StockOutData[Product ID],ProductMaster!$B301)</f>
        <v>5</v>
      </c>
      <c r="J301" s="50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8">
        <v>301</v>
      </c>
      <c r="B302" s="48" t="s">
        <v>621</v>
      </c>
      <c r="C302" s="49" t="s">
        <v>622</v>
      </c>
      <c r="D302" s="48" t="s">
        <v>869</v>
      </c>
      <c r="E302" s="48" t="s">
        <v>877</v>
      </c>
      <c r="F302" s="50">
        <v>10</v>
      </c>
      <c r="G302" s="52">
        <f>StockInData[Expiry]</f>
        <v>44513</v>
      </c>
      <c r="H302" s="48">
        <v>25</v>
      </c>
      <c r="I302" s="48">
        <f>SUMIFS(StockInData[Quantity],StockInData[Product ID],ProductMaster!$B302)-SUMIFS(StockOutData[Quantity],StockOutData[Product ID],ProductMaster!$B302)</f>
        <v>53</v>
      </c>
      <c r="J302" s="50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8">
        <v>302</v>
      </c>
      <c r="B303" s="48" t="s">
        <v>623</v>
      </c>
      <c r="C303" s="49" t="s">
        <v>624</v>
      </c>
      <c r="D303" s="48" t="s">
        <v>869</v>
      </c>
      <c r="E303" s="48" t="s">
        <v>877</v>
      </c>
      <c r="F303" s="50">
        <v>10</v>
      </c>
      <c r="G303" s="52">
        <f>StockInData[Expiry]</f>
        <v>44515</v>
      </c>
      <c r="H303" s="48">
        <v>25</v>
      </c>
      <c r="I303" s="48">
        <f>SUMIFS(StockInData[Quantity],StockInData[Product ID],ProductMaster!$B303)-SUMIFS(StockOutData[Quantity],StockOutData[Product ID],ProductMaster!$B303)</f>
        <v>60</v>
      </c>
      <c r="J303" s="50">
        <f>SUMIFS(StockInData[Value],StockInData[Product ID],ProductMaster!$B303)-SUMIFS(StockOutData[Value],StockOutData[Product ID],ProductMaster!$B303)</f>
        <v>150</v>
      </c>
    </row>
    <row r="304" spans="1:10" x14ac:dyDescent="0.25">
      <c r="A304" s="48">
        <v>303</v>
      </c>
      <c r="B304" s="48" t="s">
        <v>625</v>
      </c>
      <c r="C304" s="49" t="s">
        <v>626</v>
      </c>
      <c r="D304" s="48" t="s">
        <v>869</v>
      </c>
      <c r="E304" s="48" t="s">
        <v>877</v>
      </c>
      <c r="F304" s="50">
        <v>10</v>
      </c>
      <c r="G304" s="52">
        <f>StockInData[Expiry]</f>
        <v>44517</v>
      </c>
      <c r="H304" s="48">
        <v>25</v>
      </c>
      <c r="I304" s="48">
        <f>SUMIFS(StockInData[Quantity],StockInData[Product ID],ProductMaster!$B304)-SUMIFS(StockOutData[Quantity],StockOutData[Product ID],ProductMaster!$B304)</f>
        <v>71</v>
      </c>
      <c r="J304" s="50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8">
        <v>304</v>
      </c>
      <c r="B305" s="48" t="s">
        <v>627</v>
      </c>
      <c r="C305" s="49" t="s">
        <v>628</v>
      </c>
      <c r="D305" s="48" t="s">
        <v>869</v>
      </c>
      <c r="E305" s="48" t="s">
        <v>877</v>
      </c>
      <c r="F305" s="50">
        <v>10</v>
      </c>
      <c r="G305" s="52">
        <f>StockInData[Expiry]</f>
        <v>44519</v>
      </c>
      <c r="H305" s="48">
        <v>25</v>
      </c>
      <c r="I305" s="48">
        <f>SUMIFS(StockInData[Quantity],StockInData[Product ID],ProductMaster!$B305)-SUMIFS(StockOutData[Quantity],StockOutData[Product ID],ProductMaster!$B305)</f>
        <v>94</v>
      </c>
      <c r="J305" s="50">
        <f>SUMIFS(StockInData[Value],StockInData[Product ID],ProductMaster!$B305)-SUMIFS(StockOutData[Value],StockOutData[Product ID],ProductMaster!$B305)</f>
        <v>235</v>
      </c>
    </row>
    <row r="306" spans="1:10" x14ac:dyDescent="0.25">
      <c r="A306" s="48">
        <v>305</v>
      </c>
      <c r="B306" s="48" t="s">
        <v>629</v>
      </c>
      <c r="C306" s="49" t="s">
        <v>630</v>
      </c>
      <c r="D306" s="48" t="s">
        <v>869</v>
      </c>
      <c r="E306" s="48" t="s">
        <v>877</v>
      </c>
      <c r="F306" s="50">
        <v>10</v>
      </c>
      <c r="G306" s="52">
        <f>StockInData[Expiry]</f>
        <v>44521</v>
      </c>
      <c r="H306" s="48">
        <v>25</v>
      </c>
      <c r="I306" s="48">
        <f>SUMIFS(StockInData[Quantity],StockInData[Product ID],ProductMaster!$B306)-SUMIFS(StockOutData[Quantity],StockOutData[Product ID],ProductMaster!$B306)</f>
        <v>94</v>
      </c>
      <c r="J306" s="50">
        <f>SUMIFS(StockInData[Value],StockInData[Product ID],ProductMaster!$B306)-SUMIFS(StockOutData[Value],StockOutData[Product ID],ProductMaster!$B306)</f>
        <v>235</v>
      </c>
    </row>
    <row r="307" spans="1:10" x14ac:dyDescent="0.25">
      <c r="A307" s="48">
        <v>306</v>
      </c>
      <c r="B307" s="48" t="s">
        <v>631</v>
      </c>
      <c r="C307" s="49" t="s">
        <v>632</v>
      </c>
      <c r="D307" s="48" t="s">
        <v>869</v>
      </c>
      <c r="E307" s="48" t="s">
        <v>877</v>
      </c>
      <c r="F307" s="50">
        <v>10</v>
      </c>
      <c r="G307" s="52">
        <f>StockInData[Expiry]</f>
        <v>44523</v>
      </c>
      <c r="H307" s="48">
        <v>25</v>
      </c>
      <c r="I307" s="48">
        <f>SUMIFS(StockInData[Quantity],StockInData[Product ID],ProductMaster!$B307)-SUMIFS(StockOutData[Quantity],StockOutData[Product ID],ProductMaster!$B307)</f>
        <v>85</v>
      </c>
      <c r="J307" s="50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8">
        <v>307</v>
      </c>
      <c r="B308" s="48" t="s">
        <v>633</v>
      </c>
      <c r="C308" s="49" t="s">
        <v>634</v>
      </c>
      <c r="D308" s="48" t="s">
        <v>869</v>
      </c>
      <c r="E308" s="48" t="s">
        <v>877</v>
      </c>
      <c r="F308" s="50">
        <v>10</v>
      </c>
      <c r="G308" s="52">
        <f>StockInData[Expiry]</f>
        <v>44525</v>
      </c>
      <c r="H308" s="48">
        <v>25</v>
      </c>
      <c r="I308" s="48">
        <f>SUMIFS(StockInData[Quantity],StockInData[Product ID],ProductMaster!$B308)-SUMIFS(StockOutData[Quantity],StockOutData[Product ID],ProductMaster!$B308)</f>
        <v>82</v>
      </c>
      <c r="J308" s="50">
        <f>SUMIFS(StockInData[Value],StockInData[Product ID],ProductMaster!$B308)-SUMIFS(StockOutData[Value],StockOutData[Product ID],ProductMaster!$B308)</f>
        <v>205</v>
      </c>
    </row>
    <row r="309" spans="1:10" x14ac:dyDescent="0.25">
      <c r="A309" s="48">
        <v>308</v>
      </c>
      <c r="B309" s="48" t="s">
        <v>635</v>
      </c>
      <c r="C309" s="49" t="s">
        <v>636</v>
      </c>
      <c r="D309" s="48" t="s">
        <v>869</v>
      </c>
      <c r="E309" s="48" t="s">
        <v>877</v>
      </c>
      <c r="F309" s="50">
        <v>10</v>
      </c>
      <c r="G309" s="52">
        <f>StockInData[Expiry]</f>
        <v>44527</v>
      </c>
      <c r="H309" s="48">
        <v>25</v>
      </c>
      <c r="I309" s="48">
        <f>SUMIFS(StockInData[Quantity],StockInData[Product ID],ProductMaster!$B309)-SUMIFS(StockOutData[Quantity],StockOutData[Product ID],ProductMaster!$B309)</f>
        <v>88</v>
      </c>
      <c r="J309" s="50">
        <f>SUMIFS(StockInData[Value],StockInData[Product ID],ProductMaster!$B309)-SUMIFS(StockOutData[Value],StockOutData[Product ID],ProductMaster!$B309)</f>
        <v>220</v>
      </c>
    </row>
    <row r="310" spans="1:10" x14ac:dyDescent="0.25">
      <c r="A310" s="48">
        <v>309</v>
      </c>
      <c r="B310" s="48" t="s">
        <v>637</v>
      </c>
      <c r="C310" s="49" t="s">
        <v>638</v>
      </c>
      <c r="D310" s="48" t="s">
        <v>869</v>
      </c>
      <c r="E310" s="48" t="s">
        <v>877</v>
      </c>
      <c r="F310" s="50">
        <v>10</v>
      </c>
      <c r="G310" s="52">
        <f>StockInData[Expiry]</f>
        <v>44529</v>
      </c>
      <c r="H310" s="48">
        <v>25</v>
      </c>
      <c r="I310" s="48">
        <f>SUMIFS(StockInData[Quantity],StockInData[Product ID],ProductMaster!$B310)-SUMIFS(StockOutData[Quantity],StockOutData[Product ID],ProductMaster!$B310)</f>
        <v>86</v>
      </c>
      <c r="J310" s="50">
        <f>SUMIFS(StockInData[Value],StockInData[Product ID],ProductMaster!$B310)-SUMIFS(StockOutData[Value],StockOutData[Product ID],ProductMaster!$B310)</f>
        <v>215</v>
      </c>
    </row>
    <row r="311" spans="1:10" x14ac:dyDescent="0.25">
      <c r="A311" s="48">
        <v>310</v>
      </c>
      <c r="B311" s="48" t="s">
        <v>639</v>
      </c>
      <c r="C311" s="49" t="s">
        <v>640</v>
      </c>
      <c r="D311" s="48" t="s">
        <v>869</v>
      </c>
      <c r="E311" s="48" t="s">
        <v>877</v>
      </c>
      <c r="F311" s="50">
        <v>10</v>
      </c>
      <c r="G311" s="52">
        <f>StockInData[Expiry]</f>
        <v>44531</v>
      </c>
      <c r="H311" s="48">
        <v>25</v>
      </c>
      <c r="I311" s="48">
        <f>SUMIFS(StockInData[Quantity],StockInData[Product ID],ProductMaster!$B311)-SUMIFS(StockOutData[Quantity],StockOutData[Product ID],ProductMaster!$B311)</f>
        <v>27</v>
      </c>
      <c r="J311" s="50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8">
        <v>311</v>
      </c>
      <c r="B312" s="48" t="s">
        <v>641</v>
      </c>
      <c r="C312" s="49" t="s">
        <v>642</v>
      </c>
      <c r="D312" s="48" t="s">
        <v>869</v>
      </c>
      <c r="E312" s="48" t="s">
        <v>877</v>
      </c>
      <c r="F312" s="50">
        <v>10</v>
      </c>
      <c r="G312" s="52">
        <f>StockInData[Expiry]</f>
        <v>44533</v>
      </c>
      <c r="H312" s="48">
        <v>25</v>
      </c>
      <c r="I312" s="48">
        <f>SUMIFS(StockInData[Quantity],StockInData[Product ID],ProductMaster!$B312)-SUMIFS(StockOutData[Quantity],StockOutData[Product ID],ProductMaster!$B312)</f>
        <v>25</v>
      </c>
      <c r="J312" s="50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8">
        <v>312</v>
      </c>
      <c r="B313" s="48" t="s">
        <v>643</v>
      </c>
      <c r="C313" s="49" t="s">
        <v>644</v>
      </c>
      <c r="D313" s="48" t="s">
        <v>869</v>
      </c>
      <c r="E313" s="48" t="s">
        <v>877</v>
      </c>
      <c r="F313" s="50">
        <v>10</v>
      </c>
      <c r="G313" s="52">
        <f>StockInData[Expiry]</f>
        <v>44535</v>
      </c>
      <c r="H313" s="48">
        <v>25</v>
      </c>
      <c r="I313" s="48">
        <f>SUMIFS(StockInData[Quantity],StockInData[Product ID],ProductMaster!$B313)-SUMIFS(StockOutData[Quantity],StockOutData[Product ID],ProductMaster!$B313)</f>
        <v>18</v>
      </c>
      <c r="J313" s="50">
        <f>SUMIFS(StockInData[Value],StockInData[Product ID],ProductMaster!$B313)-SUMIFS(StockOutData[Value],StockOutData[Product ID],ProductMaster!$B313)</f>
        <v>45</v>
      </c>
    </row>
    <row r="314" spans="1:10" x14ac:dyDescent="0.25">
      <c r="A314" s="48">
        <v>313</v>
      </c>
      <c r="B314" s="48" t="s">
        <v>645</v>
      </c>
      <c r="C314" s="49" t="s">
        <v>646</v>
      </c>
      <c r="D314" s="48" t="s">
        <v>869</v>
      </c>
      <c r="E314" s="48" t="s">
        <v>877</v>
      </c>
      <c r="F314" s="50">
        <v>10</v>
      </c>
      <c r="G314" s="52">
        <f>StockInData[Expiry]</f>
        <v>44537</v>
      </c>
      <c r="H314" s="48">
        <v>25</v>
      </c>
      <c r="I314" s="48">
        <f>SUMIFS(StockInData[Quantity],StockInData[Product ID],ProductMaster!$B314)-SUMIFS(StockOutData[Quantity],StockOutData[Product ID],ProductMaster!$B314)</f>
        <v>5</v>
      </c>
      <c r="J314" s="50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8">
        <v>314</v>
      </c>
      <c r="B315" s="48" t="s">
        <v>647</v>
      </c>
      <c r="C315" s="49" t="s">
        <v>648</v>
      </c>
      <c r="D315" s="48" t="s">
        <v>869</v>
      </c>
      <c r="E315" s="48" t="s">
        <v>877</v>
      </c>
      <c r="F315" s="50">
        <v>10</v>
      </c>
      <c r="G315" s="52">
        <f>StockInData[Expiry]</f>
        <v>44539</v>
      </c>
      <c r="H315" s="48">
        <v>25</v>
      </c>
      <c r="I315" s="48">
        <f>SUMIFS(StockInData[Quantity],StockInData[Product ID],ProductMaster!$B315)-SUMIFS(StockOutData[Quantity],StockOutData[Product ID],ProductMaster!$B315)</f>
        <v>1</v>
      </c>
      <c r="J315" s="50">
        <f>SUMIFS(StockInData[Value],StockInData[Product ID],ProductMaster!$B315)-SUMIFS(StockOutData[Value],StockOutData[Product ID],ProductMaster!$B315)</f>
        <v>2.5</v>
      </c>
    </row>
    <row r="316" spans="1:10" x14ac:dyDescent="0.25">
      <c r="A316" s="48">
        <v>315</v>
      </c>
      <c r="B316" s="48" t="s">
        <v>649</v>
      </c>
      <c r="C316" s="49" t="s">
        <v>650</v>
      </c>
      <c r="D316" s="48" t="s">
        <v>869</v>
      </c>
      <c r="E316" s="48" t="s">
        <v>877</v>
      </c>
      <c r="F316" s="50">
        <v>10</v>
      </c>
      <c r="G316" s="52">
        <f>StockInData[Expiry]</f>
        <v>44541</v>
      </c>
      <c r="H316" s="48">
        <v>25</v>
      </c>
      <c r="I316" s="48">
        <f>SUMIFS(StockInData[Quantity],StockInData[Product ID],ProductMaster!$B316)-SUMIFS(StockOutData[Quantity],StockOutData[Product ID],ProductMaster!$B316)</f>
        <v>11</v>
      </c>
      <c r="J316" s="50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8">
        <v>316</v>
      </c>
      <c r="B317" s="48" t="s">
        <v>651</v>
      </c>
      <c r="C317" s="49" t="s">
        <v>652</v>
      </c>
      <c r="D317" s="48" t="s">
        <v>869</v>
      </c>
      <c r="E317" s="48" t="s">
        <v>877</v>
      </c>
      <c r="F317" s="50">
        <v>10</v>
      </c>
      <c r="G317" s="52">
        <f>StockInData[Expiry]</f>
        <v>44543</v>
      </c>
      <c r="H317" s="48">
        <v>25</v>
      </c>
      <c r="I317" s="48">
        <f>SUMIFS(StockInData[Quantity],StockInData[Product ID],ProductMaster!$B317)-SUMIFS(StockOutData[Quantity],StockOutData[Product ID],ProductMaster!$B317)</f>
        <v>55</v>
      </c>
      <c r="J317" s="50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8">
        <v>317</v>
      </c>
      <c r="B318" s="48" t="s">
        <v>653</v>
      </c>
      <c r="C318" s="49" t="s">
        <v>654</v>
      </c>
      <c r="D318" s="48" t="s">
        <v>869</v>
      </c>
      <c r="E318" s="48" t="s">
        <v>877</v>
      </c>
      <c r="F318" s="50">
        <v>10</v>
      </c>
      <c r="G318" s="52">
        <f>StockInData[Expiry]</f>
        <v>44545</v>
      </c>
      <c r="H318" s="48">
        <v>25</v>
      </c>
      <c r="I318" s="48">
        <f>SUMIFS(StockInData[Quantity],StockInData[Product ID],ProductMaster!$B318)-SUMIFS(StockOutData[Quantity],StockOutData[Product ID],ProductMaster!$B318)</f>
        <v>64</v>
      </c>
      <c r="J318" s="50">
        <f>SUMIFS(StockInData[Value],StockInData[Product ID],ProductMaster!$B318)-SUMIFS(StockOutData[Value],StockOutData[Product ID],ProductMaster!$B318)</f>
        <v>160</v>
      </c>
    </row>
    <row r="319" spans="1:10" x14ac:dyDescent="0.25">
      <c r="A319" s="48">
        <v>318</v>
      </c>
      <c r="B319" s="48" t="s">
        <v>655</v>
      </c>
      <c r="C319" s="49" t="s">
        <v>656</v>
      </c>
      <c r="D319" s="48" t="s">
        <v>869</v>
      </c>
      <c r="E319" s="48" t="s">
        <v>877</v>
      </c>
      <c r="F319" s="50">
        <v>10</v>
      </c>
      <c r="G319" s="52">
        <f>StockInData[Expiry]</f>
        <v>44547</v>
      </c>
      <c r="H319" s="48">
        <v>25</v>
      </c>
      <c r="I319" s="48">
        <f>SUMIFS(StockInData[Quantity],StockInData[Product ID],ProductMaster!$B319)-SUMIFS(StockOutData[Quantity],StockOutData[Product ID],ProductMaster!$B319)</f>
        <v>74</v>
      </c>
      <c r="J319" s="50">
        <f>SUMIFS(StockInData[Value],StockInData[Product ID],ProductMaster!$B319)-SUMIFS(StockOutData[Value],StockOutData[Product ID],ProductMaster!$B319)</f>
        <v>185</v>
      </c>
    </row>
    <row r="320" spans="1:10" x14ac:dyDescent="0.25">
      <c r="A320" s="48">
        <v>319</v>
      </c>
      <c r="B320" s="48" t="s">
        <v>657</v>
      </c>
      <c r="C320" s="49" t="s">
        <v>658</v>
      </c>
      <c r="D320" s="48" t="s">
        <v>869</v>
      </c>
      <c r="E320" s="48" t="s">
        <v>877</v>
      </c>
      <c r="F320" s="50">
        <v>10</v>
      </c>
      <c r="G320" s="52">
        <f>StockInData[Expiry]</f>
        <v>44549</v>
      </c>
      <c r="H320" s="48">
        <v>25</v>
      </c>
      <c r="I320" s="48">
        <f>SUMIFS(StockInData[Quantity],StockInData[Product ID],ProductMaster!$B320)-SUMIFS(StockOutData[Quantity],StockOutData[Product ID],ProductMaster!$B320)</f>
        <v>92</v>
      </c>
      <c r="J320" s="50">
        <f>SUMIFS(StockInData[Value],StockInData[Product ID],ProductMaster!$B320)-SUMIFS(StockOutData[Value],StockOutData[Product ID],ProductMaster!$B320)</f>
        <v>230</v>
      </c>
    </row>
    <row r="321" spans="1:10" x14ac:dyDescent="0.25">
      <c r="A321" s="48">
        <v>320</v>
      </c>
      <c r="B321" s="48" t="s">
        <v>659</v>
      </c>
      <c r="C321" s="49" t="s">
        <v>660</v>
      </c>
      <c r="D321" s="48" t="s">
        <v>869</v>
      </c>
      <c r="E321" s="48" t="s">
        <v>877</v>
      </c>
      <c r="F321" s="50">
        <v>10</v>
      </c>
      <c r="G321" s="52">
        <f>StockInData[Expiry]</f>
        <v>44551</v>
      </c>
      <c r="H321" s="48">
        <v>25</v>
      </c>
      <c r="I321" s="48">
        <f>SUMIFS(StockInData[Quantity],StockInData[Product ID],ProductMaster!$B321)-SUMIFS(StockOutData[Quantity],StockOutData[Product ID],ProductMaster!$B321)</f>
        <v>86</v>
      </c>
      <c r="J321" s="50">
        <f>SUMIFS(StockInData[Value],StockInData[Product ID],ProductMaster!$B321)-SUMIFS(StockOutData[Value],StockOutData[Product ID],ProductMaster!$B321)</f>
        <v>215</v>
      </c>
    </row>
    <row r="322" spans="1:10" x14ac:dyDescent="0.25">
      <c r="A322" s="48">
        <v>321</v>
      </c>
      <c r="B322" s="48" t="s">
        <v>661</v>
      </c>
      <c r="C322" s="49" t="s">
        <v>662</v>
      </c>
      <c r="D322" s="48" t="s">
        <v>869</v>
      </c>
      <c r="E322" s="48" t="s">
        <v>877</v>
      </c>
      <c r="F322" s="50">
        <v>10</v>
      </c>
      <c r="G322" s="52">
        <f>StockInData[Expiry]</f>
        <v>44553</v>
      </c>
      <c r="H322" s="48">
        <v>25</v>
      </c>
      <c r="I322" s="48">
        <f>SUMIFS(StockInData[Quantity],StockInData[Product ID],ProductMaster!$B322)-SUMIFS(StockOutData[Quantity],StockOutData[Product ID],ProductMaster!$B322)</f>
        <v>42</v>
      </c>
      <c r="J322" s="50">
        <f>SUMIFS(StockInData[Value],StockInData[Product ID],ProductMaster!$B322)-SUMIFS(StockOutData[Value],StockOutData[Product ID],ProductMaster!$B322)</f>
        <v>105</v>
      </c>
    </row>
    <row r="323" spans="1:10" x14ac:dyDescent="0.25">
      <c r="A323" s="48">
        <v>322</v>
      </c>
      <c r="B323" s="48" t="s">
        <v>663</v>
      </c>
      <c r="C323" s="49" t="s">
        <v>664</v>
      </c>
      <c r="D323" s="48" t="s">
        <v>869</v>
      </c>
      <c r="E323" s="48" t="s">
        <v>878</v>
      </c>
      <c r="F323" s="50">
        <v>10</v>
      </c>
      <c r="G323" s="52">
        <f>StockInData[Expiry]</f>
        <v>44555</v>
      </c>
      <c r="H323" s="48">
        <v>25</v>
      </c>
      <c r="I323" s="48">
        <f>SUMIFS(StockInData[Quantity],StockInData[Product ID],ProductMaster!$B323)-SUMIFS(StockOutData[Quantity],StockOutData[Product ID],ProductMaster!$B323)</f>
        <v>28</v>
      </c>
      <c r="J323" s="50">
        <f>SUMIFS(StockInData[Value],StockInData[Product ID],ProductMaster!$B323)-SUMIFS(StockOutData[Value],StockOutData[Product ID],ProductMaster!$B323)</f>
        <v>70</v>
      </c>
    </row>
    <row r="324" spans="1:10" x14ac:dyDescent="0.25">
      <c r="A324" s="48">
        <v>323</v>
      </c>
      <c r="B324" s="48" t="s">
        <v>665</v>
      </c>
      <c r="C324" s="49" t="s">
        <v>666</v>
      </c>
      <c r="D324" s="48" t="s">
        <v>869</v>
      </c>
      <c r="E324" s="48" t="s">
        <v>878</v>
      </c>
      <c r="F324" s="50">
        <v>10</v>
      </c>
      <c r="G324" s="52">
        <f>StockInData[Expiry]</f>
        <v>44557</v>
      </c>
      <c r="H324" s="48">
        <v>25</v>
      </c>
      <c r="I324" s="48">
        <f>SUMIFS(StockInData[Quantity],StockInData[Product ID],ProductMaster!$B324)-SUMIFS(StockOutData[Quantity],StockOutData[Product ID],ProductMaster!$B324)</f>
        <v>16</v>
      </c>
      <c r="J324" s="50">
        <f>SUMIFS(StockInData[Value],StockInData[Product ID],ProductMaster!$B324)-SUMIFS(StockOutData[Value],StockOutData[Product ID],ProductMaster!$B324)</f>
        <v>40</v>
      </c>
    </row>
    <row r="325" spans="1:10" x14ac:dyDescent="0.25">
      <c r="A325" s="48">
        <v>324</v>
      </c>
      <c r="B325" s="48" t="s">
        <v>667</v>
      </c>
      <c r="C325" s="49" t="s">
        <v>668</v>
      </c>
      <c r="D325" s="48" t="s">
        <v>869</v>
      </c>
      <c r="E325" s="48" t="s">
        <v>878</v>
      </c>
      <c r="F325" s="50">
        <v>10</v>
      </c>
      <c r="G325" s="52">
        <f>StockInData[Expiry]</f>
        <v>44559</v>
      </c>
      <c r="H325" s="48">
        <v>25</v>
      </c>
      <c r="I325" s="48">
        <f>SUMIFS(StockInData[Quantity],StockInData[Product ID],ProductMaster!$B325)-SUMIFS(StockOutData[Quantity],StockOutData[Product ID],ProductMaster!$B325)</f>
        <v>12</v>
      </c>
      <c r="J325" s="50">
        <f>SUMIFS(StockInData[Value],StockInData[Product ID],ProductMaster!$B325)-SUMIFS(StockOutData[Value],StockOutData[Product ID],ProductMaster!$B325)</f>
        <v>30</v>
      </c>
    </row>
    <row r="326" spans="1:10" x14ac:dyDescent="0.25">
      <c r="A326" s="48">
        <v>325</v>
      </c>
      <c r="B326" s="48" t="s">
        <v>669</v>
      </c>
      <c r="C326" s="49" t="s">
        <v>670</v>
      </c>
      <c r="D326" s="48" t="s">
        <v>869</v>
      </c>
      <c r="E326" s="48" t="s">
        <v>878</v>
      </c>
      <c r="F326" s="50">
        <v>10</v>
      </c>
      <c r="G326" s="52">
        <f>StockInData[Expiry]</f>
        <v>44561</v>
      </c>
      <c r="H326" s="48">
        <v>25</v>
      </c>
      <c r="I326" s="48">
        <f>SUMIFS(StockInData[Quantity],StockInData[Product ID],ProductMaster!$B326)-SUMIFS(StockOutData[Quantity],StockOutData[Product ID],ProductMaster!$B326)</f>
        <v>15</v>
      </c>
      <c r="J326" s="50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8">
        <v>326</v>
      </c>
      <c r="B327" s="48" t="s">
        <v>671</v>
      </c>
      <c r="C327" s="49" t="s">
        <v>672</v>
      </c>
      <c r="D327" s="48" t="s">
        <v>869</v>
      </c>
      <c r="E327" s="48" t="s">
        <v>878</v>
      </c>
      <c r="F327" s="50">
        <v>10</v>
      </c>
      <c r="G327" s="52">
        <f>StockInData[Expiry]</f>
        <v>44563</v>
      </c>
      <c r="H327" s="48">
        <v>25</v>
      </c>
      <c r="I327" s="48">
        <f>SUMIFS(StockInData[Quantity],StockInData[Product ID],ProductMaster!$B327)-SUMIFS(StockOutData[Quantity],StockOutData[Product ID],ProductMaster!$B327)</f>
        <v>12</v>
      </c>
      <c r="J327" s="50">
        <f>SUMIFS(StockInData[Value],StockInData[Product ID],ProductMaster!$B327)-SUMIFS(StockOutData[Value],StockOutData[Product ID],ProductMaster!$B327)</f>
        <v>30</v>
      </c>
    </row>
    <row r="328" spans="1:10" x14ac:dyDescent="0.25">
      <c r="A328" s="48">
        <v>327</v>
      </c>
      <c r="B328" s="48" t="s">
        <v>673</v>
      </c>
      <c r="C328" s="49" t="s">
        <v>674</v>
      </c>
      <c r="D328" s="48" t="s">
        <v>879</v>
      </c>
      <c r="E328" s="48" t="s">
        <v>878</v>
      </c>
      <c r="F328" s="50">
        <v>10</v>
      </c>
      <c r="G328" s="52">
        <f>StockInData[Expiry]</f>
        <v>44565</v>
      </c>
      <c r="H328" s="48">
        <v>25</v>
      </c>
      <c r="I328" s="48">
        <f>SUMIFS(StockInData[Quantity],StockInData[Product ID],ProductMaster!$B328)-SUMIFS(StockOutData[Quantity],StockOutData[Product ID],ProductMaster!$B328)</f>
        <v>8</v>
      </c>
      <c r="J328" s="50">
        <f>SUMIFS(StockInData[Value],StockInData[Product ID],ProductMaster!$B328)-SUMIFS(StockOutData[Value],StockOutData[Product ID],ProductMaster!$B328)</f>
        <v>20</v>
      </c>
    </row>
    <row r="329" spans="1:10" x14ac:dyDescent="0.25">
      <c r="A329" s="48">
        <v>328</v>
      </c>
      <c r="B329" s="48" t="s">
        <v>675</v>
      </c>
      <c r="C329" s="49" t="s">
        <v>676</v>
      </c>
      <c r="D329" s="48" t="s">
        <v>879</v>
      </c>
      <c r="E329" s="48" t="s">
        <v>878</v>
      </c>
      <c r="F329" s="50">
        <v>10</v>
      </c>
      <c r="G329" s="52">
        <f>StockInData[Expiry]</f>
        <v>44567</v>
      </c>
      <c r="H329" s="48">
        <v>25</v>
      </c>
      <c r="I329" s="48">
        <f>SUMIFS(StockInData[Quantity],StockInData[Product ID],ProductMaster!$B329)-SUMIFS(StockOutData[Quantity],StockOutData[Product ID],ProductMaster!$B329)</f>
        <v>47</v>
      </c>
      <c r="J329" s="50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8">
        <v>329</v>
      </c>
      <c r="B330" s="48" t="s">
        <v>677</v>
      </c>
      <c r="C330" s="49" t="s">
        <v>678</v>
      </c>
      <c r="D330" s="48" t="s">
        <v>879</v>
      </c>
      <c r="E330" s="48" t="s">
        <v>878</v>
      </c>
      <c r="F330" s="50">
        <v>10</v>
      </c>
      <c r="G330" s="52">
        <f>StockInData[Expiry]</f>
        <v>44569</v>
      </c>
      <c r="H330" s="48">
        <v>25</v>
      </c>
      <c r="I330" s="48">
        <f>SUMIFS(StockInData[Quantity],StockInData[Product ID],ProductMaster!$B330)-SUMIFS(StockOutData[Quantity],StockOutData[Product ID],ProductMaster!$B330)</f>
        <v>62</v>
      </c>
      <c r="J330" s="50">
        <f>SUMIFS(StockInData[Value],StockInData[Product ID],ProductMaster!$B330)-SUMIFS(StockOutData[Value],StockOutData[Product ID],ProductMaster!$B330)</f>
        <v>155</v>
      </c>
    </row>
    <row r="331" spans="1:10" x14ac:dyDescent="0.25">
      <c r="A331" s="48">
        <v>330</v>
      </c>
      <c r="B331" s="48" t="s">
        <v>679</v>
      </c>
      <c r="C331" s="49" t="s">
        <v>680</v>
      </c>
      <c r="D331" s="48" t="s">
        <v>879</v>
      </c>
      <c r="E331" s="48" t="s">
        <v>878</v>
      </c>
      <c r="F331" s="50">
        <v>10</v>
      </c>
      <c r="G331" s="52">
        <f>StockInData[Expiry]</f>
        <v>44571</v>
      </c>
      <c r="H331" s="48">
        <v>25</v>
      </c>
      <c r="I331" s="48">
        <f>SUMIFS(StockInData[Quantity],StockInData[Product ID],ProductMaster!$B331)-SUMIFS(StockOutData[Quantity],StockOutData[Product ID],ProductMaster!$B331)</f>
        <v>70</v>
      </c>
      <c r="J331" s="50">
        <f>SUMIFS(StockInData[Value],StockInData[Product ID],ProductMaster!$B331)-SUMIFS(StockOutData[Value],StockOutData[Product ID],ProductMaster!$B331)</f>
        <v>175</v>
      </c>
    </row>
    <row r="332" spans="1:10" x14ac:dyDescent="0.25">
      <c r="A332" s="48">
        <v>331</v>
      </c>
      <c r="B332" s="48" t="s">
        <v>681</v>
      </c>
      <c r="C332" s="49" t="s">
        <v>682</v>
      </c>
      <c r="D332" s="48" t="s">
        <v>879</v>
      </c>
      <c r="E332" s="48" t="s">
        <v>878</v>
      </c>
      <c r="F332" s="50">
        <v>10</v>
      </c>
      <c r="G332" s="52">
        <f>StockInData[Expiry]</f>
        <v>44573</v>
      </c>
      <c r="H332" s="48">
        <v>25</v>
      </c>
      <c r="I332" s="48">
        <f>SUMIFS(StockInData[Quantity],StockInData[Product ID],ProductMaster!$B332)-SUMIFS(StockOutData[Quantity],StockOutData[Product ID],ProductMaster!$B332)</f>
        <v>86</v>
      </c>
      <c r="J332" s="50">
        <f>SUMIFS(StockInData[Value],StockInData[Product ID],ProductMaster!$B332)-SUMIFS(StockOutData[Value],StockOutData[Product ID],ProductMaster!$B332)</f>
        <v>215</v>
      </c>
    </row>
    <row r="333" spans="1:10" x14ac:dyDescent="0.25">
      <c r="A333" s="48">
        <v>332</v>
      </c>
      <c r="B333" s="48" t="s">
        <v>683</v>
      </c>
      <c r="C333" s="49" t="s">
        <v>684</v>
      </c>
      <c r="D333" s="48" t="s">
        <v>879</v>
      </c>
      <c r="E333" s="48" t="s">
        <v>878</v>
      </c>
      <c r="F333" s="50">
        <v>10</v>
      </c>
      <c r="G333" s="52">
        <f>StockInData[Expiry]</f>
        <v>44575</v>
      </c>
      <c r="H333" s="48">
        <v>25</v>
      </c>
      <c r="I333" s="48">
        <f>SUMIFS(StockInData[Quantity],StockInData[Product ID],ProductMaster!$B333)-SUMIFS(StockOutData[Quantity],StockOutData[Product ID],ProductMaster!$B333)</f>
        <v>96</v>
      </c>
      <c r="J333" s="50">
        <f>SUMIFS(StockInData[Value],StockInData[Product ID],ProductMaster!$B333)-SUMIFS(StockOutData[Value],StockOutData[Product ID],ProductMaster!$B333)</f>
        <v>240</v>
      </c>
    </row>
    <row r="334" spans="1:10" x14ac:dyDescent="0.25">
      <c r="A334" s="48">
        <v>333</v>
      </c>
      <c r="B334" s="48" t="s">
        <v>685</v>
      </c>
      <c r="C334" s="49" t="s">
        <v>686</v>
      </c>
      <c r="D334" s="48" t="s">
        <v>879</v>
      </c>
      <c r="E334" s="48" t="s">
        <v>878</v>
      </c>
      <c r="F334" s="50">
        <v>10</v>
      </c>
      <c r="G334" s="52">
        <f>StockInData[Expiry]</f>
        <v>44577</v>
      </c>
      <c r="H334" s="48">
        <v>25</v>
      </c>
      <c r="I334" s="48">
        <f>SUMIFS(StockInData[Quantity],StockInData[Product ID],ProductMaster!$B334)-SUMIFS(StockOutData[Quantity],StockOutData[Product ID],ProductMaster!$B334)</f>
        <v>53</v>
      </c>
      <c r="J334" s="50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8">
        <v>334</v>
      </c>
      <c r="B335" s="48" t="s">
        <v>687</v>
      </c>
      <c r="C335" s="49" t="s">
        <v>688</v>
      </c>
      <c r="D335" s="48" t="s">
        <v>879</v>
      </c>
      <c r="E335" s="48" t="s">
        <v>878</v>
      </c>
      <c r="F335" s="50">
        <v>10</v>
      </c>
      <c r="G335" s="52">
        <f>StockInData[Expiry]</f>
        <v>44579</v>
      </c>
      <c r="H335" s="48">
        <v>25</v>
      </c>
      <c r="I335" s="48">
        <f>SUMIFS(StockInData[Quantity],StockInData[Product ID],ProductMaster!$B335)-SUMIFS(StockOutData[Quantity],StockOutData[Product ID],ProductMaster!$B335)</f>
        <v>25</v>
      </c>
      <c r="J335" s="50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8">
        <v>335</v>
      </c>
      <c r="B336" s="48" t="s">
        <v>689</v>
      </c>
      <c r="C336" s="49" t="s">
        <v>690</v>
      </c>
      <c r="D336" s="48" t="s">
        <v>879</v>
      </c>
      <c r="E336" s="48" t="s">
        <v>878</v>
      </c>
      <c r="F336" s="50">
        <v>10</v>
      </c>
      <c r="G336" s="52">
        <f>StockInData[Expiry]</f>
        <v>44581</v>
      </c>
      <c r="H336" s="48">
        <v>25</v>
      </c>
      <c r="I336" s="48">
        <f>SUMIFS(StockInData[Quantity],StockInData[Product ID],ProductMaster!$B336)-SUMIFS(StockOutData[Quantity],StockOutData[Product ID],ProductMaster!$B336)</f>
        <v>12</v>
      </c>
      <c r="J336" s="50">
        <f>SUMIFS(StockInData[Value],StockInData[Product ID],ProductMaster!$B336)-SUMIFS(StockOutData[Value],StockOutData[Product ID],ProductMaster!$B336)</f>
        <v>30</v>
      </c>
    </row>
    <row r="337" spans="1:10" x14ac:dyDescent="0.25">
      <c r="A337" s="48">
        <v>336</v>
      </c>
      <c r="B337" s="48" t="s">
        <v>691</v>
      </c>
      <c r="C337" s="49" t="s">
        <v>692</v>
      </c>
      <c r="D337" s="48" t="s">
        <v>879</v>
      </c>
      <c r="E337" s="48" t="s">
        <v>878</v>
      </c>
      <c r="F337" s="50">
        <v>10</v>
      </c>
      <c r="G337" s="52">
        <f>StockInData[Expiry]</f>
        <v>44583</v>
      </c>
      <c r="H337" s="48">
        <v>25</v>
      </c>
      <c r="I337" s="48">
        <f>SUMIFS(StockInData[Quantity],StockInData[Product ID],ProductMaster!$B337)-SUMIFS(StockOutData[Quantity],StockOutData[Product ID],ProductMaster!$B337)</f>
        <v>13</v>
      </c>
      <c r="J337" s="50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8">
        <v>337</v>
      </c>
      <c r="B338" s="48" t="s">
        <v>693</v>
      </c>
      <c r="C338" s="49" t="s">
        <v>694</v>
      </c>
      <c r="D338" s="48" t="s">
        <v>879</v>
      </c>
      <c r="E338" s="48" t="s">
        <v>878</v>
      </c>
      <c r="F338" s="50">
        <v>10</v>
      </c>
      <c r="G338" s="52">
        <f>StockInData[Expiry]</f>
        <v>44585</v>
      </c>
      <c r="H338" s="48">
        <v>25</v>
      </c>
      <c r="I338" s="48">
        <f>SUMIFS(StockInData[Quantity],StockInData[Product ID],ProductMaster!$B338)-SUMIFS(StockOutData[Quantity],StockOutData[Product ID],ProductMaster!$B338)</f>
        <v>10</v>
      </c>
      <c r="J338" s="50">
        <f>SUMIFS(StockInData[Value],StockInData[Product ID],ProductMaster!$B338)-SUMIFS(StockOutData[Value],StockOutData[Product ID],ProductMaster!$B338)</f>
        <v>25</v>
      </c>
    </row>
    <row r="339" spans="1:10" x14ac:dyDescent="0.25">
      <c r="A339" s="48">
        <v>338</v>
      </c>
      <c r="B339" s="48" t="s">
        <v>695</v>
      </c>
      <c r="C339" s="49" t="s">
        <v>696</v>
      </c>
      <c r="D339" s="48" t="s">
        <v>879</v>
      </c>
      <c r="E339" s="48" t="s">
        <v>878</v>
      </c>
      <c r="F339" s="50">
        <v>10</v>
      </c>
      <c r="G339" s="52">
        <f>StockInData[Expiry]</f>
        <v>44587</v>
      </c>
      <c r="H339" s="48">
        <v>25</v>
      </c>
      <c r="I339" s="48">
        <f>SUMIFS(StockInData[Quantity],StockInData[Product ID],ProductMaster!$B339)-SUMIFS(StockOutData[Quantity],StockOutData[Product ID],ProductMaster!$B339)</f>
        <v>9</v>
      </c>
      <c r="J339" s="50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8">
        <v>339</v>
      </c>
      <c r="B340" s="48" t="s">
        <v>697</v>
      </c>
      <c r="C340" s="49" t="s">
        <v>698</v>
      </c>
      <c r="D340" s="48" t="s">
        <v>879</v>
      </c>
      <c r="E340" s="48" t="s">
        <v>878</v>
      </c>
      <c r="F340" s="50">
        <v>10</v>
      </c>
      <c r="G340" s="52">
        <f>StockInData[Expiry]</f>
        <v>44589</v>
      </c>
      <c r="H340" s="48">
        <v>25</v>
      </c>
      <c r="I340" s="48">
        <f>SUMIFS(StockInData[Quantity],StockInData[Product ID],ProductMaster!$B340)-SUMIFS(StockOutData[Quantity],StockOutData[Product ID],ProductMaster!$B340)</f>
        <v>13</v>
      </c>
      <c r="J340" s="50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8">
        <v>340</v>
      </c>
      <c r="B341" s="48" t="s">
        <v>699</v>
      </c>
      <c r="C341" s="49" t="s">
        <v>700</v>
      </c>
      <c r="D341" s="48" t="s">
        <v>879</v>
      </c>
      <c r="E341" s="48" t="s">
        <v>878</v>
      </c>
      <c r="F341" s="50">
        <v>10</v>
      </c>
      <c r="G341" s="52">
        <f>StockInData[Expiry]</f>
        <v>44591</v>
      </c>
      <c r="H341" s="48">
        <v>25</v>
      </c>
      <c r="I341" s="48">
        <f>SUMIFS(StockInData[Quantity],StockInData[Product ID],ProductMaster!$B341)-SUMIFS(StockOutData[Quantity],StockOutData[Product ID],ProductMaster!$B341)</f>
        <v>58</v>
      </c>
      <c r="J341" s="50">
        <f>SUMIFS(StockInData[Value],StockInData[Product ID],ProductMaster!$B341)-SUMIFS(StockOutData[Value],StockOutData[Product ID],ProductMaster!$B341)</f>
        <v>145</v>
      </c>
    </row>
    <row r="342" spans="1:10" x14ac:dyDescent="0.25">
      <c r="A342" s="48">
        <v>341</v>
      </c>
      <c r="B342" s="48" t="s">
        <v>701</v>
      </c>
      <c r="C342" s="49" t="s">
        <v>702</v>
      </c>
      <c r="D342" s="48" t="s">
        <v>879</v>
      </c>
      <c r="E342" s="48" t="s">
        <v>878</v>
      </c>
      <c r="F342" s="50">
        <v>10</v>
      </c>
      <c r="G342" s="52">
        <f>StockInData[Expiry]</f>
        <v>44593</v>
      </c>
      <c r="H342" s="48">
        <v>25</v>
      </c>
      <c r="I342" s="48">
        <f>SUMIFS(StockInData[Quantity],StockInData[Product ID],ProductMaster!$B342)-SUMIFS(StockOutData[Quantity],StockOutData[Product ID],ProductMaster!$B342)</f>
        <v>59</v>
      </c>
      <c r="J342" s="50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8">
        <v>342</v>
      </c>
      <c r="B343" s="48" t="s">
        <v>703</v>
      </c>
      <c r="C343" s="49" t="s">
        <v>704</v>
      </c>
      <c r="D343" s="48" t="s">
        <v>879</v>
      </c>
      <c r="E343" s="48" t="s">
        <v>878</v>
      </c>
      <c r="F343" s="50">
        <v>10</v>
      </c>
      <c r="G343" s="52">
        <f>StockInData[Expiry]</f>
        <v>44595</v>
      </c>
      <c r="H343" s="48">
        <v>25</v>
      </c>
      <c r="I343" s="48">
        <f>SUMIFS(StockInData[Quantity],StockInData[Product ID],ProductMaster!$B343)-SUMIFS(StockOutData[Quantity],StockOutData[Product ID],ProductMaster!$B343)</f>
        <v>66</v>
      </c>
      <c r="J343" s="50">
        <f>SUMIFS(StockInData[Value],StockInData[Product ID],ProductMaster!$B343)-SUMIFS(StockOutData[Value],StockOutData[Product ID],ProductMaster!$B343)</f>
        <v>165</v>
      </c>
    </row>
    <row r="344" spans="1:10" x14ac:dyDescent="0.25">
      <c r="A344" s="48">
        <v>343</v>
      </c>
      <c r="B344" s="48" t="s">
        <v>705</v>
      </c>
      <c r="C344" s="49" t="s">
        <v>706</v>
      </c>
      <c r="D344" s="48" t="s">
        <v>879</v>
      </c>
      <c r="E344" s="48" t="s">
        <v>878</v>
      </c>
      <c r="F344" s="50">
        <v>10</v>
      </c>
      <c r="G344" s="52">
        <f>StockInData[Expiry]</f>
        <v>44597</v>
      </c>
      <c r="H344" s="48">
        <v>25</v>
      </c>
      <c r="I344" s="48">
        <f>SUMIFS(StockInData[Quantity],StockInData[Product ID],ProductMaster!$B344)-SUMIFS(StockOutData[Quantity],StockOutData[Product ID],ProductMaster!$B344)</f>
        <v>87</v>
      </c>
      <c r="J344" s="50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8">
        <v>344</v>
      </c>
      <c r="B345" s="48" t="s">
        <v>707</v>
      </c>
      <c r="C345" s="49" t="s">
        <v>708</v>
      </c>
      <c r="D345" s="48" t="s">
        <v>879</v>
      </c>
      <c r="E345" s="48" t="s">
        <v>878</v>
      </c>
      <c r="F345" s="50">
        <v>10</v>
      </c>
      <c r="G345" s="52">
        <f>StockInData[Expiry]</f>
        <v>44599</v>
      </c>
      <c r="H345" s="48">
        <v>25</v>
      </c>
      <c r="I345" s="48">
        <f>SUMIFS(StockInData[Quantity],StockInData[Product ID],ProductMaster!$B345)-SUMIFS(StockOutData[Quantity],StockOutData[Product ID],ProductMaster!$B345)</f>
        <v>87</v>
      </c>
      <c r="J345" s="50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8">
        <v>345</v>
      </c>
      <c r="B346" s="48" t="s">
        <v>709</v>
      </c>
      <c r="C346" s="49" t="s">
        <v>710</v>
      </c>
      <c r="D346" s="48" t="s">
        <v>869</v>
      </c>
      <c r="E346" s="48" t="s">
        <v>878</v>
      </c>
      <c r="F346" s="50">
        <v>10</v>
      </c>
      <c r="G346" s="52">
        <f>StockInData[Expiry]</f>
        <v>44601</v>
      </c>
      <c r="H346" s="48">
        <v>25</v>
      </c>
      <c r="I346" s="48">
        <f>SUMIFS(StockInData[Quantity],StockInData[Product ID],ProductMaster!$B346)-SUMIFS(StockOutData[Quantity],StockOutData[Product ID],ProductMaster!$B346)</f>
        <v>87</v>
      </c>
      <c r="J346" s="50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8">
        <v>346</v>
      </c>
      <c r="B347" s="48" t="s">
        <v>711</v>
      </c>
      <c r="C347" s="49" t="s">
        <v>712</v>
      </c>
      <c r="D347" s="48" t="s">
        <v>869</v>
      </c>
      <c r="E347" s="48" t="s">
        <v>878</v>
      </c>
      <c r="F347" s="50">
        <v>10</v>
      </c>
      <c r="G347" s="52">
        <f>StockInData[Expiry]</f>
        <v>44603</v>
      </c>
      <c r="H347" s="48">
        <v>25</v>
      </c>
      <c r="I347" s="48">
        <f>SUMIFS(StockInData[Quantity],StockInData[Product ID],ProductMaster!$B347)-SUMIFS(StockOutData[Quantity],StockOutData[Product ID],ProductMaster!$B347)</f>
        <v>43</v>
      </c>
      <c r="J347" s="50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8">
        <v>347</v>
      </c>
      <c r="B348" s="48" t="s">
        <v>713</v>
      </c>
      <c r="C348" s="49" t="s">
        <v>714</v>
      </c>
      <c r="D348" s="48" t="s">
        <v>869</v>
      </c>
      <c r="E348" s="48" t="s">
        <v>878</v>
      </c>
      <c r="F348" s="50">
        <v>10</v>
      </c>
      <c r="G348" s="52">
        <f>StockInData[Expiry]</f>
        <v>44605</v>
      </c>
      <c r="H348" s="48">
        <v>25</v>
      </c>
      <c r="I348" s="48">
        <f>SUMIFS(StockInData[Quantity],StockInData[Product ID],ProductMaster!$B348)-SUMIFS(StockOutData[Quantity],StockOutData[Product ID],ProductMaster!$B348)</f>
        <v>33</v>
      </c>
      <c r="J348" s="50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8">
        <v>348</v>
      </c>
      <c r="B349" s="48" t="s">
        <v>715</v>
      </c>
      <c r="C349" s="49" t="s">
        <v>716</v>
      </c>
      <c r="D349" s="48" t="s">
        <v>869</v>
      </c>
      <c r="E349" s="48" t="s">
        <v>878</v>
      </c>
      <c r="F349" s="50">
        <v>10</v>
      </c>
      <c r="G349" s="52">
        <f>StockInData[Expiry]</f>
        <v>44607</v>
      </c>
      <c r="H349" s="48">
        <v>25</v>
      </c>
      <c r="I349" s="48">
        <f>SUMIFS(StockInData[Quantity],StockInData[Product ID],ProductMaster!$B349)-SUMIFS(StockOutData[Quantity],StockOutData[Product ID],ProductMaster!$B349)</f>
        <v>15</v>
      </c>
      <c r="J349" s="50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8">
        <v>349</v>
      </c>
      <c r="B350" s="48" t="s">
        <v>717</v>
      </c>
      <c r="C350" s="49" t="s">
        <v>718</v>
      </c>
      <c r="D350" s="48" t="s">
        <v>869</v>
      </c>
      <c r="E350" s="48" t="s">
        <v>878</v>
      </c>
      <c r="F350" s="50">
        <v>10</v>
      </c>
      <c r="G350" s="52">
        <f>StockInData[Expiry]</f>
        <v>44609</v>
      </c>
      <c r="H350" s="48">
        <v>25</v>
      </c>
      <c r="I350" s="48">
        <f>SUMIFS(StockInData[Quantity],StockInData[Product ID],ProductMaster!$B350)-SUMIFS(StockOutData[Quantity],StockOutData[Product ID],ProductMaster!$B350)</f>
        <v>7</v>
      </c>
      <c r="J350" s="50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8">
        <v>350</v>
      </c>
      <c r="B351" s="48" t="s">
        <v>719</v>
      </c>
      <c r="C351" s="49" t="s">
        <v>720</v>
      </c>
      <c r="D351" s="48" t="s">
        <v>869</v>
      </c>
      <c r="E351" s="48" t="s">
        <v>878</v>
      </c>
      <c r="F351" s="50">
        <v>10</v>
      </c>
      <c r="G351" s="52">
        <f>StockInData[Expiry]</f>
        <v>44611</v>
      </c>
      <c r="H351" s="48">
        <v>25</v>
      </c>
      <c r="I351" s="48">
        <f>SUMIFS(StockInData[Quantity],StockInData[Product ID],ProductMaster!$B351)-SUMIFS(StockOutData[Quantity],StockOutData[Product ID],ProductMaster!$B351)</f>
        <v>8</v>
      </c>
      <c r="J351" s="50">
        <f>SUMIFS(StockInData[Value],StockInData[Product ID],ProductMaster!$B351)-SUMIFS(StockOutData[Value],StockOutData[Product ID],ProductMaster!$B351)</f>
        <v>20</v>
      </c>
    </row>
    <row r="352" spans="1:10" x14ac:dyDescent="0.25">
      <c r="A352" s="48">
        <v>351</v>
      </c>
      <c r="B352" s="48" t="s">
        <v>721</v>
      </c>
      <c r="C352" s="49" t="s">
        <v>722</v>
      </c>
      <c r="D352" s="48" t="s">
        <v>869</v>
      </c>
      <c r="E352" s="48" t="s">
        <v>878</v>
      </c>
      <c r="F352" s="50">
        <v>10</v>
      </c>
      <c r="G352" s="52">
        <f>StockInData[Expiry]</f>
        <v>44613</v>
      </c>
      <c r="H352" s="48">
        <v>25</v>
      </c>
      <c r="I352" s="48">
        <f>SUMIFS(StockInData[Quantity],StockInData[Product ID],ProductMaster!$B352)-SUMIFS(StockOutData[Quantity],StockOutData[Product ID],ProductMaster!$B352)</f>
        <v>5</v>
      </c>
      <c r="J352" s="50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8">
        <v>352</v>
      </c>
      <c r="B353" s="48" t="s">
        <v>723</v>
      </c>
      <c r="C353" s="49" t="s">
        <v>724</v>
      </c>
      <c r="D353" s="48" t="s">
        <v>869</v>
      </c>
      <c r="E353" s="48" t="s">
        <v>878</v>
      </c>
      <c r="F353" s="50">
        <v>10</v>
      </c>
      <c r="G353" s="52">
        <f>StockInData[Expiry]</f>
        <v>44615</v>
      </c>
      <c r="H353" s="48">
        <v>25</v>
      </c>
      <c r="I353" s="48">
        <f>SUMIFS(StockInData[Quantity],StockInData[Product ID],ProductMaster!$B353)-SUMIFS(StockOutData[Quantity],StockOutData[Product ID],ProductMaster!$B353)</f>
        <v>10</v>
      </c>
      <c r="J353" s="50">
        <f>SUMIFS(StockInData[Value],StockInData[Product ID],ProductMaster!$B353)-SUMIFS(StockOutData[Value],StockOutData[Product ID],ProductMaster!$B353)</f>
        <v>25</v>
      </c>
    </row>
    <row r="354" spans="1:10" x14ac:dyDescent="0.25">
      <c r="A354" s="48">
        <v>353</v>
      </c>
      <c r="B354" s="48" t="s">
        <v>725</v>
      </c>
      <c r="C354" s="49" t="s">
        <v>726</v>
      </c>
      <c r="D354" s="48" t="s">
        <v>869</v>
      </c>
      <c r="E354" s="48" t="s">
        <v>878</v>
      </c>
      <c r="F354" s="50">
        <v>10</v>
      </c>
      <c r="G354" s="52">
        <f>StockInData[Expiry]</f>
        <v>44617</v>
      </c>
      <c r="H354" s="48">
        <v>25</v>
      </c>
      <c r="I354" s="48">
        <f>SUMIFS(StockInData[Quantity],StockInData[Product ID],ProductMaster!$B354)-SUMIFS(StockOutData[Quantity],StockOutData[Product ID],ProductMaster!$B354)</f>
        <v>60</v>
      </c>
      <c r="J354" s="50">
        <f>SUMIFS(StockInData[Value],StockInData[Product ID],ProductMaster!$B354)-SUMIFS(StockOutData[Value],StockOutData[Product ID],ProductMaster!$B354)</f>
        <v>150</v>
      </c>
    </row>
    <row r="355" spans="1:10" x14ac:dyDescent="0.25">
      <c r="A355" s="48">
        <v>354</v>
      </c>
      <c r="B355" s="48" t="s">
        <v>727</v>
      </c>
      <c r="C355" s="49" t="s">
        <v>728</v>
      </c>
      <c r="D355" s="48" t="s">
        <v>869</v>
      </c>
      <c r="E355" s="48" t="s">
        <v>878</v>
      </c>
      <c r="F355" s="50">
        <v>10</v>
      </c>
      <c r="G355" s="52">
        <f>StockInData[Expiry]</f>
        <v>44619</v>
      </c>
      <c r="H355" s="48">
        <v>25</v>
      </c>
      <c r="I355" s="48">
        <f>SUMIFS(StockInData[Quantity],StockInData[Product ID],ProductMaster!$B355)-SUMIFS(StockOutData[Quantity],StockOutData[Product ID],ProductMaster!$B355)</f>
        <v>67</v>
      </c>
      <c r="J355" s="50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8">
        <v>355</v>
      </c>
      <c r="B356" s="48" t="s">
        <v>729</v>
      </c>
      <c r="C356" s="49" t="s">
        <v>730</v>
      </c>
      <c r="D356" s="48" t="s">
        <v>869</v>
      </c>
      <c r="E356" s="48" t="s">
        <v>878</v>
      </c>
      <c r="F356" s="50">
        <v>10</v>
      </c>
      <c r="G356" s="52">
        <f>StockInData[Expiry]</f>
        <v>44621</v>
      </c>
      <c r="H356" s="48">
        <v>25</v>
      </c>
      <c r="I356" s="48">
        <f>SUMIFS(StockInData[Quantity],StockInData[Product ID],ProductMaster!$B356)-SUMIFS(StockOutData[Quantity],StockOutData[Product ID],ProductMaster!$B356)</f>
        <v>69</v>
      </c>
      <c r="J356" s="50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8">
        <v>356</v>
      </c>
      <c r="B357" s="48" t="s">
        <v>731</v>
      </c>
      <c r="C357" s="49" t="s">
        <v>732</v>
      </c>
      <c r="D357" s="48" t="s">
        <v>869</v>
      </c>
      <c r="E357" s="48" t="s">
        <v>878</v>
      </c>
      <c r="F357" s="50">
        <v>10</v>
      </c>
      <c r="G357" s="52">
        <f>StockInData[Expiry]</f>
        <v>44623</v>
      </c>
      <c r="H357" s="48">
        <v>25</v>
      </c>
      <c r="I357" s="48">
        <f>SUMIFS(StockInData[Quantity],StockInData[Product ID],ProductMaster!$B357)-SUMIFS(StockOutData[Quantity],StockOutData[Product ID],ProductMaster!$B357)</f>
        <v>81</v>
      </c>
      <c r="J357" s="50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8">
        <v>357</v>
      </c>
      <c r="B358" s="48" t="s">
        <v>733</v>
      </c>
      <c r="C358" s="49" t="s">
        <v>734</v>
      </c>
      <c r="D358" s="48" t="s">
        <v>869</v>
      </c>
      <c r="E358" s="48" t="s">
        <v>878</v>
      </c>
      <c r="F358" s="50">
        <v>10</v>
      </c>
      <c r="G358" s="52">
        <f>StockInData[Expiry]</f>
        <v>44625</v>
      </c>
      <c r="H358" s="48">
        <v>25</v>
      </c>
      <c r="I358" s="48">
        <f>SUMIFS(StockInData[Quantity],StockInData[Product ID],ProductMaster!$B358)-SUMIFS(StockOutData[Quantity],StockOutData[Product ID],ProductMaster!$B358)</f>
        <v>89</v>
      </c>
      <c r="J358" s="50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8">
        <v>358</v>
      </c>
      <c r="B359" s="48" t="s">
        <v>735</v>
      </c>
      <c r="C359" s="49" t="s">
        <v>736</v>
      </c>
      <c r="D359" s="48" t="s">
        <v>869</v>
      </c>
      <c r="E359" s="48" t="s">
        <v>878</v>
      </c>
      <c r="F359" s="50">
        <v>10</v>
      </c>
      <c r="G359" s="52">
        <f>StockInData[Expiry]</f>
        <v>44627</v>
      </c>
      <c r="H359" s="48">
        <v>25</v>
      </c>
      <c r="I359" s="48">
        <f>SUMIFS(StockInData[Quantity],StockInData[Product ID],ProductMaster!$B359)-SUMIFS(StockOutData[Quantity],StockOutData[Product ID],ProductMaster!$B359)</f>
        <v>90</v>
      </c>
      <c r="J359" s="50">
        <f>SUMIFS(StockInData[Value],StockInData[Product ID],ProductMaster!$B359)-SUMIFS(StockOutData[Value],StockOutData[Product ID],ProductMaster!$B359)</f>
        <v>225</v>
      </c>
    </row>
    <row r="360" spans="1:10" x14ac:dyDescent="0.25">
      <c r="A360" s="48">
        <v>359</v>
      </c>
      <c r="B360" s="48" t="s">
        <v>737</v>
      </c>
      <c r="C360" s="49" t="s">
        <v>738</v>
      </c>
      <c r="D360" s="48" t="s">
        <v>869</v>
      </c>
      <c r="E360" s="48" t="s">
        <v>878</v>
      </c>
      <c r="F360" s="50">
        <v>10</v>
      </c>
      <c r="G360" s="52">
        <f>StockInData[Expiry]</f>
        <v>44629</v>
      </c>
      <c r="H360" s="48">
        <v>25</v>
      </c>
      <c r="I360" s="48">
        <f>SUMIFS(StockInData[Quantity],StockInData[Product ID],ProductMaster!$B360)-SUMIFS(StockOutData[Quantity],StockOutData[Product ID],ProductMaster!$B360)</f>
        <v>90</v>
      </c>
      <c r="J360" s="50">
        <f>SUMIFS(StockInData[Value],StockInData[Product ID],ProductMaster!$B360)-SUMIFS(StockOutData[Value],StockOutData[Product ID],ProductMaster!$B360)</f>
        <v>225</v>
      </c>
    </row>
    <row r="361" spans="1:10" x14ac:dyDescent="0.25">
      <c r="A361" s="48">
        <v>360</v>
      </c>
      <c r="B361" s="48" t="s">
        <v>739</v>
      </c>
      <c r="C361" s="49" t="s">
        <v>740</v>
      </c>
      <c r="D361" s="48" t="s">
        <v>869</v>
      </c>
      <c r="E361" s="48" t="s">
        <v>878</v>
      </c>
      <c r="F361" s="50">
        <v>10</v>
      </c>
      <c r="G361" s="52">
        <f>StockInData[Expiry]</f>
        <v>44631</v>
      </c>
      <c r="H361" s="48">
        <v>25</v>
      </c>
      <c r="I361" s="48">
        <f>SUMIFS(StockInData[Quantity],StockInData[Product ID],ProductMaster!$B361)-SUMIFS(StockOutData[Quantity],StockOutData[Product ID],ProductMaster!$B361)</f>
        <v>90</v>
      </c>
      <c r="J361" s="50">
        <f>SUMIFS(StockInData[Value],StockInData[Product ID],ProductMaster!$B361)-SUMIFS(StockOutData[Value],StockOutData[Product ID],ProductMaster!$B361)</f>
        <v>225</v>
      </c>
    </row>
    <row r="362" spans="1:10" x14ac:dyDescent="0.25">
      <c r="A362" s="48">
        <v>361</v>
      </c>
      <c r="B362" s="48" t="s">
        <v>741</v>
      </c>
      <c r="C362" s="49" t="s">
        <v>742</v>
      </c>
      <c r="D362" s="48" t="s">
        <v>869</v>
      </c>
      <c r="E362" s="48" t="s">
        <v>878</v>
      </c>
      <c r="F362" s="50">
        <v>10</v>
      </c>
      <c r="G362" s="52">
        <f>StockInData[Expiry]</f>
        <v>44633</v>
      </c>
      <c r="H362" s="48">
        <v>25</v>
      </c>
      <c r="I362" s="48">
        <f>SUMIFS(StockInData[Quantity],StockInData[Product ID],ProductMaster!$B362)-SUMIFS(StockOutData[Quantity],StockOutData[Product ID],ProductMaster!$B362)</f>
        <v>30</v>
      </c>
      <c r="J362" s="50">
        <f>SUMIFS(StockInData[Value],StockInData[Product ID],ProductMaster!$B362)-SUMIFS(StockOutData[Value],StockOutData[Product ID],ProductMaster!$B362)</f>
        <v>75</v>
      </c>
    </row>
    <row r="363" spans="1:10" x14ac:dyDescent="0.25">
      <c r="A363" s="48">
        <v>362</v>
      </c>
      <c r="B363" s="48" t="s">
        <v>743</v>
      </c>
      <c r="C363" s="49" t="s">
        <v>744</v>
      </c>
      <c r="D363" s="48" t="s">
        <v>869</v>
      </c>
      <c r="E363" s="48" t="s">
        <v>878</v>
      </c>
      <c r="F363" s="50">
        <v>10</v>
      </c>
      <c r="G363" s="52">
        <f>StockInData[Expiry]</f>
        <v>44635</v>
      </c>
      <c r="H363" s="48">
        <v>25</v>
      </c>
      <c r="I363" s="48">
        <f>SUMIFS(StockInData[Quantity],StockInData[Product ID],ProductMaster!$B363)-SUMIFS(StockOutData[Quantity],StockOutData[Product ID],ProductMaster!$B363)</f>
        <v>23</v>
      </c>
      <c r="J363" s="50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8">
        <v>363</v>
      </c>
      <c r="B364" s="48" t="s">
        <v>745</v>
      </c>
      <c r="C364" s="49" t="s">
        <v>746</v>
      </c>
      <c r="D364" s="48" t="s">
        <v>869</v>
      </c>
      <c r="E364" s="48" t="s">
        <v>878</v>
      </c>
      <c r="F364" s="50">
        <v>10</v>
      </c>
      <c r="G364" s="52">
        <f>StockInData[Expiry]</f>
        <v>44637</v>
      </c>
      <c r="H364" s="48">
        <v>25</v>
      </c>
      <c r="I364" s="48">
        <f>SUMIFS(StockInData[Quantity],StockInData[Product ID],ProductMaster!$B364)-SUMIFS(StockOutData[Quantity],StockOutData[Product ID],ProductMaster!$B364)</f>
        <v>-14</v>
      </c>
      <c r="J364" s="50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8">
        <v>364</v>
      </c>
      <c r="B365" s="48" t="s">
        <v>747</v>
      </c>
      <c r="C365" s="49" t="s">
        <v>748</v>
      </c>
      <c r="D365" s="48" t="s">
        <v>869</v>
      </c>
      <c r="E365" s="48" t="s">
        <v>878</v>
      </c>
      <c r="F365" s="50">
        <v>10</v>
      </c>
      <c r="G365" s="52">
        <f>StockInData[Expiry]</f>
        <v>44639</v>
      </c>
      <c r="H365" s="48">
        <v>25</v>
      </c>
      <c r="I365" s="48">
        <f>SUMIFS(StockInData[Quantity],StockInData[Product ID],ProductMaster!$B365)-SUMIFS(StockOutData[Quantity],StockOutData[Product ID],ProductMaster!$B365)</f>
        <v>2</v>
      </c>
      <c r="J365" s="50">
        <f>SUMIFS(StockInData[Value],StockInData[Product ID],ProductMaster!$B365)-SUMIFS(StockOutData[Value],StockOutData[Product ID],ProductMaster!$B365)</f>
        <v>5</v>
      </c>
    </row>
    <row r="366" spans="1:10" x14ac:dyDescent="0.25">
      <c r="A366" s="48">
        <v>365</v>
      </c>
      <c r="B366" s="48" t="s">
        <v>749</v>
      </c>
      <c r="C366" s="49" t="s">
        <v>750</v>
      </c>
      <c r="D366" s="48" t="s">
        <v>869</v>
      </c>
      <c r="E366" s="48" t="s">
        <v>878</v>
      </c>
      <c r="F366" s="50">
        <v>10</v>
      </c>
      <c r="G366" s="52">
        <f>StockInData[Expiry]</f>
        <v>44641</v>
      </c>
      <c r="H366" s="48">
        <v>25</v>
      </c>
      <c r="I366" s="48">
        <f>SUMIFS(StockInData[Quantity],StockInData[Product ID],ProductMaster!$B366)-SUMIFS(StockOutData[Quantity],StockOutData[Product ID],ProductMaster!$B366)</f>
        <v>7</v>
      </c>
      <c r="J366" s="50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8">
        <v>366</v>
      </c>
      <c r="B367" s="48" t="s">
        <v>751</v>
      </c>
      <c r="C367" s="49" t="s">
        <v>752</v>
      </c>
      <c r="D367" s="48" t="s">
        <v>869</v>
      </c>
      <c r="E367" s="48" t="s">
        <v>878</v>
      </c>
      <c r="F367" s="50">
        <v>10</v>
      </c>
      <c r="G367" s="52">
        <f>StockInData[Expiry]</f>
        <v>44643</v>
      </c>
      <c r="H367" s="48">
        <v>25</v>
      </c>
      <c r="I367" s="48">
        <f>SUMIFS(StockInData[Quantity],StockInData[Product ID],ProductMaster!$B367)-SUMIFS(StockOutData[Quantity],StockOutData[Product ID],ProductMaster!$B367)</f>
        <v>9</v>
      </c>
      <c r="J367" s="50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8">
        <v>367</v>
      </c>
      <c r="B368" s="48" t="s">
        <v>753</v>
      </c>
      <c r="C368" s="49" t="s">
        <v>754</v>
      </c>
      <c r="D368" s="48" t="s">
        <v>869</v>
      </c>
      <c r="E368" s="48" t="s">
        <v>878</v>
      </c>
      <c r="F368" s="50">
        <v>10</v>
      </c>
      <c r="G368" s="52">
        <f>StockInData[Expiry]</f>
        <v>44645</v>
      </c>
      <c r="H368" s="48">
        <v>25</v>
      </c>
      <c r="I368" s="48">
        <f>SUMIFS(StockInData[Quantity],StockInData[Product ID],ProductMaster!$B368)-SUMIFS(StockOutData[Quantity],StockOutData[Product ID],ProductMaster!$B368)</f>
        <v>52</v>
      </c>
      <c r="J368" s="50">
        <f>SUMIFS(StockInData[Value],StockInData[Product ID],ProductMaster!$B368)-SUMIFS(StockOutData[Value],StockOutData[Product ID],ProductMaster!$B368)</f>
        <v>130</v>
      </c>
    </row>
    <row r="369" spans="1:10" x14ac:dyDescent="0.25">
      <c r="A369" s="48">
        <v>368</v>
      </c>
      <c r="B369" s="48" t="s">
        <v>755</v>
      </c>
      <c r="C369" s="49" t="s">
        <v>756</v>
      </c>
      <c r="D369" s="48" t="s">
        <v>869</v>
      </c>
      <c r="E369" s="48" t="s">
        <v>878</v>
      </c>
      <c r="F369" s="50">
        <v>10</v>
      </c>
      <c r="G369" s="52">
        <f>StockInData[Expiry]</f>
        <v>44647</v>
      </c>
      <c r="H369" s="48">
        <v>25</v>
      </c>
      <c r="I369" s="48">
        <f>SUMIFS(StockInData[Quantity],StockInData[Product ID],ProductMaster!$B369)-SUMIFS(StockOutData[Quantity],StockOutData[Product ID],ProductMaster!$B369)</f>
        <v>69</v>
      </c>
      <c r="J369" s="50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8">
        <v>369</v>
      </c>
      <c r="B370" s="48" t="s">
        <v>757</v>
      </c>
      <c r="C370" s="49" t="s">
        <v>758</v>
      </c>
      <c r="D370" s="48" t="s">
        <v>869</v>
      </c>
      <c r="E370" s="48" t="s">
        <v>878</v>
      </c>
      <c r="F370" s="50">
        <v>10</v>
      </c>
      <c r="G370" s="52">
        <f>StockInData[Expiry]</f>
        <v>44649</v>
      </c>
      <c r="H370" s="48">
        <v>25</v>
      </c>
      <c r="I370" s="48">
        <f>SUMIFS(StockInData[Quantity],StockInData[Product ID],ProductMaster!$B370)-SUMIFS(StockOutData[Quantity],StockOutData[Product ID],ProductMaster!$B370)</f>
        <v>77</v>
      </c>
      <c r="J370" s="50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8">
        <v>370</v>
      </c>
      <c r="B371" s="48" t="s">
        <v>759</v>
      </c>
      <c r="C371" s="49" t="s">
        <v>760</v>
      </c>
      <c r="D371" s="48" t="s">
        <v>869</v>
      </c>
      <c r="E371" s="48" t="s">
        <v>878</v>
      </c>
      <c r="F371" s="50">
        <v>10</v>
      </c>
      <c r="G371" s="52">
        <f>StockInData[Expiry]</f>
        <v>44651</v>
      </c>
      <c r="H371" s="48">
        <v>25</v>
      </c>
      <c r="I371" s="48">
        <f>SUMIFS(StockInData[Quantity],StockInData[Product ID],ProductMaster!$B371)-SUMIFS(StockOutData[Quantity],StockOutData[Product ID],ProductMaster!$B371)</f>
        <v>84</v>
      </c>
      <c r="J371" s="50">
        <f>SUMIFS(StockInData[Value],StockInData[Product ID],ProductMaster!$B371)-SUMIFS(StockOutData[Value],StockOutData[Product ID],ProductMaster!$B371)</f>
        <v>210</v>
      </c>
    </row>
    <row r="372" spans="1:10" x14ac:dyDescent="0.25">
      <c r="A372" s="48">
        <v>371</v>
      </c>
      <c r="B372" s="48" t="s">
        <v>761</v>
      </c>
      <c r="C372" s="49" t="s">
        <v>762</v>
      </c>
      <c r="D372" s="48" t="s">
        <v>869</v>
      </c>
      <c r="E372" s="48" t="s">
        <v>878</v>
      </c>
      <c r="F372" s="50">
        <v>10</v>
      </c>
      <c r="G372" s="52">
        <f>StockInData[Expiry]</f>
        <v>44653</v>
      </c>
      <c r="H372" s="48">
        <v>25</v>
      </c>
      <c r="I372" s="48">
        <f>SUMIFS(StockInData[Quantity],StockInData[Product ID],ProductMaster!$B372)-SUMIFS(StockOutData[Quantity],StockOutData[Product ID],ProductMaster!$B372)</f>
        <v>83</v>
      </c>
      <c r="J372" s="50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8">
        <v>372</v>
      </c>
      <c r="B373" s="48" t="s">
        <v>763</v>
      </c>
      <c r="C373" s="49" t="s">
        <v>764</v>
      </c>
      <c r="D373" s="48" t="s">
        <v>869</v>
      </c>
      <c r="E373" s="48" t="s">
        <v>878</v>
      </c>
      <c r="F373" s="50">
        <v>10</v>
      </c>
      <c r="G373" s="52">
        <f>StockInData[Expiry]</f>
        <v>44655</v>
      </c>
      <c r="H373" s="48">
        <v>25</v>
      </c>
      <c r="I373" s="48">
        <f>SUMIFS(StockInData[Quantity],StockInData[Product ID],ProductMaster!$B373)-SUMIFS(StockOutData[Quantity],StockOutData[Product ID],ProductMaster!$B373)</f>
        <v>48</v>
      </c>
      <c r="J373" s="50">
        <f>SUMIFS(StockInData[Value],StockInData[Product ID],ProductMaster!$B373)-SUMIFS(StockOutData[Value],StockOutData[Product ID],ProductMaster!$B373)</f>
        <v>120</v>
      </c>
    </row>
    <row r="374" spans="1:10" x14ac:dyDescent="0.25">
      <c r="A374" s="48">
        <v>373</v>
      </c>
      <c r="B374" s="48" t="s">
        <v>765</v>
      </c>
      <c r="C374" s="49" t="s">
        <v>766</v>
      </c>
      <c r="D374" s="48" t="s">
        <v>869</v>
      </c>
      <c r="E374" s="48" t="s">
        <v>878</v>
      </c>
      <c r="F374" s="50">
        <v>10</v>
      </c>
      <c r="G374" s="52">
        <f>StockInData[Expiry]</f>
        <v>44657</v>
      </c>
      <c r="H374" s="48">
        <v>25</v>
      </c>
      <c r="I374" s="48">
        <f>SUMIFS(StockInData[Quantity],StockInData[Product ID],ProductMaster!$B374)-SUMIFS(StockOutData[Quantity],StockOutData[Product ID],ProductMaster!$B374)</f>
        <v>26</v>
      </c>
      <c r="J374" s="50">
        <f>SUMIFS(StockInData[Value],StockInData[Product ID],ProductMaster!$B374)-SUMIFS(StockOutData[Value],StockOutData[Product ID],ProductMaster!$B374)</f>
        <v>65</v>
      </c>
    </row>
    <row r="375" spans="1:10" x14ac:dyDescent="0.25">
      <c r="A375" s="48">
        <v>374</v>
      </c>
      <c r="B375" s="48" t="s">
        <v>767</v>
      </c>
      <c r="C375" s="49" t="s">
        <v>768</v>
      </c>
      <c r="D375" s="48" t="s">
        <v>869</v>
      </c>
      <c r="E375" s="48" t="s">
        <v>878</v>
      </c>
      <c r="F375" s="50">
        <v>10</v>
      </c>
      <c r="G375" s="52">
        <f>StockInData[Expiry]</f>
        <v>44659</v>
      </c>
      <c r="H375" s="48">
        <v>25</v>
      </c>
      <c r="I375" s="48">
        <f>SUMIFS(StockInData[Quantity],StockInData[Product ID],ProductMaster!$B375)-SUMIFS(StockOutData[Quantity],StockOutData[Product ID],ProductMaster!$B375)</f>
        <v>17</v>
      </c>
      <c r="J375" s="50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8">
        <v>375</v>
      </c>
      <c r="B376" s="48" t="s">
        <v>769</v>
      </c>
      <c r="C376" s="49" t="s">
        <v>770</v>
      </c>
      <c r="D376" s="48" t="s">
        <v>869</v>
      </c>
      <c r="E376" s="48" t="s">
        <v>878</v>
      </c>
      <c r="F376" s="50">
        <v>10</v>
      </c>
      <c r="G376" s="52">
        <f>StockInData[Expiry]</f>
        <v>44661</v>
      </c>
      <c r="H376" s="48">
        <v>25</v>
      </c>
      <c r="I376" s="48">
        <f>SUMIFS(StockInData[Quantity],StockInData[Product ID],ProductMaster!$B376)-SUMIFS(StockOutData[Quantity],StockOutData[Product ID],ProductMaster!$B376)</f>
        <v>20</v>
      </c>
      <c r="J376" s="50">
        <f>SUMIFS(StockInData[Value],StockInData[Product ID],ProductMaster!$B376)-SUMIFS(StockOutData[Value],StockOutData[Product ID],ProductMaster!$B376)</f>
        <v>50</v>
      </c>
    </row>
    <row r="377" spans="1:10" x14ac:dyDescent="0.25">
      <c r="A377" s="48">
        <v>376</v>
      </c>
      <c r="B377" s="48" t="s">
        <v>771</v>
      </c>
      <c r="C377" s="49" t="s">
        <v>772</v>
      </c>
      <c r="D377" s="48" t="s">
        <v>869</v>
      </c>
      <c r="E377" s="48" t="s">
        <v>878</v>
      </c>
      <c r="F377" s="50">
        <v>10</v>
      </c>
      <c r="G377" s="52">
        <f>StockInData[Expiry]</f>
        <v>44663</v>
      </c>
      <c r="H377" s="48">
        <v>25</v>
      </c>
      <c r="I377" s="48">
        <f>SUMIFS(StockInData[Quantity],StockInData[Product ID],ProductMaster!$B377)-SUMIFS(StockOutData[Quantity],StockOutData[Product ID],ProductMaster!$B377)</f>
        <v>13</v>
      </c>
      <c r="J377" s="50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8">
        <v>377</v>
      </c>
      <c r="B378" s="48" t="s">
        <v>773</v>
      </c>
      <c r="C378" s="49" t="s">
        <v>774</v>
      </c>
      <c r="D378" s="48" t="s">
        <v>869</v>
      </c>
      <c r="E378" s="48" t="s">
        <v>878</v>
      </c>
      <c r="F378" s="50">
        <v>10</v>
      </c>
      <c r="G378" s="52">
        <f>StockInData[Expiry]</f>
        <v>44665</v>
      </c>
      <c r="H378" s="48">
        <v>25</v>
      </c>
      <c r="I378" s="48">
        <f>SUMIFS(StockInData[Quantity],StockInData[Product ID],ProductMaster!$B378)-SUMIFS(StockOutData[Quantity],StockOutData[Product ID],ProductMaster!$B378)</f>
        <v>4</v>
      </c>
      <c r="J378" s="50">
        <f>SUMIFS(StockInData[Value],StockInData[Product ID],ProductMaster!$B378)-SUMIFS(StockOutData[Value],StockOutData[Product ID],ProductMaster!$B378)</f>
        <v>10</v>
      </c>
    </row>
    <row r="379" spans="1:10" x14ac:dyDescent="0.25">
      <c r="A379" s="48">
        <v>378</v>
      </c>
      <c r="B379" s="48" t="s">
        <v>775</v>
      </c>
      <c r="C379" s="49" t="s">
        <v>776</v>
      </c>
      <c r="D379" s="48" t="s">
        <v>869</v>
      </c>
      <c r="E379" s="48" t="s">
        <v>878</v>
      </c>
      <c r="F379" s="50">
        <v>10</v>
      </c>
      <c r="G379" s="52">
        <f>StockInData[Expiry]</f>
        <v>44667</v>
      </c>
      <c r="H379" s="48">
        <v>25</v>
      </c>
      <c r="I379" s="48">
        <f>SUMIFS(StockInData[Quantity],StockInData[Product ID],ProductMaster!$B379)-SUMIFS(StockOutData[Quantity],StockOutData[Product ID],ProductMaster!$B379)</f>
        <v>5</v>
      </c>
      <c r="J379" s="50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8">
        <v>379</v>
      </c>
      <c r="B380" s="48" t="s">
        <v>777</v>
      </c>
      <c r="C380" s="49" t="s">
        <v>778</v>
      </c>
      <c r="D380" s="48" t="s">
        <v>869</v>
      </c>
      <c r="E380" s="48" t="s">
        <v>878</v>
      </c>
      <c r="F380" s="50">
        <v>10</v>
      </c>
      <c r="G380" s="52">
        <f>StockInData[Expiry]</f>
        <v>44669</v>
      </c>
      <c r="H380" s="48">
        <v>25</v>
      </c>
      <c r="I380" s="48">
        <f>SUMIFS(StockInData[Quantity],StockInData[Product ID],ProductMaster!$B380)-SUMIFS(StockOutData[Quantity],StockOutData[Product ID],ProductMaster!$B380)</f>
        <v>53</v>
      </c>
      <c r="J380" s="50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8">
        <v>380</v>
      </c>
      <c r="B381" s="48" t="s">
        <v>779</v>
      </c>
      <c r="C381" s="49" t="s">
        <v>780</v>
      </c>
      <c r="D381" s="48" t="s">
        <v>869</v>
      </c>
      <c r="E381" s="48" t="s">
        <v>878</v>
      </c>
      <c r="F381" s="50">
        <v>10</v>
      </c>
      <c r="G381" s="52">
        <f>StockInData[Expiry]</f>
        <v>44671</v>
      </c>
      <c r="H381" s="48">
        <v>25</v>
      </c>
      <c r="I381" s="48">
        <f>SUMIFS(StockInData[Quantity],StockInData[Product ID],ProductMaster!$B381)-SUMIFS(StockOutData[Quantity],StockOutData[Product ID],ProductMaster!$B381)</f>
        <v>64</v>
      </c>
      <c r="J381" s="50">
        <f>SUMIFS(StockInData[Value],StockInData[Product ID],ProductMaster!$B381)-SUMIFS(StockOutData[Value],StockOutData[Product ID],ProductMaster!$B381)</f>
        <v>160</v>
      </c>
    </row>
    <row r="382" spans="1:10" x14ac:dyDescent="0.25">
      <c r="A382" s="48">
        <v>381</v>
      </c>
      <c r="B382" s="48" t="s">
        <v>781</v>
      </c>
      <c r="C382" s="49" t="s">
        <v>782</v>
      </c>
      <c r="D382" s="48" t="s">
        <v>869</v>
      </c>
      <c r="E382" s="48" t="s">
        <v>878</v>
      </c>
      <c r="F382" s="50">
        <v>10</v>
      </c>
      <c r="G382" s="52">
        <f>StockInData[Expiry]</f>
        <v>44673</v>
      </c>
      <c r="H382" s="48">
        <v>25</v>
      </c>
      <c r="I382" s="48">
        <f>SUMIFS(StockInData[Quantity],StockInData[Product ID],ProductMaster!$B382)-SUMIFS(StockOutData[Quantity],StockOutData[Product ID],ProductMaster!$B382)</f>
        <v>74</v>
      </c>
      <c r="J382" s="50">
        <f>SUMIFS(StockInData[Value],StockInData[Product ID],ProductMaster!$B382)-SUMIFS(StockOutData[Value],StockOutData[Product ID],ProductMaster!$B382)</f>
        <v>185</v>
      </c>
    </row>
    <row r="383" spans="1:10" x14ac:dyDescent="0.25">
      <c r="A383" s="48">
        <v>382</v>
      </c>
      <c r="B383" s="48" t="s">
        <v>783</v>
      </c>
      <c r="C383" s="49" t="s">
        <v>784</v>
      </c>
      <c r="D383" s="48" t="s">
        <v>869</v>
      </c>
      <c r="E383" s="48" t="s">
        <v>878</v>
      </c>
      <c r="F383" s="50">
        <v>10</v>
      </c>
      <c r="G383" s="52">
        <f>StockInData[Expiry]</f>
        <v>44675</v>
      </c>
      <c r="H383" s="48">
        <v>25</v>
      </c>
      <c r="I383" s="48">
        <f>SUMIFS(StockInData[Quantity],StockInData[Product ID],ProductMaster!$B383)-SUMIFS(StockOutData[Quantity],StockOutData[Product ID],ProductMaster!$B383)</f>
        <v>89</v>
      </c>
      <c r="J383" s="50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8">
        <v>383</v>
      </c>
      <c r="B384" s="48" t="s">
        <v>785</v>
      </c>
      <c r="C384" s="49" t="s">
        <v>786</v>
      </c>
      <c r="D384" s="48" t="s">
        <v>869</v>
      </c>
      <c r="E384" s="48" t="s">
        <v>878</v>
      </c>
      <c r="F384" s="50">
        <v>10</v>
      </c>
      <c r="G384" s="52">
        <f>StockInData[Expiry]</f>
        <v>44677</v>
      </c>
      <c r="H384" s="48">
        <v>25</v>
      </c>
      <c r="I384" s="48">
        <f>SUMIFS(StockInData[Quantity],StockInData[Product ID],ProductMaster!$B384)-SUMIFS(StockOutData[Quantity],StockOutData[Product ID],ProductMaster!$B384)</f>
        <v>94</v>
      </c>
      <c r="J384" s="50">
        <f>SUMIFS(StockInData[Value],StockInData[Product ID],ProductMaster!$B384)-SUMIFS(StockOutData[Value],StockOutData[Product ID],ProductMaster!$B384)</f>
        <v>235</v>
      </c>
    </row>
    <row r="385" spans="1:10" x14ac:dyDescent="0.25">
      <c r="A385" s="48">
        <v>384</v>
      </c>
      <c r="B385" s="48" t="s">
        <v>787</v>
      </c>
      <c r="C385" s="49" t="s">
        <v>788</v>
      </c>
      <c r="D385" s="48" t="s">
        <v>869</v>
      </c>
      <c r="E385" s="48" t="s">
        <v>878</v>
      </c>
      <c r="F385" s="50">
        <v>10</v>
      </c>
      <c r="G385" s="52">
        <f>StockInData[Expiry]</f>
        <v>44679</v>
      </c>
      <c r="H385" s="48">
        <v>25</v>
      </c>
      <c r="I385" s="48">
        <f>SUMIFS(StockInData[Quantity],StockInData[Product ID],ProductMaster!$B385)-SUMIFS(StockOutData[Quantity],StockOutData[Product ID],ProductMaster!$B385)</f>
        <v>45</v>
      </c>
      <c r="J385" s="50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8">
        <v>385</v>
      </c>
      <c r="B386" s="48" t="s">
        <v>789</v>
      </c>
      <c r="C386" s="49" t="s">
        <v>790</v>
      </c>
      <c r="D386" s="48" t="s">
        <v>869</v>
      </c>
      <c r="E386" s="48" t="s">
        <v>878</v>
      </c>
      <c r="F386" s="50">
        <v>10</v>
      </c>
      <c r="G386" s="52">
        <f>StockInData[Expiry]</f>
        <v>44681</v>
      </c>
      <c r="H386" s="48">
        <v>25</v>
      </c>
      <c r="I386" s="48">
        <f>SUMIFS(StockInData[Quantity],StockInData[Product ID],ProductMaster!$B386)-SUMIFS(StockOutData[Quantity],StockOutData[Product ID],ProductMaster!$B386)</f>
        <v>22</v>
      </c>
      <c r="J386" s="50">
        <f>SUMIFS(StockInData[Value],StockInData[Product ID],ProductMaster!$B386)-SUMIFS(StockOutData[Value],StockOutData[Product ID],ProductMaster!$B386)</f>
        <v>55</v>
      </c>
    </row>
    <row r="387" spans="1:10" x14ac:dyDescent="0.25">
      <c r="A387" s="48">
        <v>386</v>
      </c>
      <c r="B387" s="48" t="s">
        <v>791</v>
      </c>
      <c r="C387" s="49" t="s">
        <v>792</v>
      </c>
      <c r="D387" s="48" t="s">
        <v>869</v>
      </c>
      <c r="E387" s="48" t="s">
        <v>878</v>
      </c>
      <c r="F387" s="50">
        <v>10</v>
      </c>
      <c r="G387" s="52">
        <f>StockInData[Expiry]</f>
        <v>44683</v>
      </c>
      <c r="H387" s="48">
        <v>25</v>
      </c>
      <c r="I387" s="48">
        <f>SUMIFS(StockInData[Quantity],StockInData[Product ID],ProductMaster!$B387)-SUMIFS(StockOutData[Quantity],StockOutData[Product ID],ProductMaster!$B387)</f>
        <v>18</v>
      </c>
      <c r="J387" s="50">
        <f>SUMIFS(StockInData[Value],StockInData[Product ID],ProductMaster!$B387)-SUMIFS(StockOutData[Value],StockOutData[Product ID],ProductMaster!$B387)</f>
        <v>45</v>
      </c>
    </row>
    <row r="388" spans="1:10" x14ac:dyDescent="0.25">
      <c r="A388" s="48">
        <v>387</v>
      </c>
      <c r="B388" s="48" t="s">
        <v>793</v>
      </c>
      <c r="C388" s="49" t="s">
        <v>794</v>
      </c>
      <c r="D388" s="48" t="s">
        <v>869</v>
      </c>
      <c r="E388" s="48" t="s">
        <v>878</v>
      </c>
      <c r="F388" s="50">
        <v>10</v>
      </c>
      <c r="G388" s="52">
        <f>StockInData[Expiry]</f>
        <v>44685</v>
      </c>
      <c r="H388" s="48">
        <v>25</v>
      </c>
      <c r="I388" s="48">
        <f>SUMIFS(StockInData[Quantity],StockInData[Product ID],ProductMaster!$B388)-SUMIFS(StockOutData[Quantity],StockOutData[Product ID],ProductMaster!$B388)</f>
        <v>11</v>
      </c>
      <c r="J388" s="50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8">
        <v>388</v>
      </c>
      <c r="B389" s="48" t="s">
        <v>795</v>
      </c>
      <c r="C389" s="49" t="s">
        <v>796</v>
      </c>
      <c r="D389" s="48" t="s">
        <v>869</v>
      </c>
      <c r="E389" s="48" t="s">
        <v>878</v>
      </c>
      <c r="F389" s="50">
        <v>10</v>
      </c>
      <c r="G389" s="52">
        <f>StockInData[Expiry]</f>
        <v>44687</v>
      </c>
      <c r="H389" s="48">
        <v>25</v>
      </c>
      <c r="I389" s="48">
        <f>SUMIFS(StockInData[Quantity],StockInData[Product ID],ProductMaster!$B389)-SUMIFS(StockOutData[Quantity],StockOutData[Product ID],ProductMaster!$B389)</f>
        <v>7</v>
      </c>
      <c r="J389" s="50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8">
        <v>389</v>
      </c>
      <c r="B390" s="48" t="s">
        <v>797</v>
      </c>
      <c r="C390" s="49" t="s">
        <v>798</v>
      </c>
      <c r="D390" s="48" t="s">
        <v>869</v>
      </c>
      <c r="E390" s="48" t="s">
        <v>878</v>
      </c>
      <c r="F390" s="50">
        <v>10</v>
      </c>
      <c r="G390" s="52">
        <f>StockInData[Expiry]</f>
        <v>44689</v>
      </c>
      <c r="H390" s="48">
        <v>25</v>
      </c>
      <c r="I390" s="48">
        <f>SUMIFS(StockInData[Quantity],StockInData[Product ID],ProductMaster!$B390)-SUMIFS(StockOutData[Quantity],StockOutData[Product ID],ProductMaster!$B390)</f>
        <v>14</v>
      </c>
      <c r="J390" s="50">
        <f>SUMIFS(StockInData[Value],StockInData[Product ID],ProductMaster!$B390)-SUMIFS(StockOutData[Value],StockOutData[Product ID],ProductMaster!$B390)</f>
        <v>35</v>
      </c>
    </row>
    <row r="391" spans="1:10" x14ac:dyDescent="0.25">
      <c r="A391" s="48">
        <v>390</v>
      </c>
      <c r="B391" s="48" t="s">
        <v>799</v>
      </c>
      <c r="C391" s="49" t="s">
        <v>800</v>
      </c>
      <c r="D391" s="48" t="s">
        <v>869</v>
      </c>
      <c r="E391" s="48" t="s">
        <v>871</v>
      </c>
      <c r="F391" s="50">
        <v>10</v>
      </c>
      <c r="G391" s="52">
        <f>StockInData[Expiry]</f>
        <v>44691</v>
      </c>
      <c r="H391" s="48">
        <v>25</v>
      </c>
      <c r="I391" s="48">
        <f>SUMIFS(StockInData[Quantity],StockInData[Product ID],ProductMaster!$B391)-SUMIFS(StockOutData[Quantity],StockOutData[Product ID],ProductMaster!$B391)</f>
        <v>16</v>
      </c>
      <c r="J391" s="50">
        <f>SUMIFS(StockInData[Value],StockInData[Product ID],ProductMaster!$B391)-SUMIFS(StockOutData[Value],StockOutData[Product ID],ProductMaster!$B391)</f>
        <v>40</v>
      </c>
    </row>
    <row r="392" spans="1:10" x14ac:dyDescent="0.25">
      <c r="A392" s="48">
        <v>391</v>
      </c>
      <c r="B392" s="48" t="s">
        <v>801</v>
      </c>
      <c r="C392" s="49" t="s">
        <v>802</v>
      </c>
      <c r="D392" s="48" t="s">
        <v>869</v>
      </c>
      <c r="E392" s="48" t="s">
        <v>871</v>
      </c>
      <c r="F392" s="50">
        <v>10</v>
      </c>
      <c r="G392" s="52">
        <f>StockInData[Expiry]</f>
        <v>44693</v>
      </c>
      <c r="H392" s="48">
        <v>25</v>
      </c>
      <c r="I392" s="48">
        <f>SUMIFS(StockInData[Quantity],StockInData[Product ID],ProductMaster!$B392)-SUMIFS(StockOutData[Quantity],StockOutData[Product ID],ProductMaster!$B392)</f>
        <v>50</v>
      </c>
      <c r="J392" s="50">
        <f>SUMIFS(StockInData[Value],StockInData[Product ID],ProductMaster!$B392)-SUMIFS(StockOutData[Value],StockOutData[Product ID],ProductMaster!$B392)</f>
        <v>125</v>
      </c>
    </row>
    <row r="393" spans="1:10" x14ac:dyDescent="0.25">
      <c r="A393" s="48">
        <v>392</v>
      </c>
      <c r="B393" s="48" t="s">
        <v>803</v>
      </c>
      <c r="C393" s="49" t="s">
        <v>804</v>
      </c>
      <c r="D393" s="48" t="s">
        <v>869</v>
      </c>
      <c r="E393" s="48" t="s">
        <v>871</v>
      </c>
      <c r="F393" s="50">
        <v>10</v>
      </c>
      <c r="G393" s="52">
        <f>StockInData[Expiry]</f>
        <v>44695</v>
      </c>
      <c r="H393" s="48">
        <v>25</v>
      </c>
      <c r="I393" s="48">
        <f>SUMIFS(StockInData[Quantity],StockInData[Product ID],ProductMaster!$B393)-SUMIFS(StockOutData[Quantity],StockOutData[Product ID],ProductMaster!$B393)</f>
        <v>56</v>
      </c>
      <c r="J393" s="50">
        <f>SUMIFS(StockInData[Value],StockInData[Product ID],ProductMaster!$B393)-SUMIFS(StockOutData[Value],StockOutData[Product ID],ProductMaster!$B393)</f>
        <v>140</v>
      </c>
    </row>
    <row r="394" spans="1:10" x14ac:dyDescent="0.25">
      <c r="A394" s="48">
        <v>393</v>
      </c>
      <c r="B394" s="48" t="s">
        <v>805</v>
      </c>
      <c r="C394" s="49" t="s">
        <v>806</v>
      </c>
      <c r="D394" s="48" t="s">
        <v>869</v>
      </c>
      <c r="E394" s="48" t="s">
        <v>871</v>
      </c>
      <c r="F394" s="50">
        <v>10</v>
      </c>
      <c r="G394" s="52">
        <f>StockInData[Expiry]</f>
        <v>44697</v>
      </c>
      <c r="H394" s="48">
        <v>25</v>
      </c>
      <c r="I394" s="48">
        <f>SUMIFS(StockInData[Quantity],StockInData[Product ID],ProductMaster!$B394)-SUMIFS(StockOutData[Quantity],StockOutData[Product ID],ProductMaster!$B394)</f>
        <v>72</v>
      </c>
      <c r="J394" s="50">
        <f>SUMIFS(StockInData[Value],StockInData[Product ID],ProductMaster!$B394)-SUMIFS(StockOutData[Value],StockOutData[Product ID],ProductMaster!$B394)</f>
        <v>180</v>
      </c>
    </row>
    <row r="395" spans="1:10" x14ac:dyDescent="0.25">
      <c r="A395" s="48">
        <v>394</v>
      </c>
      <c r="B395" s="48" t="s">
        <v>807</v>
      </c>
      <c r="C395" s="49" t="s">
        <v>808</v>
      </c>
      <c r="D395" s="48" t="s">
        <v>869</v>
      </c>
      <c r="E395" s="48" t="s">
        <v>871</v>
      </c>
      <c r="F395" s="50">
        <v>10</v>
      </c>
      <c r="G395" s="52">
        <f>StockInData[Expiry]</f>
        <v>44699</v>
      </c>
      <c r="H395" s="48">
        <v>25</v>
      </c>
      <c r="I395" s="48">
        <f>SUMIFS(StockInData[Quantity],StockInData[Product ID],ProductMaster!$B395)-SUMIFS(StockOutData[Quantity],StockOutData[Product ID],ProductMaster!$B395)</f>
        <v>85</v>
      </c>
      <c r="J395" s="50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8">
        <v>395</v>
      </c>
      <c r="B396" s="48" t="s">
        <v>809</v>
      </c>
      <c r="C396" s="49" t="s">
        <v>810</v>
      </c>
      <c r="D396" s="48" t="s">
        <v>869</v>
      </c>
      <c r="E396" s="48" t="s">
        <v>871</v>
      </c>
      <c r="F396" s="50">
        <v>10</v>
      </c>
      <c r="G396" s="52">
        <f>StockInData[Expiry]</f>
        <v>44701</v>
      </c>
      <c r="H396" s="48">
        <v>25</v>
      </c>
      <c r="I396" s="48">
        <f>SUMIFS(StockInData[Quantity],StockInData[Product ID],ProductMaster!$B396)-SUMIFS(StockOutData[Quantity],StockOutData[Product ID],ProductMaster!$B396)</f>
        <v>88</v>
      </c>
      <c r="J396" s="50">
        <f>SUMIFS(StockInData[Value],StockInData[Product ID],ProductMaster!$B396)-SUMIFS(StockOutData[Value],StockOutData[Product ID],ProductMaster!$B396)</f>
        <v>220</v>
      </c>
    </row>
    <row r="397" spans="1:10" x14ac:dyDescent="0.25">
      <c r="A397" s="48">
        <v>396</v>
      </c>
      <c r="B397" s="48" t="s">
        <v>811</v>
      </c>
      <c r="C397" s="49" t="s">
        <v>812</v>
      </c>
      <c r="D397" s="48" t="s">
        <v>869</v>
      </c>
      <c r="E397" s="48" t="s">
        <v>871</v>
      </c>
      <c r="F397" s="50">
        <v>10</v>
      </c>
      <c r="G397" s="52">
        <f>StockInData[Expiry]</f>
        <v>44703</v>
      </c>
      <c r="H397" s="48">
        <v>25</v>
      </c>
      <c r="I397" s="48">
        <f>SUMIFS(StockInData[Quantity],StockInData[Product ID],ProductMaster!$B397)-SUMIFS(StockOutData[Quantity],StockOutData[Product ID],ProductMaster!$B397)</f>
        <v>95</v>
      </c>
      <c r="J397" s="50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8">
        <v>397</v>
      </c>
      <c r="B398" s="48" t="s">
        <v>813</v>
      </c>
      <c r="C398" s="49" t="s">
        <v>814</v>
      </c>
      <c r="D398" s="48" t="s">
        <v>869</v>
      </c>
      <c r="E398" s="48" t="s">
        <v>871</v>
      </c>
      <c r="F398" s="50">
        <v>10</v>
      </c>
      <c r="G398" s="52">
        <f>StockInData[Expiry]</f>
        <v>44705</v>
      </c>
      <c r="H398" s="48">
        <v>25</v>
      </c>
      <c r="I398" s="48">
        <f>SUMIFS(StockInData[Quantity],StockInData[Product ID],ProductMaster!$B398)-SUMIFS(StockOutData[Quantity],StockOutData[Product ID],ProductMaster!$B398)</f>
        <v>53</v>
      </c>
      <c r="J398" s="50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8">
        <v>398</v>
      </c>
      <c r="B399" s="48" t="s">
        <v>815</v>
      </c>
      <c r="C399" s="49" t="s">
        <v>816</v>
      </c>
      <c r="D399" s="48" t="s">
        <v>869</v>
      </c>
      <c r="E399" s="48" t="s">
        <v>871</v>
      </c>
      <c r="F399" s="50">
        <v>10</v>
      </c>
      <c r="G399" s="52">
        <f>StockInData[Expiry]</f>
        <v>44707</v>
      </c>
      <c r="H399" s="48">
        <v>25</v>
      </c>
      <c r="I399" s="48">
        <f>SUMIFS(StockInData[Quantity],StockInData[Product ID],ProductMaster!$B399)-SUMIFS(StockOutData[Quantity],StockOutData[Product ID],ProductMaster!$B399)</f>
        <v>25</v>
      </c>
      <c r="J399" s="50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8">
        <v>399</v>
      </c>
      <c r="B400" s="48" t="s">
        <v>817</v>
      </c>
      <c r="C400" s="49" t="s">
        <v>818</v>
      </c>
      <c r="D400" s="48" t="s">
        <v>869</v>
      </c>
      <c r="E400" s="48" t="s">
        <v>871</v>
      </c>
      <c r="F400" s="50">
        <v>10</v>
      </c>
      <c r="G400" s="52">
        <f>StockInData[Expiry]</f>
        <v>44709</v>
      </c>
      <c r="H400" s="48">
        <v>25</v>
      </c>
      <c r="I400" s="48">
        <f>SUMIFS(StockInData[Quantity],StockInData[Product ID],ProductMaster!$B400)-SUMIFS(StockOutData[Quantity],StockOutData[Product ID],ProductMaster!$B400)</f>
        <v>12</v>
      </c>
      <c r="J400" s="50">
        <f>SUMIFS(StockInData[Value],StockInData[Product ID],ProductMaster!$B400)-SUMIFS(StockOutData[Value],StockOutData[Product ID],ProductMaster!$B400)</f>
        <v>30</v>
      </c>
    </row>
    <row r="401" spans="1:10" x14ac:dyDescent="0.25">
      <c r="A401" s="48">
        <v>400</v>
      </c>
      <c r="B401" s="48" t="s">
        <v>819</v>
      </c>
      <c r="C401" s="49" t="s">
        <v>820</v>
      </c>
      <c r="D401" s="48" t="s">
        <v>869</v>
      </c>
      <c r="E401" s="48" t="s">
        <v>871</v>
      </c>
      <c r="F401" s="50">
        <v>10</v>
      </c>
      <c r="G401" s="52">
        <f>StockInData[Expiry]</f>
        <v>44711</v>
      </c>
      <c r="H401" s="48">
        <v>25</v>
      </c>
      <c r="I401" s="48">
        <f>SUMIFS(StockInData[Quantity],StockInData[Product ID],ProductMaster!$B401)-SUMIFS(StockOutData[Quantity],StockOutData[Product ID],ProductMaster!$B401)</f>
        <v>13</v>
      </c>
      <c r="J401" s="50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8">
        <v>401</v>
      </c>
      <c r="B402" s="48" t="s">
        <v>821</v>
      </c>
      <c r="C402" s="49" t="s">
        <v>822</v>
      </c>
      <c r="D402" s="48" t="s">
        <v>869</v>
      </c>
      <c r="E402" s="48" t="s">
        <v>871</v>
      </c>
      <c r="F402" s="50">
        <v>10</v>
      </c>
      <c r="G402" s="52">
        <f>StockInData[Expiry]</f>
        <v>44713</v>
      </c>
      <c r="H402" s="48">
        <v>25</v>
      </c>
      <c r="I402" s="48">
        <f>SUMIFS(StockInData[Quantity],StockInData[Product ID],ProductMaster!$B402)-SUMIFS(StockOutData[Quantity],StockOutData[Product ID],ProductMaster!$B402)</f>
        <v>10</v>
      </c>
      <c r="J402" s="50">
        <f>SUMIFS(StockInData[Value],StockInData[Product ID],ProductMaster!$B402)-SUMIFS(StockOutData[Value],StockOutData[Product ID],ProductMaster!$B402)</f>
        <v>25</v>
      </c>
    </row>
    <row r="403" spans="1:10" x14ac:dyDescent="0.25">
      <c r="A403" s="48">
        <v>402</v>
      </c>
      <c r="B403" s="48" t="s">
        <v>823</v>
      </c>
      <c r="C403" s="49" t="s">
        <v>824</v>
      </c>
      <c r="D403" s="48" t="s">
        <v>869</v>
      </c>
      <c r="E403" s="48" t="s">
        <v>871</v>
      </c>
      <c r="F403" s="50">
        <v>10</v>
      </c>
      <c r="G403" s="52">
        <f>StockInData[Expiry]</f>
        <v>44715</v>
      </c>
      <c r="H403" s="48">
        <v>25</v>
      </c>
      <c r="I403" s="48">
        <f>SUMIFS(StockInData[Quantity],StockInData[Product ID],ProductMaster!$B403)-SUMIFS(StockOutData[Quantity],StockOutData[Product ID],ProductMaster!$B403)</f>
        <v>12</v>
      </c>
      <c r="J403" s="50">
        <f>SUMIFS(StockInData[Value],StockInData[Product ID],ProductMaster!$B403)-SUMIFS(StockOutData[Value],StockOutData[Product ID],ProductMaster!$B403)</f>
        <v>30</v>
      </c>
    </row>
    <row r="404" spans="1:10" x14ac:dyDescent="0.25">
      <c r="A404" s="48">
        <v>403</v>
      </c>
      <c r="B404" s="48" t="s">
        <v>825</v>
      </c>
      <c r="C404" s="49" t="s">
        <v>826</v>
      </c>
      <c r="D404" s="48" t="s">
        <v>869</v>
      </c>
      <c r="E404" s="48" t="s">
        <v>871</v>
      </c>
      <c r="F404" s="50">
        <v>10</v>
      </c>
      <c r="G404" s="52">
        <f>StockInData[Expiry]</f>
        <v>44717</v>
      </c>
      <c r="H404" s="48">
        <v>25</v>
      </c>
      <c r="I404" s="48">
        <f>SUMIFS(StockInData[Quantity],StockInData[Product ID],ProductMaster!$B404)-SUMIFS(StockOutData[Quantity],StockOutData[Product ID],ProductMaster!$B404)</f>
        <v>8</v>
      </c>
      <c r="J404" s="50">
        <f>SUMIFS(StockInData[Value],StockInData[Product ID],ProductMaster!$B404)-SUMIFS(StockOutData[Value],StockOutData[Product ID],ProductMaster!$B404)</f>
        <v>20</v>
      </c>
    </row>
    <row r="405" spans="1:10" x14ac:dyDescent="0.25">
      <c r="A405" s="48">
        <v>404</v>
      </c>
      <c r="B405" s="48" t="s">
        <v>827</v>
      </c>
      <c r="C405" s="49" t="s">
        <v>828</v>
      </c>
      <c r="D405" s="48" t="s">
        <v>869</v>
      </c>
      <c r="E405" s="48" t="s">
        <v>871</v>
      </c>
      <c r="F405" s="50">
        <v>10</v>
      </c>
      <c r="G405" s="52">
        <f>StockInData[Expiry]</f>
        <v>44719</v>
      </c>
      <c r="H405" s="48">
        <v>25</v>
      </c>
      <c r="I405" s="48">
        <f>SUMIFS(StockInData[Quantity],StockInData[Product ID],ProductMaster!$B405)-SUMIFS(StockOutData[Quantity],StockOutData[Product ID],ProductMaster!$B405)</f>
        <v>47</v>
      </c>
      <c r="J405" s="50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8">
        <v>405</v>
      </c>
      <c r="B406" s="48" t="s">
        <v>829</v>
      </c>
      <c r="C406" s="49" t="s">
        <v>830</v>
      </c>
      <c r="D406" s="48" t="s">
        <v>869</v>
      </c>
      <c r="E406" s="48" t="s">
        <v>871</v>
      </c>
      <c r="F406" s="50">
        <v>10</v>
      </c>
      <c r="G406" s="52">
        <f>StockInData[Expiry]</f>
        <v>44721</v>
      </c>
      <c r="H406" s="48">
        <v>25</v>
      </c>
      <c r="I406" s="48">
        <f>SUMIFS(StockInData[Quantity],StockInData[Product ID],ProductMaster!$B406)-SUMIFS(StockOutData[Quantity],StockOutData[Product ID],ProductMaster!$B406)</f>
        <v>62</v>
      </c>
      <c r="J406" s="50">
        <f>SUMIFS(StockInData[Value],StockInData[Product ID],ProductMaster!$B406)-SUMIFS(StockOutData[Value],StockOutData[Product ID],ProductMaster!$B406)</f>
        <v>155</v>
      </c>
    </row>
    <row r="407" spans="1:10" x14ac:dyDescent="0.25">
      <c r="A407" s="48">
        <v>406</v>
      </c>
      <c r="B407" s="48" t="s">
        <v>831</v>
      </c>
      <c r="C407" s="49" t="s">
        <v>832</v>
      </c>
      <c r="D407" s="48" t="s">
        <v>869</v>
      </c>
      <c r="E407" s="48" t="s">
        <v>871</v>
      </c>
      <c r="F407" s="50">
        <v>10</v>
      </c>
      <c r="G407" s="52">
        <f>StockInData[Expiry]</f>
        <v>44723</v>
      </c>
      <c r="H407" s="48">
        <v>25</v>
      </c>
      <c r="I407" s="48">
        <f>SUMIFS(StockInData[Quantity],StockInData[Product ID],ProductMaster!$B407)-SUMIFS(StockOutData[Quantity],StockOutData[Product ID],ProductMaster!$B407)</f>
        <v>70</v>
      </c>
      <c r="J407" s="50">
        <f>SUMIFS(StockInData[Value],StockInData[Product ID],ProductMaster!$B407)-SUMIFS(StockOutData[Value],StockOutData[Product ID],ProductMaster!$B407)</f>
        <v>175</v>
      </c>
    </row>
    <row r="408" spans="1:10" x14ac:dyDescent="0.25">
      <c r="A408" s="48">
        <v>407</v>
      </c>
      <c r="B408" s="48" t="s">
        <v>833</v>
      </c>
      <c r="C408" s="49" t="s">
        <v>834</v>
      </c>
      <c r="D408" s="48" t="s">
        <v>869</v>
      </c>
      <c r="E408" s="48" t="s">
        <v>871</v>
      </c>
      <c r="F408" s="50">
        <v>10</v>
      </c>
      <c r="G408" s="52">
        <f>StockInData[Expiry]</f>
        <v>44725</v>
      </c>
      <c r="H408" s="48">
        <v>25</v>
      </c>
      <c r="I408" s="48">
        <f>SUMIFS(StockInData[Quantity],StockInData[Product ID],ProductMaster!$B408)-SUMIFS(StockOutData[Quantity],StockOutData[Product ID],ProductMaster!$B408)</f>
        <v>86</v>
      </c>
      <c r="J408" s="50">
        <f>SUMIFS(StockInData[Value],StockInData[Product ID],ProductMaster!$B408)-SUMIFS(StockOutData[Value],StockOutData[Product ID],ProductMaster!$B408)</f>
        <v>215</v>
      </c>
    </row>
    <row r="409" spans="1:10" x14ac:dyDescent="0.25">
      <c r="A409" s="48">
        <v>408</v>
      </c>
      <c r="B409" s="48" t="s">
        <v>835</v>
      </c>
      <c r="C409" s="49" t="s">
        <v>836</v>
      </c>
      <c r="D409" s="48" t="s">
        <v>869</v>
      </c>
      <c r="E409" s="48" t="s">
        <v>871</v>
      </c>
      <c r="F409" s="50">
        <v>10</v>
      </c>
      <c r="G409" s="52">
        <f>StockInData[Expiry]</f>
        <v>44727</v>
      </c>
      <c r="H409" s="48">
        <v>25</v>
      </c>
      <c r="I409" s="48">
        <f>SUMIFS(StockInData[Quantity],StockInData[Product ID],ProductMaster!$B409)-SUMIFS(StockOutData[Quantity],StockOutData[Product ID],ProductMaster!$B409)</f>
        <v>35</v>
      </c>
      <c r="J409" s="50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8">
        <v>409</v>
      </c>
      <c r="B410" s="48" t="s">
        <v>837</v>
      </c>
      <c r="C410" s="49" t="s">
        <v>838</v>
      </c>
      <c r="D410" s="48" t="s">
        <v>869</v>
      </c>
      <c r="E410" s="48" t="s">
        <v>870</v>
      </c>
      <c r="F410" s="50">
        <v>10</v>
      </c>
      <c r="G410" s="52">
        <f>StockInData[Expiry]</f>
        <v>44729</v>
      </c>
      <c r="H410" s="48">
        <v>25</v>
      </c>
      <c r="I410" s="48">
        <f>SUMIFS(StockInData[Quantity],StockInData[Product ID],ProductMaster!$B410)-SUMIFS(StockOutData[Quantity],StockOutData[Product ID],ProductMaster!$B410)</f>
        <v>23</v>
      </c>
      <c r="J410" s="50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8">
        <v>410</v>
      </c>
      <c r="B411" s="48" t="s">
        <v>839</v>
      </c>
      <c r="C411" s="49" t="s">
        <v>840</v>
      </c>
      <c r="D411" s="48" t="s">
        <v>869</v>
      </c>
      <c r="E411" s="48" t="s">
        <v>870</v>
      </c>
      <c r="F411" s="50">
        <v>10</v>
      </c>
      <c r="G411" s="52">
        <f>StockInData[Expiry]</f>
        <v>44731</v>
      </c>
      <c r="H411" s="48">
        <v>25</v>
      </c>
      <c r="I411" s="48">
        <f>SUMIFS(StockInData[Quantity],StockInData[Product ID],ProductMaster!$B411)-SUMIFS(StockOutData[Quantity],StockOutData[Product ID],ProductMaster!$B411)</f>
        <v>10</v>
      </c>
      <c r="J411" s="50">
        <f>SUMIFS(StockInData[Value],StockInData[Product ID],ProductMaster!$B411)-SUMIFS(StockOutData[Value],StockOutData[Product ID],ProductMaster!$B411)</f>
        <v>25</v>
      </c>
    </row>
    <row r="412" spans="1:10" x14ac:dyDescent="0.25">
      <c r="A412" s="48">
        <v>411</v>
      </c>
      <c r="B412" s="48" t="s">
        <v>841</v>
      </c>
      <c r="C412" s="49" t="s">
        <v>842</v>
      </c>
      <c r="D412" s="48" t="s">
        <v>869</v>
      </c>
      <c r="E412" s="48" t="s">
        <v>870</v>
      </c>
      <c r="F412" s="50">
        <v>10</v>
      </c>
      <c r="G412" s="52">
        <f>StockInData[Expiry]</f>
        <v>44733</v>
      </c>
      <c r="H412" s="48">
        <v>25</v>
      </c>
      <c r="I412" s="48">
        <f>SUMIFS(StockInData[Quantity],StockInData[Product ID],ProductMaster!$B412)-SUMIFS(StockOutData[Quantity],StockOutData[Product ID],ProductMaster!$B412)</f>
        <v>2</v>
      </c>
      <c r="J412" s="50">
        <f>SUMIFS(StockInData[Value],StockInData[Product ID],ProductMaster!$B412)-SUMIFS(StockOutData[Value],StockOutData[Product ID],ProductMaster!$B412)</f>
        <v>5</v>
      </c>
    </row>
    <row r="413" spans="1:10" x14ac:dyDescent="0.25">
      <c r="A413" s="48">
        <v>412</v>
      </c>
      <c r="B413" s="48" t="s">
        <v>843</v>
      </c>
      <c r="C413" s="49" t="s">
        <v>844</v>
      </c>
      <c r="D413" s="48" t="s">
        <v>869</v>
      </c>
      <c r="E413" s="48" t="s">
        <v>870</v>
      </c>
      <c r="F413" s="50">
        <v>10</v>
      </c>
      <c r="G413" s="52">
        <f>StockInData[Expiry]</f>
        <v>44735</v>
      </c>
      <c r="H413" s="48">
        <v>25</v>
      </c>
      <c r="I413" s="48">
        <f>SUMIFS(StockInData[Quantity],StockInData[Product ID],ProductMaster!$B413)-SUMIFS(StockOutData[Quantity],StockOutData[Product ID],ProductMaster!$B413)</f>
        <v>7</v>
      </c>
      <c r="J413" s="50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8">
        <v>413</v>
      </c>
      <c r="B414" s="48" t="s">
        <v>845</v>
      </c>
      <c r="C414" s="49" t="s">
        <v>846</v>
      </c>
      <c r="D414" s="48" t="s">
        <v>869</v>
      </c>
      <c r="E414" s="48" t="s">
        <v>870</v>
      </c>
      <c r="F414" s="50">
        <v>10</v>
      </c>
      <c r="G414" s="52">
        <f>StockInData[Expiry]</f>
        <v>44737</v>
      </c>
      <c r="H414" s="48">
        <v>25</v>
      </c>
      <c r="I414" s="48">
        <f>SUMIFS(StockInData[Quantity],StockInData[Product ID],ProductMaster!$B414)-SUMIFS(StockOutData[Quantity],StockOutData[Product ID],ProductMaster!$B414)</f>
        <v>9</v>
      </c>
      <c r="J414" s="50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8">
        <v>414</v>
      </c>
      <c r="B415" s="48" t="s">
        <v>847</v>
      </c>
      <c r="C415" s="49" t="s">
        <v>848</v>
      </c>
      <c r="D415" s="48" t="s">
        <v>869</v>
      </c>
      <c r="E415" s="48" t="s">
        <v>870</v>
      </c>
      <c r="F415" s="50">
        <v>10</v>
      </c>
      <c r="G415" s="52">
        <f>StockInData[Expiry]</f>
        <v>44739</v>
      </c>
      <c r="H415" s="48">
        <v>25</v>
      </c>
      <c r="I415" s="48">
        <f>SUMIFS(StockInData[Quantity],StockInData[Product ID],ProductMaster!$B415)-SUMIFS(StockOutData[Quantity],StockOutData[Product ID],ProductMaster!$B415)</f>
        <v>52</v>
      </c>
      <c r="J415" s="50">
        <f>SUMIFS(StockInData[Value],StockInData[Product ID],ProductMaster!$B415)-SUMIFS(StockOutData[Value],StockOutData[Product ID],ProductMaster!$B415)</f>
        <v>130</v>
      </c>
    </row>
    <row r="416" spans="1:10" x14ac:dyDescent="0.25">
      <c r="A416" s="48">
        <v>415</v>
      </c>
      <c r="B416" s="48" t="s">
        <v>849</v>
      </c>
      <c r="C416" s="49" t="s">
        <v>850</v>
      </c>
      <c r="D416" s="48" t="s">
        <v>869</v>
      </c>
      <c r="E416" s="48" t="s">
        <v>870</v>
      </c>
      <c r="F416" s="50">
        <v>10</v>
      </c>
      <c r="G416" s="52">
        <f>StockInData[Expiry]</f>
        <v>44741</v>
      </c>
      <c r="H416" s="48">
        <v>25</v>
      </c>
      <c r="I416" s="48">
        <f>SUMIFS(StockInData[Quantity],StockInData[Product ID],ProductMaster!$B416)-SUMIFS(StockOutData[Quantity],StockOutData[Product ID],ProductMaster!$B416)</f>
        <v>69</v>
      </c>
      <c r="J416" s="50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8">
        <v>416</v>
      </c>
      <c r="B417" s="48" t="s">
        <v>851</v>
      </c>
      <c r="C417" s="49" t="s">
        <v>852</v>
      </c>
      <c r="D417" s="48" t="s">
        <v>869</v>
      </c>
      <c r="E417" s="48" t="s">
        <v>870</v>
      </c>
      <c r="F417" s="50">
        <v>10</v>
      </c>
      <c r="G417" s="52">
        <f>StockInData[Expiry]</f>
        <v>44743</v>
      </c>
      <c r="H417" s="48">
        <v>25</v>
      </c>
      <c r="I417" s="48">
        <f>SUMIFS(StockInData[Quantity],StockInData[Product ID],ProductMaster!$B417)-SUMIFS(StockOutData[Quantity],StockOutData[Product ID],ProductMaster!$B417)</f>
        <v>77</v>
      </c>
      <c r="J417" s="50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8">
        <v>417</v>
      </c>
      <c r="B418" s="48" t="s">
        <v>853</v>
      </c>
      <c r="C418" s="49" t="s">
        <v>854</v>
      </c>
      <c r="D418" s="48" t="s">
        <v>869</v>
      </c>
      <c r="E418" s="48" t="s">
        <v>870</v>
      </c>
      <c r="F418" s="50">
        <v>10</v>
      </c>
      <c r="G418" s="52">
        <f>StockInData[Expiry]</f>
        <v>44745</v>
      </c>
      <c r="H418" s="48">
        <v>25</v>
      </c>
      <c r="I418" s="48">
        <f>SUMIFS(StockInData[Quantity],StockInData[Product ID],ProductMaster!$B418)-SUMIFS(StockOutData[Quantity],StockOutData[Product ID],ProductMaster!$B418)</f>
        <v>84</v>
      </c>
      <c r="J418" s="50">
        <f>SUMIFS(StockInData[Value],StockInData[Product ID],ProductMaster!$B418)-SUMIFS(StockOutData[Value],StockOutData[Product ID],ProductMaster!$B418)</f>
        <v>210</v>
      </c>
    </row>
    <row r="419" spans="1:10" x14ac:dyDescent="0.25">
      <c r="A419" s="48">
        <v>418</v>
      </c>
      <c r="B419" s="48" t="s">
        <v>855</v>
      </c>
      <c r="C419" s="49" t="s">
        <v>856</v>
      </c>
      <c r="D419" s="48" t="s">
        <v>869</v>
      </c>
      <c r="E419" s="48" t="s">
        <v>870</v>
      </c>
      <c r="F419" s="50">
        <v>10</v>
      </c>
      <c r="G419" s="52">
        <f>StockInData[Expiry]</f>
        <v>44747</v>
      </c>
      <c r="H419" s="48">
        <v>25</v>
      </c>
      <c r="I419" s="48">
        <f>SUMIFS(StockInData[Quantity],StockInData[Product ID],ProductMaster!$B419)-SUMIFS(StockOutData[Quantity],StockOutData[Product ID],ProductMaster!$B419)</f>
        <v>83</v>
      </c>
      <c r="J419" s="50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8">
        <v>419</v>
      </c>
      <c r="B420" s="48" t="s">
        <v>857</v>
      </c>
      <c r="C420" s="49" t="s">
        <v>858</v>
      </c>
      <c r="D420" s="48" t="s">
        <v>869</v>
      </c>
      <c r="E420" s="48" t="s">
        <v>870</v>
      </c>
      <c r="F420" s="50">
        <v>10</v>
      </c>
      <c r="G420" s="52">
        <f>StockInData[Expiry]</f>
        <v>44749</v>
      </c>
      <c r="H420" s="48">
        <v>25</v>
      </c>
      <c r="I420" s="48">
        <f>SUMIFS(StockInData[Quantity],StockInData[Product ID],ProductMaster!$B420)-SUMIFS(StockOutData[Quantity],StockOutData[Product ID],ProductMaster!$B420)</f>
        <v>48</v>
      </c>
      <c r="J420" s="50">
        <f>SUMIFS(StockInData[Value],StockInData[Product ID],ProductMaster!$B420)-SUMIFS(StockOutData[Value],StockOutData[Product ID],ProductMaster!$B420)</f>
        <v>120</v>
      </c>
    </row>
    <row r="421" spans="1:10" x14ac:dyDescent="0.25">
      <c r="A421" s="48">
        <v>420</v>
      </c>
      <c r="B421" s="48" t="s">
        <v>859</v>
      </c>
      <c r="C421" s="49" t="s">
        <v>860</v>
      </c>
      <c r="D421" s="48" t="s">
        <v>869</v>
      </c>
      <c r="E421" s="48" t="s">
        <v>870</v>
      </c>
      <c r="F421" s="50">
        <v>10</v>
      </c>
      <c r="G421" s="52">
        <f>StockInData[Expiry]</f>
        <v>44751</v>
      </c>
      <c r="H421" s="48">
        <v>25</v>
      </c>
      <c r="I421" s="48">
        <f>SUMIFS(StockInData[Quantity],StockInData[Product ID],ProductMaster!$B421)-SUMIFS(StockOutData[Quantity],StockOutData[Product ID],ProductMaster!$B421)</f>
        <v>50</v>
      </c>
      <c r="J421" s="50">
        <f>SUMIFS(StockInData[Value],StockInData[Product ID],ProductMaster!$B421)-SUMIFS(StockOutData[Value],StockOutData[Product ID],ProductMaster!$B421)</f>
        <v>275</v>
      </c>
    </row>
    <row r="422" spans="1:10" x14ac:dyDescent="0.25">
      <c r="A422" s="48">
        <v>421</v>
      </c>
      <c r="B422" s="48" t="s">
        <v>861</v>
      </c>
      <c r="C422" s="49" t="s">
        <v>862</v>
      </c>
      <c r="D422" s="48" t="s">
        <v>869</v>
      </c>
      <c r="E422" s="48" t="s">
        <v>870</v>
      </c>
      <c r="F422" s="50">
        <v>10</v>
      </c>
      <c r="G422" s="52">
        <f>StockInData[Expiry]</f>
        <v>44753</v>
      </c>
      <c r="H422" s="48">
        <v>25</v>
      </c>
      <c r="I422" s="48">
        <f>SUMIFS(StockInData[Quantity],StockInData[Product ID],ProductMaster!$B422)-SUMIFS(StockOutData[Quantity],StockOutData[Product ID],ProductMaster!$B422)</f>
        <v>20</v>
      </c>
      <c r="J422" s="50">
        <f>SUMIFS(StockInData[Value],StockInData[Product ID],ProductMaster!$B422)-SUMIFS(StockOutData[Value],StockOutData[Product ID],ProductMaster!$B422)</f>
        <v>50</v>
      </c>
    </row>
    <row r="423" spans="1:10" x14ac:dyDescent="0.25">
      <c r="A423" s="48">
        <v>422</v>
      </c>
      <c r="B423" s="48" t="s">
        <v>863</v>
      </c>
      <c r="C423" s="49" t="s">
        <v>864</v>
      </c>
      <c r="D423" s="48" t="s">
        <v>869</v>
      </c>
      <c r="E423" s="48" t="s">
        <v>870</v>
      </c>
      <c r="F423" s="50">
        <v>10</v>
      </c>
      <c r="G423" s="52">
        <f>StockInData[Expiry]</f>
        <v>44755</v>
      </c>
      <c r="H423" s="48">
        <v>25</v>
      </c>
      <c r="I423" s="48">
        <f>SUMIFS(StockInData[Quantity],StockInData[Product ID],ProductMaster!$B423)-SUMIFS(StockOutData[Quantity],StockOutData[Product ID],ProductMaster!$B423)</f>
        <v>15</v>
      </c>
      <c r="J423" s="50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8">
        <v>423</v>
      </c>
      <c r="B424" s="48" t="s">
        <v>865</v>
      </c>
      <c r="C424" s="49" t="s">
        <v>866</v>
      </c>
      <c r="D424" s="48" t="s">
        <v>869</v>
      </c>
      <c r="E424" s="48" t="s">
        <v>870</v>
      </c>
      <c r="F424" s="50">
        <v>10</v>
      </c>
      <c r="G424" s="52">
        <f>StockInData[Expiry]</f>
        <v>44757</v>
      </c>
      <c r="H424" s="48">
        <v>25</v>
      </c>
      <c r="I424" s="48">
        <f>SUMIFS(StockInData[Quantity],StockInData[Product ID],ProductMaster!$B424)-SUMIFS(StockOutData[Quantity],StockOutData[Product ID],ProductMaster!$B424)</f>
        <v>10</v>
      </c>
      <c r="J424" s="50">
        <f>SUMIFS(StockInData[Value],StockInData[Product ID],ProductMaster!$B424)-SUMIFS(StockOutData[Value],StockOutData[Product ID],ProductMaster!$B424)</f>
        <v>25</v>
      </c>
    </row>
    <row r="425" spans="1:10" x14ac:dyDescent="0.25">
      <c r="A425" s="48">
        <v>424</v>
      </c>
      <c r="B425" s="48" t="s">
        <v>867</v>
      </c>
      <c r="C425" s="49" t="s">
        <v>868</v>
      </c>
      <c r="D425" s="48" t="s">
        <v>869</v>
      </c>
      <c r="E425" s="48" t="s">
        <v>870</v>
      </c>
      <c r="F425" s="50">
        <v>10</v>
      </c>
      <c r="G425" s="52">
        <f>StockInData[Expiry]</f>
        <v>44759</v>
      </c>
      <c r="H425" s="48">
        <v>25</v>
      </c>
      <c r="I425" s="48">
        <f>SUMIFS(StockInData[Quantity],StockInData[Product ID],ProductMaster!$B425)-SUMIFS(StockOutData[Quantity],StockOutData[Product ID],ProductMaster!$B425)</f>
        <v>9</v>
      </c>
      <c r="J425" s="50">
        <f>SUMIFS(StockInData[Value],StockInData[Product ID],ProductMaster!$B425)-SUMIFS(StockOutData[Value],StockOutData[Product ID],ProductMaster!$B425)</f>
        <v>22.5</v>
      </c>
    </row>
    <row r="426" spans="1:10" x14ac:dyDescent="0.25">
      <c r="A426" s="66">
        <v>425</v>
      </c>
      <c r="B426" s="66" t="s">
        <v>1039</v>
      </c>
      <c r="C426" s="67" t="s">
        <v>1044</v>
      </c>
      <c r="D426" s="66" t="s">
        <v>869</v>
      </c>
      <c r="E426" s="66" t="s">
        <v>1045</v>
      </c>
      <c r="F426" s="68">
        <v>20</v>
      </c>
      <c r="G426" s="69" t="s">
        <v>1040</v>
      </c>
      <c r="H426" s="66">
        <v>25</v>
      </c>
      <c r="I426" s="66">
        <f>SUMIFS(StockInData[Quantity],StockInData[Product ID],ProductMaster!$B426)-SUMIFS(StockOutData[Quantity],StockOutData[Product ID],ProductMaster!$B426)</f>
        <v>55</v>
      </c>
      <c r="J426" s="68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9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4"/>
      <c r="C6" s="16"/>
    </row>
    <row r="7" spans="1:3" ht="30.75" customHeight="1" x14ac:dyDescent="0.25">
      <c r="A7" s="27" t="s">
        <v>3</v>
      </c>
      <c r="B7" s="54"/>
      <c r="C7" s="16"/>
    </row>
    <row r="8" spans="1:3" ht="30.75" customHeight="1" x14ac:dyDescent="0.25">
      <c r="A8" s="27" t="s">
        <v>4</v>
      </c>
      <c r="B8" s="42"/>
      <c r="C8" s="16"/>
    </row>
    <row r="9" spans="1:3" ht="30.75" customHeight="1" x14ac:dyDescent="0.25">
      <c r="A9" s="27" t="s">
        <v>5</v>
      </c>
      <c r="B9" s="42"/>
      <c r="C9" s="16"/>
    </row>
    <row r="10" spans="1:3" ht="30.75" customHeight="1" x14ac:dyDescent="0.25">
      <c r="A10" s="27" t="s">
        <v>10</v>
      </c>
      <c r="B10" s="55"/>
      <c r="C10" s="16"/>
    </row>
    <row r="11" spans="1:3" ht="30.75" customHeight="1" x14ac:dyDescent="0.25">
      <c r="A11" s="27" t="s">
        <v>883</v>
      </c>
      <c r="B11" s="56"/>
      <c r="C11" s="16"/>
    </row>
    <row r="12" spans="1:3" ht="30.75" customHeight="1" thickBot="1" x14ac:dyDescent="0.3">
      <c r="A12" s="57" t="s">
        <v>8</v>
      </c>
      <c r="B12" s="58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3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72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2019-11-28T12:45:01Z</cp:lastPrinted>
  <dcterms:created xsi:type="dcterms:W3CDTF">2016-08-05T04:56:17Z</dcterms:created>
  <dcterms:modified xsi:type="dcterms:W3CDTF">2019-11-30T23:04:12Z</dcterms:modified>
  <cp:contentStatus/>
</cp:coreProperties>
</file>