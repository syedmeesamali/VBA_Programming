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 firstSheet="1" activeTab="1"/>
  </bookViews>
  <sheets>
    <sheet name="ExpiryReport" sheetId="14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_xlnm._FilterDatabase" localSheetId="0" hidden="1">ExpiryReport!$A$1:$F$259</definedName>
    <definedName name="MasterB">"ProductMaster[Product Name]"</definedName>
    <definedName name="_xlnm.Print_Area" localSheetId="0">ExpiryReport!$A$1:$I$210</definedName>
    <definedName name="_xlnm.Print_Titles" localSheetId="1">Dashboard!$1:$1</definedName>
    <definedName name="_xlnm.Print_Titles" localSheetId="10">EnterNewCustomer!$1:$1</definedName>
    <definedName name="_xlnm.Print_Titles" localSheetId="8">EnterNewProduct!$1:$1</definedName>
    <definedName name="_xlnm.Print_Titles" localSheetId="9">EnterNewSupplier!$1:$1</definedName>
    <definedName name="_xlnm.Print_Titles" localSheetId="3">EnterStockIn!$1:$1</definedName>
    <definedName name="_xlnm.Print_Titles" localSheetId="4">EnterStockOut!$1:$1</definedName>
    <definedName name="_xlnm.Print_Titles" localSheetId="0">ExpiryReport!$1:$1</definedName>
    <definedName name="_xlnm.Print_Titles" localSheetId="2">Help!$1:$1</definedName>
    <definedName name="_xlnm.Print_Titles" localSheetId="7">ProductMaster!$1:$1</definedName>
    <definedName name="_xlnm.Print_Titles" localSheetId="5">StockIn!$1:$1</definedName>
    <definedName name="_xlnm.Print_Titles" localSheetId="6">StockOut!$1:$1</definedName>
    <definedName name="Puneet" localSheetId="8">INDEX([1]Help!XFB1:XFB3,MATCH([1]Help!XEY1,[1]Help!XFA1:XFA3,0),0)</definedName>
  </definedNames>
  <calcPr calcId="162913"/>
  <pivotCaches>
    <pivotCache cacheId="14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30" i="3" l="1"/>
  <c r="I426" i="4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7" i="7" l="1"/>
  <c r="K429" i="3" l="1"/>
  <c r="K428" i="3" l="1"/>
  <c r="K427" i="3"/>
  <c r="J426" i="4" s="1"/>
  <c r="K426" i="3" l="1"/>
  <c r="B9" i="2"/>
  <c r="B7" i="2"/>
  <c r="B7" i="5"/>
  <c r="B14" i="5" l="1"/>
  <c r="B12" i="5"/>
  <c r="B11" i="5"/>
  <c r="B15" i="2"/>
  <c r="B12" i="2"/>
  <c r="B11" i="2"/>
  <c r="B9" i="7" l="1"/>
  <c r="B8" i="7"/>
  <c r="B11" i="7"/>
  <c r="B10" i="7"/>
  <c r="B1" i="7" l="1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J425" i="4" s="1"/>
  <c r="K424" i="3"/>
  <c r="J424" i="4" s="1"/>
  <c r="K423" i="3"/>
  <c r="J423" i="4" s="1"/>
  <c r="K422" i="3"/>
  <c r="J422" i="4" s="1"/>
  <c r="K421" i="3"/>
  <c r="J421" i="4" s="1"/>
  <c r="K420" i="3"/>
  <c r="J420" i="4" s="1"/>
  <c r="K419" i="3"/>
  <c r="J419" i="4" s="1"/>
  <c r="K418" i="3"/>
  <c r="J418" i="4" s="1"/>
  <c r="K417" i="3"/>
  <c r="J417" i="4" s="1"/>
  <c r="K416" i="3"/>
  <c r="J416" i="4" s="1"/>
  <c r="K415" i="3"/>
  <c r="J415" i="4" s="1"/>
  <c r="K414" i="3"/>
  <c r="J414" i="4" s="1"/>
  <c r="K413" i="3"/>
  <c r="J413" i="4" s="1"/>
  <c r="K412" i="3"/>
  <c r="J412" i="4" s="1"/>
  <c r="K411" i="3"/>
  <c r="J411" i="4" s="1"/>
  <c r="K410" i="3"/>
  <c r="J410" i="4" s="1"/>
  <c r="K409" i="3"/>
  <c r="J409" i="4" s="1"/>
  <c r="K408" i="3"/>
  <c r="J408" i="4" s="1"/>
  <c r="K407" i="3"/>
  <c r="J407" i="4" s="1"/>
  <c r="K406" i="3"/>
  <c r="J406" i="4" s="1"/>
  <c r="K405" i="3"/>
  <c r="J405" i="4" s="1"/>
  <c r="K404" i="3"/>
  <c r="J404" i="4" s="1"/>
  <c r="K403" i="3"/>
  <c r="J403" i="4" s="1"/>
  <c r="K402" i="3"/>
  <c r="J402" i="4" s="1"/>
  <c r="K401" i="3"/>
  <c r="J401" i="4" s="1"/>
  <c r="K400" i="3"/>
  <c r="J400" i="4" s="1"/>
  <c r="K399" i="3"/>
  <c r="J399" i="4" s="1"/>
  <c r="K398" i="3"/>
  <c r="J398" i="4" s="1"/>
  <c r="K397" i="3"/>
  <c r="J397" i="4" s="1"/>
  <c r="K396" i="3"/>
  <c r="J396" i="4" s="1"/>
  <c r="K395" i="3"/>
  <c r="J395" i="4" s="1"/>
  <c r="K394" i="3"/>
  <c r="J394" i="4" s="1"/>
  <c r="K393" i="3"/>
  <c r="J393" i="4" s="1"/>
  <c r="K392" i="3"/>
  <c r="J392" i="4" s="1"/>
  <c r="K391" i="3"/>
  <c r="J391" i="4" s="1"/>
  <c r="K390" i="3"/>
  <c r="J390" i="4" s="1"/>
  <c r="K389" i="3"/>
  <c r="J389" i="4" s="1"/>
  <c r="K388" i="3"/>
  <c r="J388" i="4" s="1"/>
  <c r="K387" i="3"/>
  <c r="J387" i="4" s="1"/>
  <c r="K386" i="3"/>
  <c r="J386" i="4" s="1"/>
  <c r="K385" i="3"/>
  <c r="J385" i="4" s="1"/>
  <c r="K384" i="3"/>
  <c r="J384" i="4" s="1"/>
  <c r="K383" i="3"/>
  <c r="J383" i="4" s="1"/>
  <c r="K382" i="3"/>
  <c r="J382" i="4" s="1"/>
  <c r="K381" i="3"/>
  <c r="J381" i="4" s="1"/>
  <c r="K380" i="3"/>
  <c r="J380" i="4" s="1"/>
  <c r="K379" i="3"/>
  <c r="J379" i="4" s="1"/>
  <c r="K378" i="3"/>
  <c r="J378" i="4" s="1"/>
  <c r="K377" i="3"/>
  <c r="J377" i="4" s="1"/>
  <c r="K376" i="3"/>
  <c r="J376" i="4" s="1"/>
  <c r="K375" i="3"/>
  <c r="J375" i="4" s="1"/>
  <c r="K374" i="3"/>
  <c r="J374" i="4" s="1"/>
  <c r="K373" i="3"/>
  <c r="J373" i="4" s="1"/>
  <c r="K372" i="3"/>
  <c r="J372" i="4" s="1"/>
  <c r="K371" i="3"/>
  <c r="J371" i="4" s="1"/>
  <c r="K370" i="3"/>
  <c r="J370" i="4" s="1"/>
  <c r="K369" i="3"/>
  <c r="J369" i="4" s="1"/>
  <c r="K368" i="3"/>
  <c r="J368" i="4" s="1"/>
  <c r="K367" i="3"/>
  <c r="J367" i="4" s="1"/>
  <c r="K366" i="3"/>
  <c r="J366" i="4" s="1"/>
  <c r="K365" i="3"/>
  <c r="J365" i="4" s="1"/>
  <c r="K364" i="3"/>
  <c r="J364" i="4" s="1"/>
  <c r="K363" i="3"/>
  <c r="J363" i="4" s="1"/>
  <c r="K362" i="3"/>
  <c r="J362" i="4" s="1"/>
  <c r="K361" i="3"/>
  <c r="J361" i="4" s="1"/>
  <c r="K360" i="3"/>
  <c r="J360" i="4" s="1"/>
  <c r="K359" i="3"/>
  <c r="J359" i="4" s="1"/>
  <c r="K358" i="3"/>
  <c r="J358" i="4" s="1"/>
  <c r="K357" i="3"/>
  <c r="J357" i="4" s="1"/>
  <c r="K356" i="3"/>
  <c r="J356" i="4" s="1"/>
  <c r="K355" i="3"/>
  <c r="J355" i="4" s="1"/>
  <c r="K354" i="3"/>
  <c r="J354" i="4" s="1"/>
  <c r="K353" i="3"/>
  <c r="J353" i="4" s="1"/>
  <c r="K352" i="3"/>
  <c r="J352" i="4" s="1"/>
  <c r="K351" i="3"/>
  <c r="J351" i="4" s="1"/>
  <c r="K350" i="3"/>
  <c r="J350" i="4" s="1"/>
  <c r="K349" i="3"/>
  <c r="J349" i="4" s="1"/>
  <c r="K348" i="3"/>
  <c r="J348" i="4" s="1"/>
  <c r="K347" i="3"/>
  <c r="J347" i="4" s="1"/>
  <c r="K346" i="3"/>
  <c r="J346" i="4" s="1"/>
  <c r="K345" i="3"/>
  <c r="J345" i="4" s="1"/>
  <c r="K344" i="3"/>
  <c r="J344" i="4" s="1"/>
  <c r="K343" i="3"/>
  <c r="J343" i="4" s="1"/>
  <c r="K342" i="3"/>
  <c r="J342" i="4" s="1"/>
  <c r="K341" i="3"/>
  <c r="J341" i="4" s="1"/>
  <c r="K340" i="3"/>
  <c r="J340" i="4" s="1"/>
  <c r="K339" i="3"/>
  <c r="J339" i="4" s="1"/>
  <c r="K338" i="3"/>
  <c r="J338" i="4" s="1"/>
  <c r="K337" i="3"/>
  <c r="J337" i="4" s="1"/>
  <c r="K336" i="3"/>
  <c r="J336" i="4" s="1"/>
  <c r="K335" i="3"/>
  <c r="J335" i="4" s="1"/>
  <c r="K334" i="3"/>
  <c r="J334" i="4" s="1"/>
  <c r="K333" i="3"/>
  <c r="J333" i="4" s="1"/>
  <c r="K332" i="3"/>
  <c r="J332" i="4" s="1"/>
  <c r="K331" i="3"/>
  <c r="J331" i="4" s="1"/>
  <c r="K330" i="3"/>
  <c r="J330" i="4" s="1"/>
  <c r="K329" i="3"/>
  <c r="J329" i="4" s="1"/>
  <c r="K328" i="3"/>
  <c r="J328" i="4" s="1"/>
  <c r="K327" i="3"/>
  <c r="J327" i="4" s="1"/>
  <c r="K326" i="3"/>
  <c r="J326" i="4" s="1"/>
  <c r="K325" i="3"/>
  <c r="J325" i="4" s="1"/>
  <c r="K324" i="3"/>
  <c r="J324" i="4" s="1"/>
  <c r="K323" i="3"/>
  <c r="J323" i="4" s="1"/>
  <c r="K322" i="3"/>
  <c r="J322" i="4" s="1"/>
  <c r="K321" i="3"/>
  <c r="J321" i="4" s="1"/>
  <c r="K320" i="3"/>
  <c r="J320" i="4" s="1"/>
  <c r="K319" i="3"/>
  <c r="J319" i="4" s="1"/>
  <c r="K318" i="3"/>
  <c r="J318" i="4" s="1"/>
  <c r="K317" i="3"/>
  <c r="J317" i="4" s="1"/>
  <c r="K316" i="3"/>
  <c r="J316" i="4" s="1"/>
  <c r="K315" i="3"/>
  <c r="J315" i="4" s="1"/>
  <c r="K314" i="3"/>
  <c r="J314" i="4" s="1"/>
  <c r="K313" i="3"/>
  <c r="J313" i="4" s="1"/>
  <c r="K312" i="3"/>
  <c r="J312" i="4" s="1"/>
  <c r="K311" i="3"/>
  <c r="J311" i="4" s="1"/>
  <c r="K310" i="3"/>
  <c r="J310" i="4" s="1"/>
  <c r="K309" i="3"/>
  <c r="J309" i="4" s="1"/>
  <c r="K308" i="3"/>
  <c r="J308" i="4" s="1"/>
  <c r="K307" i="3"/>
  <c r="J307" i="4" s="1"/>
  <c r="K306" i="3"/>
  <c r="J306" i="4" s="1"/>
  <c r="K305" i="3"/>
  <c r="J305" i="4" s="1"/>
  <c r="K304" i="3"/>
  <c r="J304" i="4" s="1"/>
  <c r="K303" i="3"/>
  <c r="J303" i="4" s="1"/>
  <c r="K302" i="3"/>
  <c r="J302" i="4" s="1"/>
  <c r="K301" i="3"/>
  <c r="J301" i="4" s="1"/>
  <c r="K300" i="3"/>
  <c r="J300" i="4" s="1"/>
  <c r="K299" i="3"/>
  <c r="J299" i="4" s="1"/>
  <c r="K298" i="3"/>
  <c r="J298" i="4" s="1"/>
  <c r="K297" i="3"/>
  <c r="J297" i="4" s="1"/>
  <c r="K296" i="3"/>
  <c r="J296" i="4" s="1"/>
  <c r="K295" i="3"/>
  <c r="J295" i="4" s="1"/>
  <c r="K294" i="3"/>
  <c r="J294" i="4" s="1"/>
  <c r="K293" i="3"/>
  <c r="J293" i="4" s="1"/>
  <c r="K292" i="3"/>
  <c r="J292" i="4" s="1"/>
  <c r="K291" i="3"/>
  <c r="J291" i="4" s="1"/>
  <c r="K290" i="3"/>
  <c r="J290" i="4" s="1"/>
  <c r="K289" i="3"/>
  <c r="J289" i="4" s="1"/>
  <c r="K288" i="3"/>
  <c r="J288" i="4" s="1"/>
  <c r="K287" i="3"/>
  <c r="J287" i="4" s="1"/>
  <c r="K286" i="3"/>
  <c r="J286" i="4" s="1"/>
  <c r="K285" i="3"/>
  <c r="J285" i="4" s="1"/>
  <c r="K284" i="3"/>
  <c r="J284" i="4" s="1"/>
  <c r="K283" i="3"/>
  <c r="J283" i="4" s="1"/>
  <c r="K282" i="3"/>
  <c r="J282" i="4" s="1"/>
  <c r="K281" i="3"/>
  <c r="J281" i="4" s="1"/>
  <c r="K280" i="3"/>
  <c r="J280" i="4" s="1"/>
  <c r="K279" i="3"/>
  <c r="J279" i="4" s="1"/>
  <c r="K278" i="3"/>
  <c r="J278" i="4" s="1"/>
  <c r="K277" i="3"/>
  <c r="J277" i="4" s="1"/>
  <c r="K276" i="3"/>
  <c r="J276" i="4" s="1"/>
  <c r="K275" i="3"/>
  <c r="J275" i="4" s="1"/>
  <c r="K274" i="3"/>
  <c r="J274" i="4" s="1"/>
  <c r="K273" i="3"/>
  <c r="J273" i="4" s="1"/>
  <c r="K272" i="3"/>
  <c r="J272" i="4" s="1"/>
  <c r="K271" i="3"/>
  <c r="J271" i="4" s="1"/>
  <c r="K270" i="3"/>
  <c r="J270" i="4" s="1"/>
  <c r="K269" i="3"/>
  <c r="J269" i="4" s="1"/>
  <c r="K268" i="3"/>
  <c r="J268" i="4" s="1"/>
  <c r="K267" i="3"/>
  <c r="J267" i="4" s="1"/>
  <c r="K266" i="3"/>
  <c r="J266" i="4" s="1"/>
  <c r="K265" i="3"/>
  <c r="J265" i="4" s="1"/>
  <c r="K264" i="3"/>
  <c r="J264" i="4" s="1"/>
  <c r="K263" i="3"/>
  <c r="J263" i="4" s="1"/>
  <c r="K262" i="3"/>
  <c r="J262" i="4" s="1"/>
  <c r="K261" i="3"/>
  <c r="J261" i="4" s="1"/>
  <c r="K260" i="3"/>
  <c r="J260" i="4" s="1"/>
  <c r="K259" i="3"/>
  <c r="J259" i="4" s="1"/>
  <c r="K258" i="3"/>
  <c r="J258" i="4" s="1"/>
  <c r="K257" i="3"/>
  <c r="J257" i="4" s="1"/>
  <c r="K256" i="3"/>
  <c r="J256" i="4" s="1"/>
  <c r="K255" i="3"/>
  <c r="J255" i="4" s="1"/>
  <c r="K254" i="3"/>
  <c r="J254" i="4" s="1"/>
  <c r="K253" i="3"/>
  <c r="J253" i="4" s="1"/>
  <c r="K252" i="3"/>
  <c r="J252" i="4" s="1"/>
  <c r="K251" i="3"/>
  <c r="J251" i="4" s="1"/>
  <c r="K250" i="3"/>
  <c r="J250" i="4" s="1"/>
  <c r="K249" i="3"/>
  <c r="J249" i="4" s="1"/>
  <c r="K248" i="3"/>
  <c r="J248" i="4" s="1"/>
  <c r="K247" i="3"/>
  <c r="J247" i="4" s="1"/>
  <c r="K246" i="3"/>
  <c r="J246" i="4" s="1"/>
  <c r="K245" i="3"/>
  <c r="J245" i="4" s="1"/>
  <c r="K244" i="3"/>
  <c r="J244" i="4" s="1"/>
  <c r="K243" i="3"/>
  <c r="J243" i="4" s="1"/>
  <c r="K242" i="3"/>
  <c r="J242" i="4" s="1"/>
  <c r="K241" i="3"/>
  <c r="J241" i="4" s="1"/>
  <c r="K240" i="3"/>
  <c r="J240" i="4" s="1"/>
  <c r="K239" i="3"/>
  <c r="J239" i="4" s="1"/>
  <c r="K238" i="3"/>
  <c r="J238" i="4" s="1"/>
  <c r="K237" i="3"/>
  <c r="J237" i="4" s="1"/>
  <c r="K236" i="3"/>
  <c r="J236" i="4" s="1"/>
  <c r="K235" i="3"/>
  <c r="J235" i="4" s="1"/>
  <c r="K234" i="3"/>
  <c r="J234" i="4" s="1"/>
  <c r="K233" i="3"/>
  <c r="J233" i="4" s="1"/>
  <c r="K232" i="3"/>
  <c r="J232" i="4" s="1"/>
  <c r="K231" i="3"/>
  <c r="J231" i="4" s="1"/>
  <c r="K230" i="3"/>
  <c r="J230" i="4" s="1"/>
  <c r="K229" i="3"/>
  <c r="J229" i="4" s="1"/>
  <c r="K228" i="3"/>
  <c r="J228" i="4" s="1"/>
  <c r="K227" i="3"/>
  <c r="J227" i="4" s="1"/>
  <c r="K226" i="3"/>
  <c r="J226" i="4" s="1"/>
  <c r="K225" i="3"/>
  <c r="J225" i="4" s="1"/>
  <c r="K224" i="3"/>
  <c r="J224" i="4" s="1"/>
  <c r="K223" i="3"/>
  <c r="J223" i="4" s="1"/>
  <c r="K222" i="3"/>
  <c r="J222" i="4" s="1"/>
  <c r="K221" i="3"/>
  <c r="J221" i="4" s="1"/>
  <c r="K220" i="3"/>
  <c r="J220" i="4" s="1"/>
  <c r="K219" i="3"/>
  <c r="J219" i="4" s="1"/>
  <c r="K218" i="3"/>
  <c r="J218" i="4" s="1"/>
  <c r="K217" i="3"/>
  <c r="J217" i="4" s="1"/>
  <c r="K216" i="3"/>
  <c r="J216" i="4" s="1"/>
  <c r="K215" i="3"/>
  <c r="J215" i="4" s="1"/>
  <c r="K214" i="3"/>
  <c r="J214" i="4" s="1"/>
  <c r="K213" i="3"/>
  <c r="J213" i="4" s="1"/>
  <c r="K212" i="3"/>
  <c r="J212" i="4" s="1"/>
  <c r="K211" i="3"/>
  <c r="J211" i="4" s="1"/>
  <c r="K210" i="3"/>
  <c r="J210" i="4" s="1"/>
  <c r="K209" i="3"/>
  <c r="J209" i="4" s="1"/>
  <c r="K208" i="3"/>
  <c r="J208" i="4" s="1"/>
  <c r="K207" i="3"/>
  <c r="J207" i="4" s="1"/>
  <c r="K206" i="3"/>
  <c r="J206" i="4" s="1"/>
  <c r="K205" i="3"/>
  <c r="J205" i="4" s="1"/>
  <c r="K204" i="3"/>
  <c r="J204" i="4" s="1"/>
  <c r="K203" i="3"/>
  <c r="J203" i="4" s="1"/>
  <c r="K202" i="3"/>
  <c r="J202" i="4" s="1"/>
  <c r="K201" i="3"/>
  <c r="J201" i="4" s="1"/>
  <c r="K200" i="3"/>
  <c r="J200" i="4" s="1"/>
  <c r="K199" i="3"/>
  <c r="J199" i="4" s="1"/>
  <c r="K198" i="3"/>
  <c r="J198" i="4" s="1"/>
  <c r="K197" i="3"/>
  <c r="J197" i="4" s="1"/>
  <c r="K196" i="3"/>
  <c r="J196" i="4" s="1"/>
  <c r="K195" i="3"/>
  <c r="J195" i="4" s="1"/>
  <c r="K194" i="3"/>
  <c r="J194" i="4" s="1"/>
  <c r="K193" i="3"/>
  <c r="J193" i="4" s="1"/>
  <c r="K192" i="3"/>
  <c r="J192" i="4" s="1"/>
  <c r="K191" i="3"/>
  <c r="J191" i="4" s="1"/>
  <c r="K190" i="3"/>
  <c r="J190" i="4" s="1"/>
  <c r="K189" i="3"/>
  <c r="J189" i="4" s="1"/>
  <c r="K188" i="3"/>
  <c r="J188" i="4" s="1"/>
  <c r="K187" i="3"/>
  <c r="J187" i="4" s="1"/>
  <c r="K186" i="3"/>
  <c r="J186" i="4" s="1"/>
  <c r="K185" i="3"/>
  <c r="J185" i="4" s="1"/>
  <c r="K184" i="3"/>
  <c r="J184" i="4" s="1"/>
  <c r="K183" i="3"/>
  <c r="J183" i="4" s="1"/>
  <c r="K182" i="3"/>
  <c r="J182" i="4" s="1"/>
  <c r="K181" i="3"/>
  <c r="J181" i="4" s="1"/>
  <c r="K180" i="3"/>
  <c r="J180" i="4" s="1"/>
  <c r="K179" i="3"/>
  <c r="J179" i="4" s="1"/>
  <c r="K178" i="3"/>
  <c r="J178" i="4" s="1"/>
  <c r="K177" i="3"/>
  <c r="J177" i="4" s="1"/>
  <c r="K176" i="3"/>
  <c r="J176" i="4" s="1"/>
  <c r="K175" i="3"/>
  <c r="J175" i="4" s="1"/>
  <c r="K174" i="3"/>
  <c r="J174" i="4" s="1"/>
  <c r="K173" i="3"/>
  <c r="J173" i="4" s="1"/>
  <c r="K172" i="3"/>
  <c r="J172" i="4" s="1"/>
  <c r="K171" i="3"/>
  <c r="J171" i="4" s="1"/>
  <c r="K170" i="3"/>
  <c r="J170" i="4" s="1"/>
  <c r="K169" i="3"/>
  <c r="J169" i="4" s="1"/>
  <c r="K168" i="3"/>
  <c r="J168" i="4" s="1"/>
  <c r="K167" i="3"/>
  <c r="J167" i="4" s="1"/>
  <c r="K166" i="3"/>
  <c r="J166" i="4" s="1"/>
  <c r="K165" i="3"/>
  <c r="J165" i="4" s="1"/>
  <c r="K164" i="3"/>
  <c r="J164" i="4" s="1"/>
  <c r="K163" i="3"/>
  <c r="J163" i="4" s="1"/>
  <c r="K162" i="3"/>
  <c r="J162" i="4" s="1"/>
  <c r="K161" i="3"/>
  <c r="J161" i="4" s="1"/>
  <c r="K160" i="3"/>
  <c r="J160" i="4" s="1"/>
  <c r="K159" i="3"/>
  <c r="J159" i="4" s="1"/>
  <c r="K158" i="3"/>
  <c r="J158" i="4" s="1"/>
  <c r="K157" i="3"/>
  <c r="J157" i="4" s="1"/>
  <c r="K156" i="3"/>
  <c r="J156" i="4" s="1"/>
  <c r="K155" i="3"/>
  <c r="J155" i="4" s="1"/>
  <c r="K154" i="3"/>
  <c r="J154" i="4" s="1"/>
  <c r="K153" i="3"/>
  <c r="J153" i="4" s="1"/>
  <c r="K152" i="3"/>
  <c r="J152" i="4" s="1"/>
  <c r="K151" i="3"/>
  <c r="J151" i="4" s="1"/>
  <c r="K150" i="3"/>
  <c r="J150" i="4" s="1"/>
  <c r="K149" i="3"/>
  <c r="J149" i="4" s="1"/>
  <c r="K148" i="3"/>
  <c r="J148" i="4" s="1"/>
  <c r="K147" i="3"/>
  <c r="J147" i="4" s="1"/>
  <c r="K146" i="3"/>
  <c r="J146" i="4" s="1"/>
  <c r="K145" i="3"/>
  <c r="J145" i="4" s="1"/>
  <c r="K144" i="3"/>
  <c r="J144" i="4" s="1"/>
  <c r="K143" i="3"/>
  <c r="J143" i="4" s="1"/>
  <c r="K142" i="3"/>
  <c r="J142" i="4" s="1"/>
  <c r="K141" i="3"/>
  <c r="J141" i="4" s="1"/>
  <c r="K140" i="3"/>
  <c r="J140" i="4" s="1"/>
  <c r="K139" i="3"/>
  <c r="J139" i="4" s="1"/>
  <c r="K138" i="3"/>
  <c r="J138" i="4" s="1"/>
  <c r="K137" i="3"/>
  <c r="J137" i="4" s="1"/>
  <c r="K136" i="3"/>
  <c r="J136" i="4" s="1"/>
  <c r="K135" i="3"/>
  <c r="J135" i="4" s="1"/>
  <c r="K134" i="3"/>
  <c r="J134" i="4" s="1"/>
  <c r="K133" i="3"/>
  <c r="J133" i="4" s="1"/>
  <c r="K132" i="3"/>
  <c r="J132" i="4" s="1"/>
  <c r="K131" i="3"/>
  <c r="J131" i="4" s="1"/>
  <c r="K130" i="3"/>
  <c r="J130" i="4" s="1"/>
  <c r="K129" i="3"/>
  <c r="J129" i="4" s="1"/>
  <c r="K128" i="3"/>
  <c r="J128" i="4" s="1"/>
  <c r="K127" i="3"/>
  <c r="J127" i="4" s="1"/>
  <c r="K126" i="3"/>
  <c r="J126" i="4" s="1"/>
  <c r="K125" i="3"/>
  <c r="J125" i="4" s="1"/>
  <c r="K124" i="3"/>
  <c r="J124" i="4" s="1"/>
  <c r="K123" i="3"/>
  <c r="J123" i="4" s="1"/>
  <c r="K122" i="3"/>
  <c r="J122" i="4" s="1"/>
  <c r="K121" i="3"/>
  <c r="J121" i="4" s="1"/>
  <c r="K120" i="3"/>
  <c r="J120" i="4" s="1"/>
  <c r="K119" i="3"/>
  <c r="J119" i="4" s="1"/>
  <c r="K118" i="3"/>
  <c r="J118" i="4" s="1"/>
  <c r="K117" i="3"/>
  <c r="J117" i="4" s="1"/>
  <c r="K116" i="3"/>
  <c r="J116" i="4" s="1"/>
  <c r="K115" i="3"/>
  <c r="J115" i="4" s="1"/>
  <c r="K114" i="3"/>
  <c r="J114" i="4" s="1"/>
  <c r="K113" i="3"/>
  <c r="J113" i="4" s="1"/>
  <c r="K112" i="3"/>
  <c r="J112" i="4" s="1"/>
  <c r="K111" i="3"/>
  <c r="J111" i="4" s="1"/>
  <c r="K110" i="3"/>
  <c r="J110" i="4" s="1"/>
  <c r="K109" i="3"/>
  <c r="J109" i="4" s="1"/>
  <c r="K108" i="3"/>
  <c r="J108" i="4" s="1"/>
  <c r="K107" i="3"/>
  <c r="J107" i="4" s="1"/>
  <c r="K106" i="3"/>
  <c r="J106" i="4" s="1"/>
  <c r="K105" i="3"/>
  <c r="J105" i="4" s="1"/>
  <c r="K104" i="3"/>
  <c r="J104" i="4" s="1"/>
  <c r="K103" i="3"/>
  <c r="J103" i="4" s="1"/>
  <c r="K102" i="3"/>
  <c r="J102" i="4" s="1"/>
  <c r="K101" i="3"/>
  <c r="J101" i="4" s="1"/>
  <c r="K100" i="3"/>
  <c r="J100" i="4" s="1"/>
  <c r="K99" i="3"/>
  <c r="J99" i="4" s="1"/>
  <c r="K98" i="3"/>
  <c r="J98" i="4" s="1"/>
  <c r="K97" i="3"/>
  <c r="J97" i="4" s="1"/>
  <c r="K96" i="3"/>
  <c r="J96" i="4" s="1"/>
  <c r="K95" i="3"/>
  <c r="J95" i="4" s="1"/>
  <c r="K94" i="3"/>
  <c r="J94" i="4" s="1"/>
  <c r="K93" i="3"/>
  <c r="J93" i="4" s="1"/>
  <c r="K92" i="3"/>
  <c r="J92" i="4" s="1"/>
  <c r="K91" i="3"/>
  <c r="J91" i="4" s="1"/>
  <c r="K90" i="3"/>
  <c r="J90" i="4" s="1"/>
  <c r="K89" i="3"/>
  <c r="J89" i="4" s="1"/>
  <c r="K88" i="3"/>
  <c r="J88" i="4" s="1"/>
  <c r="K87" i="3"/>
  <c r="J87" i="4" s="1"/>
  <c r="K86" i="3"/>
  <c r="J86" i="4" s="1"/>
  <c r="K85" i="3"/>
  <c r="J85" i="4" s="1"/>
  <c r="K84" i="3"/>
  <c r="J84" i="4" s="1"/>
  <c r="K83" i="3"/>
  <c r="J83" i="4" s="1"/>
  <c r="K82" i="3"/>
  <c r="J82" i="4" s="1"/>
  <c r="K81" i="3"/>
  <c r="J81" i="4" s="1"/>
  <c r="K80" i="3"/>
  <c r="J80" i="4" s="1"/>
  <c r="K79" i="3"/>
  <c r="J79" i="4" s="1"/>
  <c r="K78" i="3"/>
  <c r="J78" i="4" s="1"/>
  <c r="K77" i="3"/>
  <c r="J77" i="4" s="1"/>
  <c r="K76" i="3"/>
  <c r="J76" i="4" s="1"/>
  <c r="K75" i="3"/>
  <c r="J75" i="4" s="1"/>
  <c r="K74" i="3"/>
  <c r="J74" i="4" s="1"/>
  <c r="K73" i="3"/>
  <c r="J73" i="4" s="1"/>
  <c r="K72" i="3"/>
  <c r="J72" i="4" s="1"/>
  <c r="K71" i="3"/>
  <c r="J71" i="4" s="1"/>
  <c r="K70" i="3"/>
  <c r="J70" i="4" s="1"/>
  <c r="K69" i="3"/>
  <c r="J69" i="4" s="1"/>
  <c r="K68" i="3"/>
  <c r="J68" i="4" s="1"/>
  <c r="K67" i="3"/>
  <c r="J67" i="4" s="1"/>
  <c r="K66" i="3"/>
  <c r="J66" i="4" s="1"/>
  <c r="K65" i="3"/>
  <c r="J65" i="4" s="1"/>
  <c r="K64" i="3"/>
  <c r="J64" i="4" s="1"/>
  <c r="K63" i="3"/>
  <c r="J63" i="4" s="1"/>
  <c r="K62" i="3"/>
  <c r="J62" i="4" s="1"/>
  <c r="K61" i="3"/>
  <c r="J61" i="4" s="1"/>
  <c r="K60" i="3"/>
  <c r="J60" i="4" s="1"/>
  <c r="K59" i="3"/>
  <c r="J59" i="4" s="1"/>
  <c r="K58" i="3"/>
  <c r="J58" i="4" s="1"/>
  <c r="K57" i="3"/>
  <c r="J57" i="4" s="1"/>
  <c r="K56" i="3"/>
  <c r="J56" i="4" s="1"/>
  <c r="K55" i="3"/>
  <c r="J55" i="4" s="1"/>
  <c r="K54" i="3"/>
  <c r="J54" i="4" s="1"/>
  <c r="K53" i="3"/>
  <c r="J53" i="4" s="1"/>
  <c r="K52" i="3"/>
  <c r="J52" i="4" s="1"/>
  <c r="K51" i="3"/>
  <c r="J51" i="4" s="1"/>
  <c r="K50" i="3"/>
  <c r="J50" i="4" s="1"/>
  <c r="K49" i="3"/>
  <c r="J49" i="4" s="1"/>
  <c r="K48" i="3"/>
  <c r="J48" i="4" s="1"/>
  <c r="K47" i="3"/>
  <c r="J47" i="4" s="1"/>
  <c r="K46" i="3"/>
  <c r="J46" i="4" s="1"/>
  <c r="K45" i="3"/>
  <c r="J45" i="4" s="1"/>
  <c r="K44" i="3"/>
  <c r="J44" i="4" s="1"/>
  <c r="K43" i="3"/>
  <c r="J43" i="4" s="1"/>
  <c r="K42" i="3"/>
  <c r="J42" i="4" s="1"/>
  <c r="K41" i="3"/>
  <c r="J41" i="4" s="1"/>
  <c r="K40" i="3"/>
  <c r="J40" i="4" s="1"/>
  <c r="K39" i="3"/>
  <c r="J39" i="4" s="1"/>
  <c r="K38" i="3"/>
  <c r="J38" i="4" s="1"/>
  <c r="K37" i="3"/>
  <c r="J37" i="4" s="1"/>
  <c r="K36" i="3"/>
  <c r="J36" i="4" s="1"/>
  <c r="K35" i="3"/>
  <c r="J35" i="4" s="1"/>
  <c r="K34" i="3"/>
  <c r="J34" i="4" s="1"/>
  <c r="K33" i="3"/>
  <c r="J33" i="4" s="1"/>
  <c r="K32" i="3"/>
  <c r="J32" i="4" s="1"/>
  <c r="K31" i="3"/>
  <c r="J31" i="4" s="1"/>
  <c r="K30" i="3"/>
  <c r="J30" i="4" s="1"/>
  <c r="K29" i="3"/>
  <c r="J29" i="4" s="1"/>
  <c r="K28" i="3"/>
  <c r="J28" i="4" s="1"/>
  <c r="K27" i="3"/>
  <c r="J27" i="4" s="1"/>
  <c r="K26" i="3"/>
  <c r="J26" i="4" s="1"/>
  <c r="K25" i="3"/>
  <c r="J25" i="4" s="1"/>
  <c r="K24" i="3"/>
  <c r="J24" i="4" s="1"/>
  <c r="K23" i="3"/>
  <c r="J23" i="4" s="1"/>
  <c r="K22" i="3"/>
  <c r="J22" i="4" s="1"/>
  <c r="K21" i="3"/>
  <c r="J21" i="4" s="1"/>
  <c r="K20" i="3"/>
  <c r="J20" i="4" s="1"/>
  <c r="K19" i="3"/>
  <c r="J19" i="4" s="1"/>
  <c r="K18" i="3"/>
  <c r="J18" i="4" s="1"/>
  <c r="K17" i="3"/>
  <c r="J17" i="4" s="1"/>
  <c r="K16" i="3"/>
  <c r="J16" i="4" s="1"/>
  <c r="K15" i="3"/>
  <c r="J15" i="4" s="1"/>
  <c r="K14" i="3"/>
  <c r="J14" i="4" s="1"/>
  <c r="K13" i="3"/>
  <c r="J13" i="4" s="1"/>
  <c r="K12" i="3"/>
  <c r="J12" i="4" s="1"/>
  <c r="K11" i="3"/>
  <c r="J11" i="4" s="1"/>
  <c r="K10" i="3"/>
  <c r="J10" i="4" s="1"/>
  <c r="K9" i="3"/>
  <c r="J9" i="4" s="1"/>
  <c r="K8" i="3"/>
  <c r="J8" i="4" s="1"/>
  <c r="K7" i="3"/>
  <c r="J7" i="4" s="1"/>
  <c r="K6" i="3"/>
  <c r="J6" i="4" s="1"/>
  <c r="K5" i="3"/>
  <c r="J5" i="4" s="1"/>
  <c r="K4" i="3"/>
  <c r="J4" i="4" s="1"/>
  <c r="K3" i="3"/>
  <c r="J3" i="4" s="1"/>
  <c r="K2" i="3"/>
  <c r="J2" i="4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I6" i="3" l="1"/>
  <c r="G6" i="4" s="1"/>
  <c r="I7" i="3" l="1"/>
  <c r="G7" i="4" s="1"/>
  <c r="I8" i="3" l="1"/>
  <c r="G8" i="4" s="1"/>
  <c r="B5" i="5"/>
  <c r="A15" i="7"/>
  <c r="B5" i="2"/>
  <c r="B2" i="7" l="1"/>
  <c r="B5" i="13"/>
  <c r="I9" i="3"/>
  <c r="B13" i="7"/>
  <c r="B6" i="7"/>
  <c r="B5" i="7"/>
  <c r="G9" i="4" l="1"/>
  <c r="I10" i="3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l="1"/>
  <c r="I19" i="3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B14" i="7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Q17" i="1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I426" i="3"/>
  <c r="I427" i="3" l="1"/>
  <c r="G426" i="4"/>
  <c r="B13" i="2" s="1"/>
</calcChain>
</file>

<file path=xl/sharedStrings.xml><?xml version="1.0" encoding="utf-8"?>
<sst xmlns="http://schemas.openxmlformats.org/spreadsheetml/2006/main" count="7318" uniqueCount="984">
  <si>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</si>
  <si>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</si>
  <si>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</si>
  <si>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</si>
  <si>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</si>
  <si>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</si>
  <si>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</si>
  <si>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</si>
  <si>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</si>
  <si>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</si>
  <si>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</si>
  <si>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</si>
  <si>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</si>
  <si>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</si>
  <si>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</si>
  <si>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</si>
  <si>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</si>
  <si>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</si>
  <si>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</si>
  <si>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</si>
  <si>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</si>
  <si>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</si>
  <si>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</si>
  <si>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</si>
  <si>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</si>
  <si>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</si>
  <si>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</si>
  <si>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</si>
  <si>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</si>
  <si>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</si>
  <si>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</si>
  <si>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</si>
  <si>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</si>
  <si>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</si>
  <si>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</si>
  <si>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</si>
  <si>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</si>
  <si>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</si>
  <si>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</si>
  <si>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</si>
  <si>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</si>
  <si>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</si>
  <si>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</si>
  <si>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</si>
  <si>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</si>
  <si>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</si>
  <si>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</si>
  <si>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</si>
  <si>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</si>
  <si>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</si>
  <si>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</si>
  <si>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</si>
  <si>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</si>
  <si>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</si>
  <si>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</si>
  <si>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</si>
  <si>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</si>
  <si>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</si>
  <si>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</si>
  <si>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</si>
  <si>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</si>
  <si>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</si>
  <si>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</si>
  <si>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</si>
  <si>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</si>
  <si>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</si>
  <si>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</si>
  <si>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</si>
  <si>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</si>
  <si>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</si>
  <si>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</si>
  <si>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</si>
  <si>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</si>
  <si>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</si>
  <si>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</si>
  <si>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</si>
  <si>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</si>
  <si>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</si>
  <si>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</si>
  <si>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</si>
  <si>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</si>
  <si>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</si>
  <si>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</si>
  <si>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</si>
  <si>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</si>
  <si>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</si>
  <si>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</si>
  <si>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</si>
  <si>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</si>
  <si>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</si>
  <si>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</si>
  <si>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</si>
  <si>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</si>
  <si>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</si>
  <si>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</si>
  <si>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</si>
  <si>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</si>
  <si>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</si>
  <si>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</si>
  <si>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</si>
  <si>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</si>
  <si>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</si>
  <si>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</si>
  <si>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</si>
  <si>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</si>
  <si>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</si>
  <si>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</si>
  <si>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</si>
  <si>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</si>
  <si>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</si>
  <si>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</si>
  <si>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</si>
  <si>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</si>
  <si>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</si>
  <si>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</si>
  <si>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</si>
  <si>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</si>
  <si>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</si>
  <si>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</si>
  <si>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</si>
  <si>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</si>
  <si>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</si>
  <si>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</si>
  <si>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</si>
  <si>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</si>
  <si>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</si>
  <si>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</si>
  <si>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</si>
  <si>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</si>
  <si>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</si>
  <si>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</si>
  <si>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</si>
  <si>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</si>
  <si>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</si>
  <si>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</si>
  <si>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</si>
  <si>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</si>
  <si>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</si>
  <si>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</si>
  <si>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</si>
  <si>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</si>
  <si>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</si>
  <si>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</si>
  <si>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</si>
  <si>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</si>
  <si>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</si>
  <si>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</si>
  <si>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</si>
  <si>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</si>
  <si>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</si>
  <si>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</si>
  <si>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</si>
  <si>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</si>
  <si>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</si>
  <si>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</si>
  <si>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</si>
  <si>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</si>
  <si>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</si>
  <si>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</si>
  <si>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</si>
  <si>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</si>
  <si>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</si>
  <si>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</si>
  <si>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</si>
  <si>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</si>
  <si>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</si>
  <si>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</si>
  <si>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</si>
  <si>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</si>
  <si>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</si>
  <si>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</si>
  <si>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</si>
  <si>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</si>
  <si>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</si>
  <si>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</si>
  <si>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</si>
  <si>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</si>
  <si>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</si>
  <si>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</si>
  <si>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</si>
  <si>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</si>
  <si>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</si>
  <si>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</si>
  <si>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</si>
  <si>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</si>
  <si>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</si>
  <si>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</si>
  <si>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</si>
  <si>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</si>
  <si>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</si>
  <si>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</si>
  <si>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</si>
  <si>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</si>
  <si>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</si>
  <si>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</si>
  <si>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</si>
  <si>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</si>
  <si>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</si>
  <si>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</si>
  <si>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</si>
  <si>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</si>
  <si>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</si>
  <si>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</si>
  <si>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</si>
  <si>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</si>
  <si>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</si>
  <si>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</si>
  <si>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</si>
  <si>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</si>
  <si>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</si>
  <si>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</si>
  <si>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</si>
  <si>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</si>
  <si>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</si>
  <si>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</si>
  <si>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</si>
  <si>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</si>
  <si>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</si>
  <si>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</si>
  <si>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</si>
  <si>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</si>
  <si>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</si>
  <si>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</si>
  <si>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</si>
  <si>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</si>
  <si>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</si>
  <si>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</si>
  <si>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</si>
  <si>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</si>
  <si>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</si>
  <si>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</si>
  <si>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</si>
  <si>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</si>
  <si>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</si>
  <si>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</si>
  <si>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</si>
  <si>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</si>
  <si>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</si>
  <si>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</si>
  <si>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</si>
  <si>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</si>
  <si>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</si>
  <si>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</si>
  <si>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</si>
  <si>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</si>
  <si>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</si>
  <si>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</si>
  <si>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</si>
  <si>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</si>
  <si>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</si>
  <si>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</si>
  <si>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</si>
  <si>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</si>
  <si>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</si>
  <si>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</si>
  <si>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</si>
  <si>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</si>
  <si>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</si>
  <si>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</si>
  <si>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</si>
  <si>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</si>
  <si>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</si>
  <si>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</si>
  <si>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</si>
  <si>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</si>
  <si>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</si>
  <si>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</si>
  <si>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</si>
  <si>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</si>
  <si>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</si>
  <si>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</si>
  <si>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</si>
  <si>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</si>
  <si>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</si>
  <si>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</si>
  <si>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</si>
  <si>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</si>
  <si>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</si>
  <si>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</si>
  <si>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</si>
  <si>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</si>
  <si>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</si>
  <si>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</si>
  <si>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</si>
  <si>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</si>
  <si>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</si>
  <si>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</si>
  <si>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</si>
  <si>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</si>
  <si>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</si>
  <si>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</si>
  <si>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</si>
  <si>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</si>
  <si>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</si>
  <si>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</si>
  <si>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</si>
  <si>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</si>
  <si>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</si>
  <si>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</si>
  <si>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</si>
  <si>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</si>
  <si>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</si>
  <si>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</si>
  <si>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</si>
  <si>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</si>
  <si>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</si>
  <si>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</si>
  <si>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</si>
  <si>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</si>
  <si>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</si>
  <si>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</si>
  <si>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</si>
  <si>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</si>
  <si>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</si>
  <si>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</si>
  <si>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</si>
  <si>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</si>
  <si>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</si>
  <si>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</si>
  <si>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</si>
  <si>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</si>
  <si>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</si>
  <si>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</si>
  <si>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</si>
  <si>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</si>
  <si>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</si>
  <si>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</si>
  <si>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</si>
  <si>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</si>
  <si>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</si>
  <si>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</si>
  <si>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</si>
  <si>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</si>
  <si>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</si>
  <si>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</si>
  <si>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</si>
  <si>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</si>
  <si>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</si>
  <si>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</si>
  <si>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</si>
  <si>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</si>
  <si>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</si>
  <si>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</si>
  <si>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</si>
  <si>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</si>
  <si>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</si>
  <si>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</si>
  <si>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</si>
  <si>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</si>
  <si>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</si>
  <si>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</si>
  <si>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</si>
  <si>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</si>
  <si>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</si>
  <si>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</si>
  <si>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</si>
  <si>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</si>
  <si>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</si>
  <si>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</si>
  <si>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</si>
  <si>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</si>
  <si>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</si>
  <si>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</si>
  <si>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</si>
  <si>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</si>
  <si>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</si>
  <si>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</si>
  <si>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</si>
  <si>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</si>
  <si>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</si>
  <si>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</si>
  <si>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</si>
  <si>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</si>
  <si>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</si>
  <si>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</si>
  <si>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</si>
  <si>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</si>
  <si>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</si>
  <si>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</si>
  <si>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</si>
  <si>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</si>
  <si>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</si>
  <si>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</si>
  <si>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</si>
  <si>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</si>
  <si>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</si>
  <si>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</si>
  <si>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</si>
  <si>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</si>
  <si>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</si>
  <si>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</si>
  <si>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</si>
  <si>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</si>
  <si>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</si>
  <si>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</si>
  <si>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</si>
  <si>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</si>
  <si>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</si>
  <si>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</si>
  <si>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</si>
  <si>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</si>
  <si>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</si>
  <si>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</si>
  <si>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</si>
  <si>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</si>
  <si>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</si>
  <si>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</si>
  <si>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</si>
  <si>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</si>
  <si>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</si>
  <si>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</si>
  <si>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</si>
  <si>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</si>
  <si>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</si>
  <si>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</si>
  <si>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</si>
  <si>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</si>
  <si>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</si>
  <si>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</si>
  <si>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</si>
  <si>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</si>
  <si>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</si>
  <si>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</si>
  <si>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</si>
  <si>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</si>
  <si>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</si>
  <si>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</si>
  <si>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</si>
  <si>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</si>
  <si>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</si>
  <si>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</si>
  <si>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</si>
  <si>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</si>
  <si>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</si>
  <si>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</si>
  <si>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</si>
  <si>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</si>
  <si>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</si>
  <si>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</si>
  <si>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</si>
  <si>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</si>
  <si>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</si>
  <si>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</si>
  <si>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</si>
  <si>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</si>
  <si>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</si>
  <si>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</si>
  <si>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</si>
  <si>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</si>
  <si>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</si>
  <si>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</si>
  <si>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</si>
  <si>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</si>
  <si>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</si>
  <si>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</si>
  <si>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</si>
  <si>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</si>
  <si>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</si>
  <si>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</si>
  <si>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</si>
  <si>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</si>
  <si>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</si>
  <si>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</si>
  <si>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</si>
  <si>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</si>
  <si>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</si>
  <si>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</si>
  <si>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</si>
  <si>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</si>
  <si>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</si>
  <si>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</si>
  <si>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</si>
  <si>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</si>
  <si>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</si>
  <si>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</si>
  <si>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</si>
  <si>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</si>
  <si>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</si>
  <si>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</si>
  <si>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</si>
  <si>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</si>
  <si>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</si>
  <si>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</si>
  <si>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</si>
  <si>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</si>
  <si>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</si>
  <si>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</si>
  <si>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</si>
  <si>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</si>
  <si>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</si>
  <si>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</si>
  <si>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</si>
  <si>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</si>
  <si>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</si>
  <si>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</si>
  <si>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</si>
  <si>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</si>
  <si>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</si>
  <si>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</si>
  <si>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</si>
  <si>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</si>
  <si>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</si>
  <si>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</si>
  <si>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</si>
  <si>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</si>
  <si>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</si>
  <si>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</si>
  <si>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</si>
  <si>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</si>
  <si>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</si>
  <si>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</si>
  <si>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</si>
  <si>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</si>
  <si>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</si>
  <si>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</si>
  <si>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</si>
  <si>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</si>
  <si>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</si>
  <si>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</si>
  <si>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</si>
  <si>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</si>
  <si>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</si>
  <si>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</si>
  <si>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</si>
  <si>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</si>
  <si>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</si>
  <si>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</si>
  <si>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</si>
  <si>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</si>
  <si>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</si>
  <si>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</si>
  <si>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</si>
  <si>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</si>
  <si>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</si>
  <si>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</si>
  <si>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</si>
  <si>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</si>
  <si>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</si>
  <si>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</si>
  <si>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</si>
  <si>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</si>
  <si>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</si>
  <si>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</si>
  <si>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</si>
  <si>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</si>
  <si>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</si>
  <si>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</si>
  <si>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</si>
  <si>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</si>
  <si>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</si>
  <si>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</si>
  <si>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</si>
  <si>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</si>
  <si>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</si>
  <si>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</si>
  <si>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</si>
  <si>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</si>
  <si>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</si>
  <si>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</si>
  <si>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</si>
  <si>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</si>
  <si>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</si>
  <si>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</si>
  <si>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</si>
  <si>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</si>
  <si>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</si>
  <si>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</si>
  <si>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</si>
  <si>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</si>
  <si>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</si>
  <si>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</si>
  <si>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</si>
  <si>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</si>
  <si>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</si>
  <si>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</si>
  <si>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</si>
  <si>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</si>
  <si>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</si>
  <si>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</si>
  <si>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</si>
  <si>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</si>
  <si>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</si>
  <si>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</si>
  <si>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</si>
  <si>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</si>
  <si>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</si>
  <si>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</si>
  <si>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</si>
  <si>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</si>
  <si>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</si>
  <si>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</si>
  <si>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</si>
  <si>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</si>
  <si>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</si>
  <si>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</si>
  <si>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</si>
  <si>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</si>
  <si>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</si>
  <si>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</si>
  <si>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</si>
  <si>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</si>
  <si>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</si>
  <si>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</si>
  <si>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</si>
  <si>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</si>
  <si>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</si>
  <si>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</si>
  <si>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</si>
  <si>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</si>
  <si>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</si>
  <si>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</si>
  <si>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</si>
  <si>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</si>
  <si>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</si>
  <si>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</si>
  <si>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</si>
  <si>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</si>
  <si>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</si>
  <si>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</si>
  <si>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</si>
  <si>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</si>
  <si>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</si>
  <si>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</si>
  <si>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</si>
  <si>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</si>
  <si>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</si>
  <si>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</si>
  <si>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</si>
  <si>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</si>
  <si>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</si>
  <si>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</si>
  <si>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</si>
  <si>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</si>
  <si>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</si>
  <si>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</si>
  <si>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</si>
  <si>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</si>
  <si>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</si>
  <si>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</si>
  <si>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</si>
  <si>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</si>
  <si>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</si>
  <si>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</si>
  <si>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</si>
  <si>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</si>
  <si>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</si>
  <si>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</si>
  <si>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</si>
  <si>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</si>
  <si>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</si>
  <si>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</si>
  <si>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</si>
  <si>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</si>
  <si>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</si>
  <si>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</si>
  <si>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</si>
  <si>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</si>
  <si>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</si>
  <si>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</si>
  <si>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</si>
  <si>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</si>
  <si>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</si>
  <si>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</si>
  <si>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</si>
  <si>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</si>
  <si>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</si>
  <si>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</si>
  <si>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</si>
  <si>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</si>
  <si>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</si>
  <si>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</si>
  <si>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</si>
  <si>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</si>
  <si>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</si>
  <si>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</si>
  <si>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</si>
  <si>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</si>
  <si>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</si>
  <si>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</si>
  <si>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</si>
  <si>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</si>
  <si>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</si>
  <si>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</si>
  <si>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</si>
  <si>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</si>
  <si>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</si>
  <si>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</si>
  <si>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</si>
  <si>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</si>
  <si>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</si>
  <si>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</si>
  <si>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</si>
  <si>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</si>
  <si>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</si>
  <si>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</si>
  <si>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</si>
  <si>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</si>
  <si>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</si>
  <si>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</si>
  <si>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</si>
  <si>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</si>
  <si>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</si>
  <si>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</si>
  <si>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</si>
  <si>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</si>
  <si>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</si>
  <si>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</si>
  <si>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</si>
  <si>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</si>
  <si>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</si>
  <si>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</si>
  <si>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</si>
  <si>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</si>
  <si>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</si>
  <si>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</si>
  <si>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</si>
  <si>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</si>
  <si>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</si>
  <si>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</si>
  <si>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</si>
  <si>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</si>
  <si>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</si>
  <si>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</si>
  <si>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</si>
  <si>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</si>
  <si>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</si>
  <si>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</si>
  <si>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</si>
  <si>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</si>
  <si>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</si>
  <si>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</si>
  <si>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</si>
  <si>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</si>
  <si>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</si>
  <si>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</si>
  <si>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</si>
  <si>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</si>
  <si>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</si>
  <si>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</si>
  <si>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</si>
  <si>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</si>
  <si>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</si>
  <si>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</si>
  <si>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</si>
  <si>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</si>
  <si>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</si>
  <si>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</si>
  <si>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</si>
  <si>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</si>
  <si>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</si>
  <si>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</si>
  <si>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</si>
  <si>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</si>
  <si>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</si>
  <si>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</si>
  <si>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</si>
  <si>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</si>
  <si>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</si>
  <si>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</si>
  <si>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</si>
  <si>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</si>
  <si>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</si>
  <si>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</si>
  <si>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</si>
  <si>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</si>
  <si>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</si>
  <si>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</si>
  <si>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</si>
  <si>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</si>
  <si>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</si>
  <si>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</si>
  <si>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</si>
  <si>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</si>
  <si>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</si>
  <si>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</si>
  <si>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</si>
  <si>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</si>
  <si>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</si>
  <si>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</si>
  <si>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</si>
  <si>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</si>
  <si>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</si>
  <si>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</si>
  <si>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</si>
  <si>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</si>
  <si>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</si>
  <si>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</si>
  <si>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</si>
  <si>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</si>
  <si>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</si>
  <si>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</si>
  <si>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</si>
  <si>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</si>
  <si>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</si>
  <si>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</si>
  <si>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</si>
  <si>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</si>
  <si>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</si>
  <si>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</si>
  <si>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</si>
  <si>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</si>
  <si>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</si>
  <si>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</si>
  <si>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</si>
  <si>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</si>
  <si>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</si>
  <si>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</si>
  <si>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</si>
  <si>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</si>
  <si>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</si>
  <si>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</si>
  <si>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</si>
  <si>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</si>
  <si>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</si>
  <si>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</si>
  <si>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</si>
  <si>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</si>
  <si>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</si>
  <si>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</si>
  <si>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</si>
  <si>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</si>
  <si>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</si>
  <si>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</si>
  <si>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</si>
  <si>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</si>
  <si>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</si>
  <si>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</si>
  <si>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</si>
  <si>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</si>
  <si>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</si>
  <si>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</si>
  <si>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</si>
  <si>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</si>
  <si>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</si>
  <si>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</si>
  <si>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</si>
  <si>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</si>
  <si>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</si>
  <si>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</si>
  <si>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</si>
  <si>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</si>
  <si>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</si>
  <si>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</si>
  <si>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</si>
  <si>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</si>
  <si>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</si>
  <si>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</si>
  <si>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</si>
  <si>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</si>
  <si>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</si>
  <si>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</si>
  <si>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</si>
  <si>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</si>
  <si>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</si>
  <si>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</si>
  <si>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</si>
  <si>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</si>
  <si>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</si>
  <si>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</si>
  <si>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</si>
  <si>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</si>
  <si>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</si>
  <si>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</si>
  <si>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</si>
  <si>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</si>
  <si>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</si>
  <si>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</si>
  <si>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</si>
  <si>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</si>
  <si>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</si>
  <si>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</si>
  <si>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</si>
  <si>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</si>
  <si>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</si>
  <si>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</si>
  <si>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</si>
  <si>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</si>
  <si>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</si>
  <si>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</si>
  <si>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</si>
  <si>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</si>
  <si>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</si>
  <si>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</si>
  <si>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</si>
  <si>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</si>
  <si>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</si>
  <si>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</si>
  <si>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</si>
  <si>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</si>
  <si>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</si>
  <si>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</si>
  <si>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</si>
  <si>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</si>
  <si>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</si>
  <si>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</si>
  <si>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</si>
  <si>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</si>
  <si>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</si>
  <si>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</si>
  <si>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</si>
  <si>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</si>
  <si>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</si>
  <si>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</si>
  <si>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</si>
  <si>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</si>
  <si>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</si>
  <si>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</si>
  <si>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</si>
  <si>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</si>
  <si>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</si>
  <si>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</si>
  <si>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</si>
  <si>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</si>
  <si>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</si>
  <si>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</si>
  <si>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</si>
  <si>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</si>
  <si>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</si>
  <si>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</si>
  <si>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</si>
  <si>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</si>
  <si>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</si>
  <si>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</si>
  <si>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</si>
  <si>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</si>
  <si>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</si>
  <si>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</si>
  <si>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</si>
  <si>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</si>
  <si>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</si>
  <si>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</si>
  <si>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</si>
  <si>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</si>
  <si>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</si>
  <si>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</si>
  <si>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</si>
  <si>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</si>
  <si>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</si>
  <si>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</si>
  <si>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</si>
  <si>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</si>
  <si>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</si>
  <si>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</si>
  <si>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</si>
  <si>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Customer ID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</si>
  <si>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</si>
  <si>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</si>
  <si>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</si>
  <si>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</si>
  <si>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</si>
  <si>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</si>
  <si>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</si>
  <si>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</si>
  <si>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</si>
  <si>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</si>
  <si>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</si>
  <si>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</si>
  <si>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</si>
  <si>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</si>
  <si>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</si>
  <si>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</si>
  <si>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</si>
  <si>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</si>
  <si>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</si>
  <si>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</si>
  <si>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</si>
  <si>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</si>
  <si>
    <t>Sup-ID</t>
  </si>
  <si>
    <t>Cust-ID</t>
  </si>
  <si>
    <t>Cust-01</t>
  </si>
  <si>
    <t>Cust-02</t>
  </si>
  <si>
    <t>ABC124</t>
  </si>
  <si>
    <t>Cust-03</t>
  </si>
  <si>
    <t>ABC125</t>
  </si>
  <si>
    <t>Supplier-ID:</t>
  </si>
  <si>
    <t>Customer-ID:</t>
  </si>
  <si>
    <t>Customer ID:</t>
  </si>
  <si>
    <t>Customer Name:</t>
  </si>
  <si>
    <t>Supplier ID:</t>
  </si>
  <si>
    <t>Supplier Name:</t>
  </si>
  <si>
    <t>Cust-04</t>
  </si>
  <si>
    <t>New Customer</t>
  </si>
  <si>
    <t>Sup-01</t>
  </si>
  <si>
    <t>Gurunanak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</si>
</sst>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7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1"/>
      <color rgb="FF000000"/>
      <name val="Calibri Light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theme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0" fontId="22" fillId="0" borderId="0" xfId="0" applyFont="1"/>
    <xf numFmtId="0" fontId="19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3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21" fillId="0" borderId="1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3" xfId="0" applyFont="1" applyBorder="1" applyAlignment="1">
      <alignment horizontal="left" vertical="center"/>
    </xf>
    <xf numFmtId="42" fontId="15" fillId="0" borderId="13" xfId="0" applyNumberFormat="1" applyFont="1" applyBorder="1" applyAlignment="1">
      <alignment horizontal="center" vertical="center"/>
    </xf>
    <xf numFmtId="14" fontId="15" fillId="0" borderId="13" xfId="0" applyNumberFormat="1" applyFont="1" applyBorder="1" applyAlignment="1">
      <alignment horizontal="center" vertical="center"/>
    </xf>
    <xf numFmtId="42" fontId="21" fillId="0" borderId="14" xfId="0" applyNumberFormat="1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left" vertical="center"/>
    </xf>
    <xf numFmtId="42" fontId="15" fillId="0" borderId="10" xfId="0" applyNumberFormat="1" applyFont="1" applyBorder="1" applyAlignment="1">
      <alignment horizontal="center" vertical="center"/>
    </xf>
    <xf numFmtId="14" fontId="15" fillId="0" borderId="10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14" fillId="6" borderId="15" xfId="0" applyFont="1" applyFill="1" applyBorder="1" applyAlignment="1">
      <alignment horizontal="center" vertical="center"/>
    </xf>
    <xf numFmtId="42" fontId="14" fillId="6" borderId="15" xfId="0" applyNumberFormat="1" applyFont="1" applyFill="1" applyBorder="1" applyAlignment="1">
      <alignment horizontal="center" vertical="center"/>
    </xf>
    <xf numFmtId="14" fontId="14" fillId="6" borderId="15" xfId="0" applyNumberFormat="1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left" vertical="center"/>
    </xf>
    <xf numFmtId="42" fontId="15" fillId="9" borderId="2" xfId="0" applyNumberFormat="1" applyFont="1" applyFill="1" applyBorder="1" applyAlignment="1">
      <alignment horizontal="center" vertical="center"/>
    </xf>
    <xf numFmtId="14" fontId="15" fillId="9" borderId="2" xfId="0" applyNumberFormat="1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42" fontId="15" fillId="0" borderId="16" xfId="0" applyNumberFormat="1" applyFont="1" applyBorder="1" applyAlignment="1">
      <alignment horizontal="center" vertical="center"/>
    </xf>
    <xf numFmtId="14" fontId="15" fillId="0" borderId="16" xfId="0" applyNumberFormat="1" applyFont="1" applyBorder="1" applyAlignment="1">
      <alignment horizontal="center" vertical="center"/>
    </xf>
    <xf numFmtId="0" fontId="15" fillId="9" borderId="16" xfId="0" applyFont="1" applyFill="1" applyBorder="1" applyAlignment="1">
      <alignment horizontal="left" vertical="center"/>
    </xf>
    <xf numFmtId="42" fontId="15" fillId="9" borderId="16" xfId="0" applyNumberFormat="1" applyFont="1" applyFill="1" applyBorder="1" applyAlignment="1">
      <alignment horizontal="center" vertical="center"/>
    </xf>
    <xf numFmtId="14" fontId="15" fillId="9" borderId="16" xfId="0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 applyProtection="1">
      <alignment horizontal="right"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 applyProtection="1">
      <alignment horizontal="center" vertical="top"/>
      <protection hidden="1"/>
    </xf>
    <xf numFmtId="0" fontId="0" fillId="2" borderId="8" xfId="0" applyFill="1" applyBorder="1" applyAlignment="1">
      <alignment horizontal="center"/>
    </xf>
    <xf numFmtId="15" fontId="18" fillId="0" borderId="2" xfId="0" applyNumberFormat="1" applyFont="1" applyBorder="1" applyAlignment="1">
      <alignment horizontal="left"/>
    </xf>
    <xf numFmtId="167" fontId="18" fillId="0" borderId="2" xfId="1" applyNumberFormat="1" applyFont="1" applyFill="1" applyBorder="1" applyAlignment="1">
      <alignment horizontal="center"/>
    </xf>
    <xf numFmtId="15" fontId="1" fillId="0" borderId="10" xfId="0" applyNumberFormat="1" applyFont="1" applyBorder="1" applyAlignment="1">
      <alignment horizontal="left"/>
    </xf>
    <xf numFmtId="167" fontId="1" fillId="0" borderId="10" xfId="1" applyNumberFormat="1" applyFont="1" applyFill="1" applyBorder="1" applyAlignment="1">
      <alignment horizont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5" fillId="2" borderId="3" xfId="0" applyNumberFormat="1" applyFont="1" applyFill="1" applyBorder="1" applyAlignment="1" applyProtection="1">
      <alignment horizontal="left" vertical="center"/>
      <protection locked="0"/>
    </xf>
    <xf numFmtId="0" fontId="25" fillId="2" borderId="1" xfId="0" applyFont="1" applyFill="1" applyBorder="1" applyAlignment="1" applyProtection="1">
      <alignment horizontal="left" vertical="center"/>
      <protection locked="0"/>
    </xf>
    <xf numFmtId="15" fontId="26" fillId="2" borderId="3" xfId="0" applyNumberFormat="1" applyFont="1" applyFill="1" applyBorder="1" applyAlignment="1" applyProtection="1">
      <alignment horizontal="left" vertical="center"/>
      <protection locked="0"/>
    </xf>
    <xf numFmtId="0" fontId="26" fillId="2" borderId="1" xfId="0" applyFont="1" applyFill="1" applyBorder="1" applyAlignment="1" applyProtection="1">
      <alignment horizontal="left" vertical="center"/>
      <protection locked="0"/>
    </xf>
  </cellXfs>
  <cellStyles count="3">
    <cellStyle name="Currency" xfId="2" builtinId="4"/>
    <cellStyle name="Normal" xfId="0" builtinId="0"/>
    <cellStyle name="Normal 5" xfId="1"/>
  </cellStyles>
  <dxfs count="38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0000EE"/>
      <color rgb="FFFFFF99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41" name="reportFor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19374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BGD CHICKEE SESAME 100G X10PCS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1849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18879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$47,449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$47,449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7.083630671295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5">
        <s v="Bottled"/>
        <s v="Plastic"/>
        <s v="Special"/>
        <s v="Latest"/>
        <s v="Bottles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SemiMixedTypes="0" containsNonDate="0" containsDate="1" containsString="0" minDate="2020-03-23T00:00:00" maxDate="2022-07-20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35"/>
    <n v="87.5"/>
  </r>
  <r>
    <n v="4"/>
    <s v="B1"/>
    <s v="BDM SARSON KA SAAG TIN 800GX12"/>
    <s v="Food"/>
    <x v="0"/>
    <n v="10"/>
    <d v="2020-03-29T00:00:00"/>
    <n v="25"/>
    <n v="27"/>
    <n v="6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15"/>
    <n v="37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7"/>
    <n v="17.5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13"/>
    <n v="32.5"/>
  </r>
  <r>
    <n v="107"/>
    <s v="F6"/>
    <s v="FARINA LAILA LIGHT MED 20 KG X 1"/>
    <s v="Food"/>
    <x v="1"/>
    <n v="10"/>
    <d v="2020-10-21T00:00:00"/>
    <n v="25"/>
    <n v="58"/>
    <n v="145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30"/>
    <n v="75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67"/>
    <n v="184.6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87"/>
    <n v="217.5"/>
  </r>
  <r>
    <n v="152"/>
    <s v="HD42"/>
    <s v="HR NAVRATAN 200 G X 10"/>
    <s v="Food"/>
    <x v="1"/>
    <n v="10"/>
    <d v="2021-01-19T00:00:00"/>
    <n v="25"/>
    <n v="35"/>
    <n v="87.5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13"/>
    <n v="-7.7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89"/>
    <n v="222.5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9"/>
    <n v="22.5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50"/>
    <n v="125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10"/>
    <n v="34.06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2"/>
    <n v="17.920000000000002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12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d v="2022-07-19T00:00:00"/>
    <n v="25"/>
    <n v="55"/>
    <n v="137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4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0"/>
        <item x="4"/>
        <item x="3"/>
        <item x="1"/>
        <item x="2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430" totalsRowShown="0" headerRowDxfId="36" dataDxfId="35">
  <tableColumns count="11">
    <tableColumn id="1" name="S No." dataDxfId="10"/>
    <tableColumn id="2" name="Date" dataDxfId="9"/>
    <tableColumn id="11" name="Supplier ID" dataDxfId="8"/>
    <tableColumn id="10" name="Supplier" dataDxfId="7"/>
    <tableColumn id="3" name="Product ID" dataDxfId="6" dataCellStyle="Normal 5"/>
    <tableColumn id="4" name="Product Name" dataDxfId="5" dataCellStyle="Normal 5"/>
    <tableColumn id="5" name="Product Description" dataDxfId="4" dataCellStyle="Normal 5"/>
    <tableColumn id="6" name="Product Category" dataDxfId="1" dataCellStyle="Normal 5"/>
    <tableColumn id="9" name="Expiry" dataDxfId="2" dataCellStyle="Normal 5">
      <calculatedColumnFormula>11/23/2019</calculatedColumnFormula>
    </tableColumn>
    <tableColumn id="7" name="Quantity" dataDxfId="0"/>
    <tableColumn id="8" name="Value" dataDxfId="3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475" totalsRowShown="0" headerRowDxfId="34" dataDxfId="33">
  <tableColumns count="10">
    <tableColumn id="1" name="S No." dataDxfId="32"/>
    <tableColumn id="2" name="Date" dataDxfId="31"/>
    <tableColumn id="14" name="Customer ID" dataDxfId="30"/>
    <tableColumn id="13" name="Customer" dataDxfId="29"/>
    <tableColumn id="3" name="Product ID" dataDxfId="28" dataCellStyle="Normal 5"/>
    <tableColumn id="4" name="Product Name" dataDxfId="27" dataCellStyle="Normal 5"/>
    <tableColumn id="5" name="Product Description" dataDxfId="26" dataCellStyle="Normal 5"/>
    <tableColumn id="6" name="Product Category" dataDxfId="25" dataCellStyle="Normal 5"/>
    <tableColumn id="7" name="Quantity" dataDxfId="24"/>
    <tableColumn id="8" name="Value" dataDxfId="23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426" totalsRowShown="0" headerRowDxfId="22" tableBorderDxfId="21">
  <autoFilter ref="A1:J426"/>
  <tableColumns count="10">
    <tableColumn id="1" name="S No." dataDxfId="20"/>
    <tableColumn id="2" name="Product ID" dataDxfId="19"/>
    <tableColumn id="3" name="Product Name" dataDxfId="18"/>
    <tableColumn id="4" name="Product Description" dataDxfId="17"/>
    <tableColumn id="5" name="Product Category" dataDxfId="16"/>
    <tableColumn id="6" name="Unit Price" dataDxfId="15"/>
    <tableColumn id="7" name="Expiry" dataDxfId="14">
      <calculatedColumnFormula>StockInData[Expiry]</calculatedColumnFormula>
    </tableColumn>
    <tableColumn id="8" name="Reorder Level" dataDxfId="13"/>
    <tableColumn id="9" name="Current Stock" dataDxfId="12"/>
    <tableColumn id="10" name="Value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259"/>
  <sheetViews>
    <sheetView showGridLines="0" workbookViewId="0">
      <selection activeCell="F6" sqref="F6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1.625" customWidth="1"/>
  </cols>
  <sheetData>
    <row r="1" spans="1:6" x14ac:dyDescent="0.25">
      <c r="A1" s="89" t="s">
        <v>2</v>
      </c>
      <c r="B1" s="89" t="s">
        <v>3</v>
      </c>
      <c r="C1" s="89" t="s">
        <v>4</v>
      </c>
      <c r="D1" s="89" t="s">
        <v>5</v>
      </c>
      <c r="E1" s="90" t="s">
        <v>10</v>
      </c>
      <c r="F1" s="91" t="s">
        <v>872</v>
      </c>
    </row>
    <row r="2" spans="1:6" x14ac:dyDescent="0.25">
      <c r="A2" s="97" t="s">
        <v>355</v>
      </c>
      <c r="B2" s="98" t="s">
        <v>356</v>
      </c>
      <c r="C2" s="97" t="s">
        <v>869</v>
      </c>
      <c r="D2" s="97" t="s">
        <v>871</v>
      </c>
      <c r="E2" s="99">
        <v>10</v>
      </c>
      <c r="F2" s="100">
        <v>44247</v>
      </c>
    </row>
    <row r="3" spans="1:6" x14ac:dyDescent="0.25">
      <c r="A3" s="96" t="s">
        <v>357</v>
      </c>
      <c r="B3" s="101" t="s">
        <v>358</v>
      </c>
      <c r="C3" s="96" t="s">
        <v>869</v>
      </c>
      <c r="D3" s="96" t="s">
        <v>871</v>
      </c>
      <c r="E3" s="102">
        <v>10</v>
      </c>
      <c r="F3" s="103">
        <v>44249</v>
      </c>
    </row>
    <row r="4" spans="1:6" x14ac:dyDescent="0.25">
      <c r="A4" s="97" t="s">
        <v>359</v>
      </c>
      <c r="B4" s="98" t="s">
        <v>360</v>
      </c>
      <c r="C4" s="97" t="s">
        <v>869</v>
      </c>
      <c r="D4" s="97" t="s">
        <v>871</v>
      </c>
      <c r="E4" s="99">
        <v>10</v>
      </c>
      <c r="F4" s="100">
        <v>44251</v>
      </c>
    </row>
    <row r="5" spans="1:6" x14ac:dyDescent="0.25">
      <c r="A5" s="96" t="s">
        <v>361</v>
      </c>
      <c r="B5" s="101" t="s">
        <v>362</v>
      </c>
      <c r="C5" s="96" t="s">
        <v>869</v>
      </c>
      <c r="D5" s="96" t="s">
        <v>871</v>
      </c>
      <c r="E5" s="102">
        <v>10</v>
      </c>
      <c r="F5" s="103">
        <v>44253</v>
      </c>
    </row>
    <row r="6" spans="1:6" x14ac:dyDescent="0.25">
      <c r="A6" s="97" t="s">
        <v>363</v>
      </c>
      <c r="B6" s="98" t="s">
        <v>364</v>
      </c>
      <c r="C6" s="97" t="s">
        <v>869</v>
      </c>
      <c r="D6" s="97" t="s">
        <v>871</v>
      </c>
      <c r="E6" s="99">
        <v>10</v>
      </c>
      <c r="F6" s="100">
        <v>44255</v>
      </c>
    </row>
    <row r="7" spans="1:6" x14ac:dyDescent="0.25">
      <c r="A7" s="96" t="s">
        <v>365</v>
      </c>
      <c r="B7" s="101" t="s">
        <v>366</v>
      </c>
      <c r="C7" s="96" t="s">
        <v>869</v>
      </c>
      <c r="D7" s="96" t="s">
        <v>871</v>
      </c>
      <c r="E7" s="102">
        <v>10</v>
      </c>
      <c r="F7" s="103">
        <v>44257</v>
      </c>
    </row>
    <row r="8" spans="1:6" x14ac:dyDescent="0.25">
      <c r="A8" s="97" t="s">
        <v>367</v>
      </c>
      <c r="B8" s="98" t="s">
        <v>368</v>
      </c>
      <c r="C8" s="97" t="s">
        <v>869</v>
      </c>
      <c r="D8" s="97" t="s">
        <v>871</v>
      </c>
      <c r="E8" s="99">
        <v>10</v>
      </c>
      <c r="F8" s="100">
        <v>44259</v>
      </c>
    </row>
    <row r="9" spans="1:6" x14ac:dyDescent="0.25">
      <c r="A9" s="96" t="s">
        <v>369</v>
      </c>
      <c r="B9" s="101" t="s">
        <v>370</v>
      </c>
      <c r="C9" s="96" t="s">
        <v>869</v>
      </c>
      <c r="D9" s="96" t="s">
        <v>871</v>
      </c>
      <c r="E9" s="102">
        <v>10</v>
      </c>
      <c r="F9" s="103">
        <v>44261</v>
      </c>
    </row>
    <row r="10" spans="1:6" x14ac:dyDescent="0.25">
      <c r="A10" s="97" t="s">
        <v>371</v>
      </c>
      <c r="B10" s="98" t="s">
        <v>372</v>
      </c>
      <c r="C10" s="97" t="s">
        <v>869</v>
      </c>
      <c r="D10" s="97" t="s">
        <v>871</v>
      </c>
      <c r="E10" s="99">
        <v>10</v>
      </c>
      <c r="F10" s="100">
        <v>44263</v>
      </c>
    </row>
    <row r="11" spans="1:6" x14ac:dyDescent="0.25">
      <c r="A11" s="96" t="s">
        <v>373</v>
      </c>
      <c r="B11" s="101" t="s">
        <v>374</v>
      </c>
      <c r="C11" s="96" t="s">
        <v>869</v>
      </c>
      <c r="D11" s="96" t="s">
        <v>871</v>
      </c>
      <c r="E11" s="102">
        <v>10</v>
      </c>
      <c r="F11" s="103">
        <v>44265</v>
      </c>
    </row>
    <row r="12" spans="1:6" x14ac:dyDescent="0.25">
      <c r="A12" s="97" t="s">
        <v>375</v>
      </c>
      <c r="B12" s="98" t="s">
        <v>376</v>
      </c>
      <c r="C12" s="97" t="s">
        <v>869</v>
      </c>
      <c r="D12" s="97" t="s">
        <v>871</v>
      </c>
      <c r="E12" s="99">
        <v>10</v>
      </c>
      <c r="F12" s="100">
        <v>44267</v>
      </c>
    </row>
    <row r="13" spans="1:6" x14ac:dyDescent="0.25">
      <c r="A13" s="96" t="s">
        <v>377</v>
      </c>
      <c r="B13" s="101" t="s">
        <v>378</v>
      </c>
      <c r="C13" s="96" t="s">
        <v>869</v>
      </c>
      <c r="D13" s="96" t="s">
        <v>871</v>
      </c>
      <c r="E13" s="102">
        <v>10</v>
      </c>
      <c r="F13" s="103">
        <v>44269</v>
      </c>
    </row>
    <row r="14" spans="1:6" x14ac:dyDescent="0.25">
      <c r="A14" s="97" t="s">
        <v>379</v>
      </c>
      <c r="B14" s="98" t="s">
        <v>380</v>
      </c>
      <c r="C14" s="97" t="s">
        <v>869</v>
      </c>
      <c r="D14" s="97" t="s">
        <v>871</v>
      </c>
      <c r="E14" s="99">
        <v>10</v>
      </c>
      <c r="F14" s="100">
        <v>44271</v>
      </c>
    </row>
    <row r="15" spans="1:6" x14ac:dyDescent="0.25">
      <c r="A15" s="96" t="s">
        <v>381</v>
      </c>
      <c r="B15" s="101" t="s">
        <v>382</v>
      </c>
      <c r="C15" s="96" t="s">
        <v>869</v>
      </c>
      <c r="D15" s="96" t="s">
        <v>871</v>
      </c>
      <c r="E15" s="102">
        <v>10</v>
      </c>
      <c r="F15" s="103">
        <v>44273</v>
      </c>
    </row>
    <row r="16" spans="1:6" x14ac:dyDescent="0.25">
      <c r="A16" s="97" t="s">
        <v>383</v>
      </c>
      <c r="B16" s="98" t="s">
        <v>384</v>
      </c>
      <c r="C16" s="97" t="s">
        <v>869</v>
      </c>
      <c r="D16" s="97" t="s">
        <v>871</v>
      </c>
      <c r="E16" s="99">
        <v>10</v>
      </c>
      <c r="F16" s="100">
        <v>44275</v>
      </c>
    </row>
    <row r="17" spans="1:6" x14ac:dyDescent="0.25">
      <c r="A17" s="96" t="s">
        <v>385</v>
      </c>
      <c r="B17" s="101" t="s">
        <v>386</v>
      </c>
      <c r="C17" s="96" t="s">
        <v>869</v>
      </c>
      <c r="D17" s="96" t="s">
        <v>871</v>
      </c>
      <c r="E17" s="102">
        <v>10</v>
      </c>
      <c r="F17" s="103">
        <v>44277</v>
      </c>
    </row>
    <row r="18" spans="1:6" x14ac:dyDescent="0.25">
      <c r="A18" s="97" t="s">
        <v>387</v>
      </c>
      <c r="B18" s="98" t="s">
        <v>388</v>
      </c>
      <c r="C18" s="97" t="s">
        <v>869</v>
      </c>
      <c r="D18" s="97" t="s">
        <v>871</v>
      </c>
      <c r="E18" s="99">
        <v>10</v>
      </c>
      <c r="F18" s="100">
        <v>44279</v>
      </c>
    </row>
    <row r="19" spans="1:6" x14ac:dyDescent="0.25">
      <c r="A19" s="96" t="s">
        <v>389</v>
      </c>
      <c r="B19" s="101" t="s">
        <v>390</v>
      </c>
      <c r="C19" s="96" t="s">
        <v>869</v>
      </c>
      <c r="D19" s="96" t="s">
        <v>871</v>
      </c>
      <c r="E19" s="102">
        <v>10</v>
      </c>
      <c r="F19" s="103">
        <v>44281</v>
      </c>
    </row>
    <row r="20" spans="1:6" x14ac:dyDescent="0.25">
      <c r="A20" s="97" t="s">
        <v>391</v>
      </c>
      <c r="B20" s="98" t="s">
        <v>392</v>
      </c>
      <c r="C20" s="97" t="s">
        <v>869</v>
      </c>
      <c r="D20" s="97" t="s">
        <v>871</v>
      </c>
      <c r="E20" s="99">
        <v>10</v>
      </c>
      <c r="F20" s="100">
        <v>44283</v>
      </c>
    </row>
    <row r="21" spans="1:6" x14ac:dyDescent="0.25">
      <c r="A21" s="96" t="s">
        <v>393</v>
      </c>
      <c r="B21" s="101" t="s">
        <v>394</v>
      </c>
      <c r="C21" s="96" t="s">
        <v>869</v>
      </c>
      <c r="D21" s="96" t="s">
        <v>871</v>
      </c>
      <c r="E21" s="102">
        <v>10</v>
      </c>
      <c r="F21" s="103">
        <v>44285</v>
      </c>
    </row>
    <row r="22" spans="1:6" x14ac:dyDescent="0.25">
      <c r="A22" s="97" t="s">
        <v>395</v>
      </c>
      <c r="B22" s="98" t="s">
        <v>396</v>
      </c>
      <c r="C22" s="97" t="s">
        <v>869</v>
      </c>
      <c r="D22" s="97" t="s">
        <v>871</v>
      </c>
      <c r="E22" s="99">
        <v>10</v>
      </c>
      <c r="F22" s="100">
        <v>44287</v>
      </c>
    </row>
    <row r="23" spans="1:6" x14ac:dyDescent="0.25">
      <c r="A23" s="96" t="s">
        <v>397</v>
      </c>
      <c r="B23" s="101" t="s">
        <v>398</v>
      </c>
      <c r="C23" s="96" t="s">
        <v>869</v>
      </c>
      <c r="D23" s="96" t="s">
        <v>871</v>
      </c>
      <c r="E23" s="102">
        <v>10</v>
      </c>
      <c r="F23" s="103">
        <v>44289</v>
      </c>
    </row>
    <row r="24" spans="1:6" x14ac:dyDescent="0.25">
      <c r="A24" s="97" t="s">
        <v>399</v>
      </c>
      <c r="B24" s="98" t="s">
        <v>400</v>
      </c>
      <c r="C24" s="97" t="s">
        <v>869</v>
      </c>
      <c r="D24" s="97" t="s">
        <v>871</v>
      </c>
      <c r="E24" s="99">
        <v>10</v>
      </c>
      <c r="F24" s="100">
        <v>44291</v>
      </c>
    </row>
    <row r="25" spans="1:6" x14ac:dyDescent="0.25">
      <c r="A25" s="96" t="s">
        <v>401</v>
      </c>
      <c r="B25" s="101" t="s">
        <v>402</v>
      </c>
      <c r="C25" s="96" t="s">
        <v>869</v>
      </c>
      <c r="D25" s="96" t="s">
        <v>871</v>
      </c>
      <c r="E25" s="102">
        <v>10</v>
      </c>
      <c r="F25" s="103">
        <v>44293</v>
      </c>
    </row>
    <row r="26" spans="1:6" x14ac:dyDescent="0.25">
      <c r="A26" s="97" t="s">
        <v>403</v>
      </c>
      <c r="B26" s="98" t="s">
        <v>404</v>
      </c>
      <c r="C26" s="97" t="s">
        <v>869</v>
      </c>
      <c r="D26" s="97" t="s">
        <v>871</v>
      </c>
      <c r="E26" s="99">
        <v>10</v>
      </c>
      <c r="F26" s="100">
        <v>44295</v>
      </c>
    </row>
    <row r="27" spans="1:6" x14ac:dyDescent="0.25">
      <c r="A27" s="96" t="s">
        <v>405</v>
      </c>
      <c r="B27" s="101" t="s">
        <v>406</v>
      </c>
      <c r="C27" s="96" t="s">
        <v>869</v>
      </c>
      <c r="D27" s="96" t="s">
        <v>871</v>
      </c>
      <c r="E27" s="102">
        <v>10</v>
      </c>
      <c r="F27" s="103">
        <v>44297</v>
      </c>
    </row>
    <row r="28" spans="1:6" x14ac:dyDescent="0.25">
      <c r="A28" s="97" t="s">
        <v>407</v>
      </c>
      <c r="B28" s="98" t="s">
        <v>408</v>
      </c>
      <c r="C28" s="97" t="s">
        <v>869</v>
      </c>
      <c r="D28" s="97" t="s">
        <v>871</v>
      </c>
      <c r="E28" s="99">
        <v>10</v>
      </c>
      <c r="F28" s="100">
        <v>44299</v>
      </c>
    </row>
    <row r="29" spans="1:6" x14ac:dyDescent="0.25">
      <c r="A29" s="96" t="s">
        <v>409</v>
      </c>
      <c r="B29" s="101" t="s">
        <v>410</v>
      </c>
      <c r="C29" s="96" t="s">
        <v>869</v>
      </c>
      <c r="D29" s="96" t="s">
        <v>871</v>
      </c>
      <c r="E29" s="102">
        <v>10</v>
      </c>
      <c r="F29" s="103">
        <v>44301</v>
      </c>
    </row>
    <row r="30" spans="1:6" x14ac:dyDescent="0.25">
      <c r="A30" s="97" t="s">
        <v>411</v>
      </c>
      <c r="B30" s="98" t="s">
        <v>412</v>
      </c>
      <c r="C30" s="97" t="s">
        <v>869</v>
      </c>
      <c r="D30" s="97" t="s">
        <v>871</v>
      </c>
      <c r="E30" s="99">
        <v>10</v>
      </c>
      <c r="F30" s="100">
        <v>44303</v>
      </c>
    </row>
    <row r="31" spans="1:6" x14ac:dyDescent="0.25">
      <c r="A31" s="96" t="s">
        <v>413</v>
      </c>
      <c r="B31" s="101" t="s">
        <v>414</v>
      </c>
      <c r="C31" s="96" t="s">
        <v>869</v>
      </c>
      <c r="D31" s="96" t="s">
        <v>871</v>
      </c>
      <c r="E31" s="102">
        <v>10</v>
      </c>
      <c r="F31" s="103">
        <v>44305</v>
      </c>
    </row>
    <row r="32" spans="1:6" x14ac:dyDescent="0.25">
      <c r="A32" s="97" t="s">
        <v>415</v>
      </c>
      <c r="B32" s="98" t="s">
        <v>416</v>
      </c>
      <c r="C32" s="97" t="s">
        <v>869</v>
      </c>
      <c r="D32" s="97" t="s">
        <v>871</v>
      </c>
      <c r="E32" s="99">
        <v>10</v>
      </c>
      <c r="F32" s="100">
        <v>44307</v>
      </c>
    </row>
    <row r="33" spans="1:6" x14ac:dyDescent="0.25">
      <c r="A33" s="96" t="s">
        <v>417</v>
      </c>
      <c r="B33" s="101" t="s">
        <v>418</v>
      </c>
      <c r="C33" s="96" t="s">
        <v>869</v>
      </c>
      <c r="D33" s="96" t="s">
        <v>871</v>
      </c>
      <c r="E33" s="102">
        <v>10</v>
      </c>
      <c r="F33" s="103">
        <v>44309</v>
      </c>
    </row>
    <row r="34" spans="1:6" x14ac:dyDescent="0.25">
      <c r="A34" s="97" t="s">
        <v>419</v>
      </c>
      <c r="B34" s="98" t="s">
        <v>420</v>
      </c>
      <c r="C34" s="97" t="s">
        <v>869</v>
      </c>
      <c r="D34" s="97" t="s">
        <v>871</v>
      </c>
      <c r="E34" s="99">
        <v>10</v>
      </c>
      <c r="F34" s="100">
        <v>44311</v>
      </c>
    </row>
    <row r="35" spans="1:6" x14ac:dyDescent="0.25">
      <c r="A35" s="96" t="s">
        <v>421</v>
      </c>
      <c r="B35" s="101" t="s">
        <v>422</v>
      </c>
      <c r="C35" s="96" t="s">
        <v>869</v>
      </c>
      <c r="D35" s="96" t="s">
        <v>871</v>
      </c>
      <c r="E35" s="102">
        <v>10</v>
      </c>
      <c r="F35" s="103">
        <v>44313</v>
      </c>
    </row>
    <row r="36" spans="1:6" x14ac:dyDescent="0.25">
      <c r="A36" s="97" t="s">
        <v>423</v>
      </c>
      <c r="B36" s="98" t="s">
        <v>424</v>
      </c>
      <c r="C36" s="97" t="s">
        <v>869</v>
      </c>
      <c r="D36" s="97" t="s">
        <v>871</v>
      </c>
      <c r="E36" s="99">
        <v>10</v>
      </c>
      <c r="F36" s="100">
        <v>44315</v>
      </c>
    </row>
    <row r="37" spans="1:6" x14ac:dyDescent="0.25">
      <c r="A37" s="96" t="s">
        <v>425</v>
      </c>
      <c r="B37" s="101" t="s">
        <v>426</v>
      </c>
      <c r="C37" s="96" t="s">
        <v>869</v>
      </c>
      <c r="D37" s="96" t="s">
        <v>871</v>
      </c>
      <c r="E37" s="102">
        <v>10</v>
      </c>
      <c r="F37" s="103">
        <v>44317</v>
      </c>
    </row>
    <row r="38" spans="1:6" x14ac:dyDescent="0.25">
      <c r="A38" s="97" t="s">
        <v>427</v>
      </c>
      <c r="B38" s="98" t="s">
        <v>428</v>
      </c>
      <c r="C38" s="97" t="s">
        <v>869</v>
      </c>
      <c r="D38" s="97" t="s">
        <v>871</v>
      </c>
      <c r="E38" s="99">
        <v>10</v>
      </c>
      <c r="F38" s="100">
        <v>44319</v>
      </c>
    </row>
    <row r="39" spans="1:6" x14ac:dyDescent="0.25">
      <c r="A39" s="96" t="s">
        <v>429</v>
      </c>
      <c r="B39" s="101" t="s">
        <v>430</v>
      </c>
      <c r="C39" s="96" t="s">
        <v>869</v>
      </c>
      <c r="D39" s="96" t="s">
        <v>871</v>
      </c>
      <c r="E39" s="102">
        <v>10</v>
      </c>
      <c r="F39" s="103">
        <v>44321</v>
      </c>
    </row>
    <row r="40" spans="1:6" x14ac:dyDescent="0.25">
      <c r="A40" s="97" t="s">
        <v>431</v>
      </c>
      <c r="B40" s="98" t="s">
        <v>432</v>
      </c>
      <c r="C40" s="97" t="s">
        <v>869</v>
      </c>
      <c r="D40" s="97" t="s">
        <v>871</v>
      </c>
      <c r="E40" s="99">
        <v>10</v>
      </c>
      <c r="F40" s="100">
        <v>44323</v>
      </c>
    </row>
    <row r="41" spans="1:6" x14ac:dyDescent="0.25">
      <c r="A41" s="96" t="s">
        <v>433</v>
      </c>
      <c r="B41" s="101" t="s">
        <v>434</v>
      </c>
      <c r="C41" s="96" t="s">
        <v>869</v>
      </c>
      <c r="D41" s="96" t="s">
        <v>871</v>
      </c>
      <c r="E41" s="102">
        <v>10</v>
      </c>
      <c r="F41" s="103">
        <v>44325</v>
      </c>
    </row>
    <row r="42" spans="1:6" x14ac:dyDescent="0.25">
      <c r="A42" s="97" t="s">
        <v>435</v>
      </c>
      <c r="B42" s="98" t="s">
        <v>436</v>
      </c>
      <c r="C42" s="97" t="s">
        <v>869</v>
      </c>
      <c r="D42" s="97" t="s">
        <v>871</v>
      </c>
      <c r="E42" s="99">
        <v>10</v>
      </c>
      <c r="F42" s="100">
        <v>44327</v>
      </c>
    </row>
    <row r="43" spans="1:6" x14ac:dyDescent="0.25">
      <c r="A43" s="96" t="s">
        <v>437</v>
      </c>
      <c r="B43" s="101" t="s">
        <v>438</v>
      </c>
      <c r="C43" s="96" t="s">
        <v>869</v>
      </c>
      <c r="D43" s="96" t="s">
        <v>871</v>
      </c>
      <c r="E43" s="102">
        <v>10</v>
      </c>
      <c r="F43" s="103">
        <v>44329</v>
      </c>
    </row>
    <row r="44" spans="1:6" x14ac:dyDescent="0.25">
      <c r="A44" s="97" t="s">
        <v>439</v>
      </c>
      <c r="B44" s="98" t="s">
        <v>440</v>
      </c>
      <c r="C44" s="97" t="s">
        <v>869</v>
      </c>
      <c r="D44" s="97" t="s">
        <v>875</v>
      </c>
      <c r="E44" s="99">
        <v>10</v>
      </c>
      <c r="F44" s="100">
        <v>44331</v>
      </c>
    </row>
    <row r="45" spans="1:6" x14ac:dyDescent="0.25">
      <c r="A45" s="96" t="s">
        <v>441</v>
      </c>
      <c r="B45" s="101" t="s">
        <v>442</v>
      </c>
      <c r="C45" s="96" t="s">
        <v>869</v>
      </c>
      <c r="D45" s="96" t="s">
        <v>875</v>
      </c>
      <c r="E45" s="102">
        <v>10</v>
      </c>
      <c r="F45" s="103">
        <v>44333</v>
      </c>
    </row>
    <row r="46" spans="1:6" x14ac:dyDescent="0.25">
      <c r="A46" s="97" t="s">
        <v>443</v>
      </c>
      <c r="B46" s="98" t="s">
        <v>444</v>
      </c>
      <c r="C46" s="97" t="s">
        <v>869</v>
      </c>
      <c r="D46" s="97" t="s">
        <v>875</v>
      </c>
      <c r="E46" s="99">
        <v>10</v>
      </c>
      <c r="F46" s="100">
        <v>44335</v>
      </c>
    </row>
    <row r="47" spans="1:6" x14ac:dyDescent="0.25">
      <c r="A47" s="96" t="s">
        <v>445</v>
      </c>
      <c r="B47" s="101" t="s">
        <v>446</v>
      </c>
      <c r="C47" s="96" t="s">
        <v>869</v>
      </c>
      <c r="D47" s="96" t="s">
        <v>875</v>
      </c>
      <c r="E47" s="102">
        <v>10</v>
      </c>
      <c r="F47" s="103">
        <v>44337</v>
      </c>
    </row>
    <row r="48" spans="1:6" x14ac:dyDescent="0.25">
      <c r="A48" s="97" t="s">
        <v>447</v>
      </c>
      <c r="B48" s="98" t="s">
        <v>448</v>
      </c>
      <c r="C48" s="97" t="s">
        <v>869</v>
      </c>
      <c r="D48" s="97" t="s">
        <v>875</v>
      </c>
      <c r="E48" s="99">
        <v>10</v>
      </c>
      <c r="F48" s="100">
        <v>44339</v>
      </c>
    </row>
    <row r="49" spans="1:6" x14ac:dyDescent="0.25">
      <c r="A49" s="96" t="s">
        <v>449</v>
      </c>
      <c r="B49" s="101" t="s">
        <v>450</v>
      </c>
      <c r="C49" s="96" t="s">
        <v>869</v>
      </c>
      <c r="D49" s="96" t="s">
        <v>875</v>
      </c>
      <c r="E49" s="102">
        <v>10</v>
      </c>
      <c r="F49" s="103">
        <v>44341</v>
      </c>
    </row>
    <row r="50" spans="1:6" x14ac:dyDescent="0.25">
      <c r="A50" s="97" t="s">
        <v>451</v>
      </c>
      <c r="B50" s="98" t="s">
        <v>452</v>
      </c>
      <c r="C50" s="97" t="s">
        <v>869</v>
      </c>
      <c r="D50" s="97" t="s">
        <v>875</v>
      </c>
      <c r="E50" s="99">
        <v>10</v>
      </c>
      <c r="F50" s="100">
        <v>44343</v>
      </c>
    </row>
    <row r="51" spans="1:6" x14ac:dyDescent="0.25">
      <c r="A51" s="96" t="s">
        <v>453</v>
      </c>
      <c r="B51" s="101" t="s">
        <v>454</v>
      </c>
      <c r="C51" s="96" t="s">
        <v>869</v>
      </c>
      <c r="D51" s="96" t="s">
        <v>875</v>
      </c>
      <c r="E51" s="102">
        <v>10</v>
      </c>
      <c r="F51" s="103">
        <v>44345</v>
      </c>
    </row>
    <row r="52" spans="1:6" x14ac:dyDescent="0.25">
      <c r="A52" s="97" t="s">
        <v>455</v>
      </c>
      <c r="B52" s="98" t="s">
        <v>456</v>
      </c>
      <c r="C52" s="97" t="s">
        <v>869</v>
      </c>
      <c r="D52" s="97" t="s">
        <v>875</v>
      </c>
      <c r="E52" s="99">
        <v>10</v>
      </c>
      <c r="F52" s="100">
        <v>44347</v>
      </c>
    </row>
    <row r="53" spans="1:6" x14ac:dyDescent="0.25">
      <c r="A53" s="96" t="s">
        <v>457</v>
      </c>
      <c r="B53" s="101" t="s">
        <v>458</v>
      </c>
      <c r="C53" s="96" t="s">
        <v>869</v>
      </c>
      <c r="D53" s="96" t="s">
        <v>875</v>
      </c>
      <c r="E53" s="102">
        <v>10</v>
      </c>
      <c r="F53" s="103">
        <v>44349</v>
      </c>
    </row>
    <row r="54" spans="1:6" x14ac:dyDescent="0.25">
      <c r="A54" s="97" t="s">
        <v>459</v>
      </c>
      <c r="B54" s="98" t="s">
        <v>460</v>
      </c>
      <c r="C54" s="97" t="s">
        <v>869</v>
      </c>
      <c r="D54" s="97" t="s">
        <v>875</v>
      </c>
      <c r="E54" s="99">
        <v>10</v>
      </c>
      <c r="F54" s="100">
        <v>44351</v>
      </c>
    </row>
    <row r="55" spans="1:6" x14ac:dyDescent="0.25">
      <c r="A55" s="96" t="s">
        <v>461</v>
      </c>
      <c r="B55" s="101" t="s">
        <v>462</v>
      </c>
      <c r="C55" s="96" t="s">
        <v>869</v>
      </c>
      <c r="D55" s="96" t="s">
        <v>875</v>
      </c>
      <c r="E55" s="102">
        <v>10</v>
      </c>
      <c r="F55" s="103">
        <v>44353</v>
      </c>
    </row>
    <row r="56" spans="1:6" x14ac:dyDescent="0.25">
      <c r="A56" s="97" t="s">
        <v>463</v>
      </c>
      <c r="B56" s="98" t="s">
        <v>464</v>
      </c>
      <c r="C56" s="97" t="s">
        <v>869</v>
      </c>
      <c r="D56" s="97" t="s">
        <v>875</v>
      </c>
      <c r="E56" s="99">
        <v>10</v>
      </c>
      <c r="F56" s="100">
        <v>44355</v>
      </c>
    </row>
    <row r="57" spans="1:6" x14ac:dyDescent="0.25">
      <c r="A57" s="96" t="s">
        <v>465</v>
      </c>
      <c r="B57" s="101" t="s">
        <v>466</v>
      </c>
      <c r="C57" s="96" t="s">
        <v>869</v>
      </c>
      <c r="D57" s="96" t="s">
        <v>875</v>
      </c>
      <c r="E57" s="102">
        <v>10</v>
      </c>
      <c r="F57" s="103">
        <v>44357</v>
      </c>
    </row>
    <row r="58" spans="1:6" x14ac:dyDescent="0.25">
      <c r="A58" s="97" t="s">
        <v>467</v>
      </c>
      <c r="B58" s="98" t="s">
        <v>468</v>
      </c>
      <c r="C58" s="97" t="s">
        <v>869</v>
      </c>
      <c r="D58" s="97" t="s">
        <v>875</v>
      </c>
      <c r="E58" s="99">
        <v>10</v>
      </c>
      <c r="F58" s="100">
        <v>44359</v>
      </c>
    </row>
    <row r="59" spans="1:6" x14ac:dyDescent="0.25">
      <c r="A59" s="96" t="s">
        <v>469</v>
      </c>
      <c r="B59" s="101" t="s">
        <v>470</v>
      </c>
      <c r="C59" s="96" t="s">
        <v>869</v>
      </c>
      <c r="D59" s="96" t="s">
        <v>875</v>
      </c>
      <c r="E59" s="102">
        <v>10</v>
      </c>
      <c r="F59" s="103">
        <v>44361</v>
      </c>
    </row>
    <row r="60" spans="1:6" x14ac:dyDescent="0.25">
      <c r="A60" s="97" t="s">
        <v>471</v>
      </c>
      <c r="B60" s="98" t="s">
        <v>472</v>
      </c>
      <c r="C60" s="97" t="s">
        <v>869</v>
      </c>
      <c r="D60" s="97" t="s">
        <v>875</v>
      </c>
      <c r="E60" s="99">
        <v>10</v>
      </c>
      <c r="F60" s="100">
        <v>44363</v>
      </c>
    </row>
    <row r="61" spans="1:6" x14ac:dyDescent="0.25">
      <c r="A61" s="96" t="s">
        <v>473</v>
      </c>
      <c r="B61" s="101" t="s">
        <v>474</v>
      </c>
      <c r="C61" s="96" t="s">
        <v>869</v>
      </c>
      <c r="D61" s="96" t="s">
        <v>875</v>
      </c>
      <c r="E61" s="102">
        <v>10</v>
      </c>
      <c r="F61" s="103">
        <v>44365</v>
      </c>
    </row>
    <row r="62" spans="1:6" x14ac:dyDescent="0.25">
      <c r="A62" s="97" t="s">
        <v>475</v>
      </c>
      <c r="B62" s="98" t="s">
        <v>476</v>
      </c>
      <c r="C62" s="97" t="s">
        <v>869</v>
      </c>
      <c r="D62" s="97" t="s">
        <v>875</v>
      </c>
      <c r="E62" s="99">
        <v>10</v>
      </c>
      <c r="F62" s="100">
        <v>44367</v>
      </c>
    </row>
    <row r="63" spans="1:6" x14ac:dyDescent="0.25">
      <c r="A63" s="96" t="s">
        <v>477</v>
      </c>
      <c r="B63" s="101" t="s">
        <v>478</v>
      </c>
      <c r="C63" s="96" t="s">
        <v>869</v>
      </c>
      <c r="D63" s="96" t="s">
        <v>875</v>
      </c>
      <c r="E63" s="102">
        <v>10</v>
      </c>
      <c r="F63" s="103">
        <v>44369</v>
      </c>
    </row>
    <row r="64" spans="1:6" x14ac:dyDescent="0.25">
      <c r="A64" s="97" t="s">
        <v>479</v>
      </c>
      <c r="B64" s="98" t="s">
        <v>480</v>
      </c>
      <c r="C64" s="97" t="s">
        <v>869</v>
      </c>
      <c r="D64" s="97" t="s">
        <v>875</v>
      </c>
      <c r="E64" s="99">
        <v>10</v>
      </c>
      <c r="F64" s="100">
        <v>44371</v>
      </c>
    </row>
    <row r="65" spans="1:6" x14ac:dyDescent="0.25">
      <c r="A65" s="96" t="s">
        <v>481</v>
      </c>
      <c r="B65" s="101" t="s">
        <v>482</v>
      </c>
      <c r="C65" s="96" t="s">
        <v>869</v>
      </c>
      <c r="D65" s="96" t="s">
        <v>875</v>
      </c>
      <c r="E65" s="102">
        <v>10</v>
      </c>
      <c r="F65" s="103">
        <v>44373</v>
      </c>
    </row>
    <row r="66" spans="1:6" x14ac:dyDescent="0.25">
      <c r="A66" s="97" t="s">
        <v>483</v>
      </c>
      <c r="B66" s="98" t="s">
        <v>484</v>
      </c>
      <c r="C66" s="97" t="s">
        <v>869</v>
      </c>
      <c r="D66" s="97" t="s">
        <v>875</v>
      </c>
      <c r="E66" s="99">
        <v>10</v>
      </c>
      <c r="F66" s="100">
        <v>44375</v>
      </c>
    </row>
    <row r="67" spans="1:6" x14ac:dyDescent="0.25">
      <c r="A67" s="96" t="s">
        <v>485</v>
      </c>
      <c r="B67" s="101" t="s">
        <v>486</v>
      </c>
      <c r="C67" s="96" t="s">
        <v>869</v>
      </c>
      <c r="D67" s="96" t="s">
        <v>875</v>
      </c>
      <c r="E67" s="102">
        <v>10</v>
      </c>
      <c r="F67" s="103">
        <v>44377</v>
      </c>
    </row>
    <row r="68" spans="1:6" x14ac:dyDescent="0.25">
      <c r="A68" s="97" t="s">
        <v>487</v>
      </c>
      <c r="B68" s="98" t="s">
        <v>488</v>
      </c>
      <c r="C68" s="97" t="s">
        <v>869</v>
      </c>
      <c r="D68" s="97" t="s">
        <v>875</v>
      </c>
      <c r="E68" s="99">
        <v>10</v>
      </c>
      <c r="F68" s="100">
        <v>44379</v>
      </c>
    </row>
    <row r="69" spans="1:6" x14ac:dyDescent="0.25">
      <c r="A69" s="96" t="s">
        <v>489</v>
      </c>
      <c r="B69" s="101" t="s">
        <v>490</v>
      </c>
      <c r="C69" s="96" t="s">
        <v>869</v>
      </c>
      <c r="D69" s="96" t="s">
        <v>875</v>
      </c>
      <c r="E69" s="102">
        <v>10</v>
      </c>
      <c r="F69" s="103">
        <v>44381</v>
      </c>
    </row>
    <row r="70" spans="1:6" x14ac:dyDescent="0.25">
      <c r="A70" s="97" t="s">
        <v>491</v>
      </c>
      <c r="B70" s="98" t="s">
        <v>492</v>
      </c>
      <c r="C70" s="97" t="s">
        <v>869</v>
      </c>
      <c r="D70" s="97" t="s">
        <v>875</v>
      </c>
      <c r="E70" s="99">
        <v>10</v>
      </c>
      <c r="F70" s="100">
        <v>44383</v>
      </c>
    </row>
    <row r="71" spans="1:6" x14ac:dyDescent="0.25">
      <c r="A71" s="96" t="s">
        <v>493</v>
      </c>
      <c r="B71" s="101" t="s">
        <v>494</v>
      </c>
      <c r="C71" s="96" t="s">
        <v>869</v>
      </c>
      <c r="D71" s="96" t="s">
        <v>875</v>
      </c>
      <c r="E71" s="102">
        <v>10</v>
      </c>
      <c r="F71" s="103">
        <v>44385</v>
      </c>
    </row>
    <row r="72" spans="1:6" x14ac:dyDescent="0.25">
      <c r="A72" s="97" t="s">
        <v>495</v>
      </c>
      <c r="B72" s="98" t="s">
        <v>496</v>
      </c>
      <c r="C72" s="97" t="s">
        <v>869</v>
      </c>
      <c r="D72" s="97" t="s">
        <v>875</v>
      </c>
      <c r="E72" s="99">
        <v>10</v>
      </c>
      <c r="F72" s="100">
        <v>44387</v>
      </c>
    </row>
    <row r="73" spans="1:6" x14ac:dyDescent="0.25">
      <c r="A73" s="96" t="s">
        <v>497</v>
      </c>
      <c r="B73" s="101" t="s">
        <v>498</v>
      </c>
      <c r="C73" s="96" t="s">
        <v>869</v>
      </c>
      <c r="D73" s="96" t="s">
        <v>875</v>
      </c>
      <c r="E73" s="102">
        <v>10</v>
      </c>
      <c r="F73" s="103">
        <v>44389</v>
      </c>
    </row>
    <row r="74" spans="1:6" x14ac:dyDescent="0.25">
      <c r="A74" s="97" t="s">
        <v>499</v>
      </c>
      <c r="B74" s="98" t="s">
        <v>500</v>
      </c>
      <c r="C74" s="97" t="s">
        <v>869</v>
      </c>
      <c r="D74" s="97" t="s">
        <v>875</v>
      </c>
      <c r="E74" s="99">
        <v>10</v>
      </c>
      <c r="F74" s="100">
        <v>44391</v>
      </c>
    </row>
    <row r="75" spans="1:6" x14ac:dyDescent="0.25">
      <c r="A75" s="96" t="s">
        <v>501</v>
      </c>
      <c r="B75" s="101" t="s">
        <v>502</v>
      </c>
      <c r="C75" s="96" t="s">
        <v>869</v>
      </c>
      <c r="D75" s="96" t="s">
        <v>875</v>
      </c>
      <c r="E75" s="102">
        <v>10</v>
      </c>
      <c r="F75" s="103">
        <v>44393</v>
      </c>
    </row>
    <row r="76" spans="1:6" x14ac:dyDescent="0.25">
      <c r="A76" s="97" t="s">
        <v>503</v>
      </c>
      <c r="B76" s="98" t="s">
        <v>504</v>
      </c>
      <c r="C76" s="97" t="s">
        <v>869</v>
      </c>
      <c r="D76" s="97" t="s">
        <v>875</v>
      </c>
      <c r="E76" s="99">
        <v>10</v>
      </c>
      <c r="F76" s="100">
        <v>44395</v>
      </c>
    </row>
    <row r="77" spans="1:6" x14ac:dyDescent="0.25">
      <c r="A77" s="96" t="s">
        <v>505</v>
      </c>
      <c r="B77" s="101" t="s">
        <v>506</v>
      </c>
      <c r="C77" s="96" t="s">
        <v>869</v>
      </c>
      <c r="D77" s="96" t="s">
        <v>875</v>
      </c>
      <c r="E77" s="102">
        <v>10</v>
      </c>
      <c r="F77" s="103">
        <v>44397</v>
      </c>
    </row>
    <row r="78" spans="1:6" x14ac:dyDescent="0.25">
      <c r="A78" s="97" t="s">
        <v>507</v>
      </c>
      <c r="B78" s="98" t="s">
        <v>508</v>
      </c>
      <c r="C78" s="97" t="s">
        <v>869</v>
      </c>
      <c r="D78" s="97" t="s">
        <v>875</v>
      </c>
      <c r="E78" s="99">
        <v>10</v>
      </c>
      <c r="F78" s="100">
        <v>44399</v>
      </c>
    </row>
    <row r="79" spans="1:6" x14ac:dyDescent="0.25">
      <c r="A79" s="96" t="s">
        <v>509</v>
      </c>
      <c r="B79" s="101" t="s">
        <v>510</v>
      </c>
      <c r="C79" s="96" t="s">
        <v>869</v>
      </c>
      <c r="D79" s="96" t="s">
        <v>875</v>
      </c>
      <c r="E79" s="102">
        <v>10</v>
      </c>
      <c r="F79" s="103">
        <v>44401</v>
      </c>
    </row>
    <row r="80" spans="1:6" x14ac:dyDescent="0.25">
      <c r="A80" s="97" t="s">
        <v>511</v>
      </c>
      <c r="B80" s="98" t="s">
        <v>512</v>
      </c>
      <c r="C80" s="97" t="s">
        <v>869</v>
      </c>
      <c r="D80" s="97" t="s">
        <v>875</v>
      </c>
      <c r="E80" s="99">
        <v>10</v>
      </c>
      <c r="F80" s="100">
        <v>44403</v>
      </c>
    </row>
    <row r="81" spans="1:6" x14ac:dyDescent="0.25">
      <c r="A81" s="96" t="s">
        <v>513</v>
      </c>
      <c r="B81" s="101" t="s">
        <v>514</v>
      </c>
      <c r="C81" s="96" t="s">
        <v>869</v>
      </c>
      <c r="D81" s="96" t="s">
        <v>875</v>
      </c>
      <c r="E81" s="102">
        <v>10</v>
      </c>
      <c r="F81" s="103">
        <v>44405</v>
      </c>
    </row>
    <row r="82" spans="1:6" x14ac:dyDescent="0.25">
      <c r="A82" s="97" t="s">
        <v>515</v>
      </c>
      <c r="B82" s="98" t="s">
        <v>516</v>
      </c>
      <c r="C82" s="97" t="s">
        <v>869</v>
      </c>
      <c r="D82" s="97" t="s">
        <v>875</v>
      </c>
      <c r="E82" s="99">
        <v>10</v>
      </c>
      <c r="F82" s="100">
        <v>44407</v>
      </c>
    </row>
    <row r="83" spans="1:6" x14ac:dyDescent="0.25">
      <c r="A83" s="96" t="s">
        <v>517</v>
      </c>
      <c r="B83" s="101" t="s">
        <v>518</v>
      </c>
      <c r="C83" s="96" t="s">
        <v>869</v>
      </c>
      <c r="D83" s="96" t="s">
        <v>875</v>
      </c>
      <c r="E83" s="102">
        <v>10</v>
      </c>
      <c r="F83" s="103">
        <v>44409</v>
      </c>
    </row>
    <row r="84" spans="1:6" x14ac:dyDescent="0.25">
      <c r="A84" s="97" t="s">
        <v>519</v>
      </c>
      <c r="B84" s="98" t="s">
        <v>520</v>
      </c>
      <c r="C84" s="97" t="s">
        <v>869</v>
      </c>
      <c r="D84" s="97" t="s">
        <v>875</v>
      </c>
      <c r="E84" s="99">
        <v>10</v>
      </c>
      <c r="F84" s="100">
        <v>44411</v>
      </c>
    </row>
    <row r="85" spans="1:6" x14ac:dyDescent="0.25">
      <c r="A85" s="96" t="s">
        <v>521</v>
      </c>
      <c r="B85" s="101" t="s">
        <v>522</v>
      </c>
      <c r="C85" s="96" t="s">
        <v>869</v>
      </c>
      <c r="D85" s="96" t="s">
        <v>875</v>
      </c>
      <c r="E85" s="102">
        <v>10</v>
      </c>
      <c r="F85" s="103">
        <v>44413</v>
      </c>
    </row>
    <row r="86" spans="1:6" x14ac:dyDescent="0.25">
      <c r="A86" s="97" t="s">
        <v>523</v>
      </c>
      <c r="B86" s="98" t="s">
        <v>524</v>
      </c>
      <c r="C86" s="97" t="s">
        <v>869</v>
      </c>
      <c r="D86" s="97" t="s">
        <v>875</v>
      </c>
      <c r="E86" s="99">
        <v>10</v>
      </c>
      <c r="F86" s="100">
        <v>44415</v>
      </c>
    </row>
    <row r="87" spans="1:6" x14ac:dyDescent="0.25">
      <c r="A87" s="96" t="s">
        <v>525</v>
      </c>
      <c r="B87" s="101" t="s">
        <v>526</v>
      </c>
      <c r="C87" s="96" t="s">
        <v>869</v>
      </c>
      <c r="D87" s="96" t="s">
        <v>875</v>
      </c>
      <c r="E87" s="102">
        <v>10</v>
      </c>
      <c r="F87" s="103">
        <v>44417</v>
      </c>
    </row>
    <row r="88" spans="1:6" x14ac:dyDescent="0.25">
      <c r="A88" s="97" t="s">
        <v>527</v>
      </c>
      <c r="B88" s="98" t="s">
        <v>528</v>
      </c>
      <c r="C88" s="97" t="s">
        <v>869</v>
      </c>
      <c r="D88" s="97" t="s">
        <v>875</v>
      </c>
      <c r="E88" s="99">
        <v>10</v>
      </c>
      <c r="F88" s="100">
        <v>44419</v>
      </c>
    </row>
    <row r="89" spans="1:6" x14ac:dyDescent="0.25">
      <c r="A89" s="96" t="s">
        <v>529</v>
      </c>
      <c r="B89" s="101" t="s">
        <v>530</v>
      </c>
      <c r="C89" s="96" t="s">
        <v>869</v>
      </c>
      <c r="D89" s="96" t="s">
        <v>875</v>
      </c>
      <c r="E89" s="102">
        <v>10</v>
      </c>
      <c r="F89" s="103">
        <v>44421</v>
      </c>
    </row>
    <row r="90" spans="1:6" x14ac:dyDescent="0.25">
      <c r="A90" s="97" t="s">
        <v>531</v>
      </c>
      <c r="B90" s="98" t="s">
        <v>532</v>
      </c>
      <c r="C90" s="97" t="s">
        <v>869</v>
      </c>
      <c r="D90" s="97" t="s">
        <v>875</v>
      </c>
      <c r="E90" s="99">
        <v>10</v>
      </c>
      <c r="F90" s="100">
        <v>44423</v>
      </c>
    </row>
    <row r="91" spans="1:6" x14ac:dyDescent="0.25">
      <c r="A91" s="96" t="s">
        <v>533</v>
      </c>
      <c r="B91" s="101" t="s">
        <v>534</v>
      </c>
      <c r="C91" s="96" t="s">
        <v>869</v>
      </c>
      <c r="D91" s="96" t="s">
        <v>875</v>
      </c>
      <c r="E91" s="102">
        <v>10</v>
      </c>
      <c r="F91" s="103">
        <v>44425</v>
      </c>
    </row>
    <row r="92" spans="1:6" x14ac:dyDescent="0.25">
      <c r="A92" s="97" t="s">
        <v>535</v>
      </c>
      <c r="B92" s="98" t="s">
        <v>536</v>
      </c>
      <c r="C92" s="97" t="s">
        <v>869</v>
      </c>
      <c r="D92" s="97" t="s">
        <v>875</v>
      </c>
      <c r="E92" s="99">
        <v>10</v>
      </c>
      <c r="F92" s="100">
        <v>44427</v>
      </c>
    </row>
    <row r="93" spans="1:6" x14ac:dyDescent="0.25">
      <c r="A93" s="96" t="s">
        <v>537</v>
      </c>
      <c r="B93" s="101" t="s">
        <v>538</v>
      </c>
      <c r="C93" s="96" t="s">
        <v>869</v>
      </c>
      <c r="D93" s="96" t="s">
        <v>875</v>
      </c>
      <c r="E93" s="102">
        <v>10</v>
      </c>
      <c r="F93" s="103">
        <v>44429</v>
      </c>
    </row>
    <row r="94" spans="1:6" x14ac:dyDescent="0.25">
      <c r="A94" s="97" t="s">
        <v>539</v>
      </c>
      <c r="B94" s="98" t="s">
        <v>540</v>
      </c>
      <c r="C94" s="97" t="s">
        <v>869</v>
      </c>
      <c r="D94" s="97" t="s">
        <v>875</v>
      </c>
      <c r="E94" s="99">
        <v>10</v>
      </c>
      <c r="F94" s="100">
        <v>44431</v>
      </c>
    </row>
    <row r="95" spans="1:6" x14ac:dyDescent="0.25">
      <c r="A95" s="96" t="s">
        <v>541</v>
      </c>
      <c r="B95" s="101" t="s">
        <v>542</v>
      </c>
      <c r="C95" s="96" t="s">
        <v>869</v>
      </c>
      <c r="D95" s="96" t="s">
        <v>875</v>
      </c>
      <c r="E95" s="102">
        <v>10</v>
      </c>
      <c r="F95" s="103">
        <v>44433</v>
      </c>
    </row>
    <row r="96" spans="1:6" x14ac:dyDescent="0.25">
      <c r="A96" s="97" t="s">
        <v>543</v>
      </c>
      <c r="B96" s="98" t="s">
        <v>544</v>
      </c>
      <c r="C96" s="97" t="s">
        <v>869</v>
      </c>
      <c r="D96" s="97" t="s">
        <v>875</v>
      </c>
      <c r="E96" s="99">
        <v>10</v>
      </c>
      <c r="F96" s="100">
        <v>44435</v>
      </c>
    </row>
    <row r="97" spans="1:6" x14ac:dyDescent="0.25">
      <c r="A97" s="96" t="s">
        <v>545</v>
      </c>
      <c r="B97" s="101" t="s">
        <v>546</v>
      </c>
      <c r="C97" s="96" t="s">
        <v>869</v>
      </c>
      <c r="D97" s="96" t="s">
        <v>875</v>
      </c>
      <c r="E97" s="102">
        <v>10</v>
      </c>
      <c r="F97" s="103">
        <v>44437</v>
      </c>
    </row>
    <row r="98" spans="1:6" x14ac:dyDescent="0.25">
      <c r="A98" s="97" t="s">
        <v>547</v>
      </c>
      <c r="B98" s="98" t="s">
        <v>548</v>
      </c>
      <c r="C98" s="97" t="s">
        <v>869</v>
      </c>
      <c r="D98" s="97" t="s">
        <v>875</v>
      </c>
      <c r="E98" s="99">
        <v>10</v>
      </c>
      <c r="F98" s="100">
        <v>44439</v>
      </c>
    </row>
    <row r="99" spans="1:6" x14ac:dyDescent="0.25">
      <c r="A99" s="96" t="s">
        <v>549</v>
      </c>
      <c r="B99" s="101" t="s">
        <v>550</v>
      </c>
      <c r="C99" s="96" t="s">
        <v>869</v>
      </c>
      <c r="D99" s="96" t="s">
        <v>875</v>
      </c>
      <c r="E99" s="102">
        <v>10</v>
      </c>
      <c r="F99" s="103">
        <v>44441</v>
      </c>
    </row>
    <row r="100" spans="1:6" x14ac:dyDescent="0.25">
      <c r="A100" s="97" t="s">
        <v>551</v>
      </c>
      <c r="B100" s="98" t="s">
        <v>552</v>
      </c>
      <c r="C100" s="97" t="s">
        <v>869</v>
      </c>
      <c r="D100" s="97" t="s">
        <v>875</v>
      </c>
      <c r="E100" s="99">
        <v>10</v>
      </c>
      <c r="F100" s="100">
        <v>44443</v>
      </c>
    </row>
    <row r="101" spans="1:6" x14ac:dyDescent="0.25">
      <c r="A101" s="96" t="s">
        <v>553</v>
      </c>
      <c r="B101" s="101" t="s">
        <v>554</v>
      </c>
      <c r="C101" s="96" t="s">
        <v>869</v>
      </c>
      <c r="D101" s="96" t="s">
        <v>875</v>
      </c>
      <c r="E101" s="102">
        <v>10</v>
      </c>
      <c r="F101" s="103">
        <v>44445</v>
      </c>
    </row>
    <row r="102" spans="1:6" x14ac:dyDescent="0.25">
      <c r="A102" s="97" t="s">
        <v>555</v>
      </c>
      <c r="B102" s="98" t="s">
        <v>556</v>
      </c>
      <c r="C102" s="97" t="s">
        <v>869</v>
      </c>
      <c r="D102" s="97" t="s">
        <v>875</v>
      </c>
      <c r="E102" s="99">
        <v>10</v>
      </c>
      <c r="F102" s="100">
        <v>44447</v>
      </c>
    </row>
    <row r="103" spans="1:6" x14ac:dyDescent="0.25">
      <c r="A103" s="96" t="s">
        <v>557</v>
      </c>
      <c r="B103" s="101" t="s">
        <v>558</v>
      </c>
      <c r="C103" s="96" t="s">
        <v>869</v>
      </c>
      <c r="D103" s="96" t="s">
        <v>875</v>
      </c>
      <c r="E103" s="102">
        <v>10</v>
      </c>
      <c r="F103" s="103">
        <v>44449</v>
      </c>
    </row>
    <row r="104" spans="1:6" x14ac:dyDescent="0.25">
      <c r="A104" s="97" t="s">
        <v>559</v>
      </c>
      <c r="B104" s="98" t="s">
        <v>560</v>
      </c>
      <c r="C104" s="97" t="s">
        <v>869</v>
      </c>
      <c r="D104" s="97" t="s">
        <v>875</v>
      </c>
      <c r="E104" s="99">
        <v>10</v>
      </c>
      <c r="F104" s="100">
        <v>44451</v>
      </c>
    </row>
    <row r="105" spans="1:6" x14ac:dyDescent="0.25">
      <c r="A105" s="96" t="s">
        <v>561</v>
      </c>
      <c r="B105" s="101" t="s">
        <v>562</v>
      </c>
      <c r="C105" s="96" t="s">
        <v>869</v>
      </c>
      <c r="D105" s="96" t="s">
        <v>875</v>
      </c>
      <c r="E105" s="102">
        <v>10</v>
      </c>
      <c r="F105" s="103">
        <v>44453</v>
      </c>
    </row>
    <row r="106" spans="1:6" x14ac:dyDescent="0.25">
      <c r="A106" s="97" t="s">
        <v>563</v>
      </c>
      <c r="B106" s="98" t="s">
        <v>564</v>
      </c>
      <c r="C106" s="97" t="s">
        <v>869</v>
      </c>
      <c r="D106" s="97" t="s">
        <v>875</v>
      </c>
      <c r="E106" s="99">
        <v>10</v>
      </c>
      <c r="F106" s="100">
        <v>44455</v>
      </c>
    </row>
    <row r="107" spans="1:6" x14ac:dyDescent="0.25">
      <c r="A107" s="96" t="s">
        <v>565</v>
      </c>
      <c r="B107" s="101" t="s">
        <v>566</v>
      </c>
      <c r="C107" s="96" t="s">
        <v>869</v>
      </c>
      <c r="D107" s="96" t="s">
        <v>875</v>
      </c>
      <c r="E107" s="102">
        <v>10</v>
      </c>
      <c r="F107" s="103">
        <v>44457</v>
      </c>
    </row>
    <row r="108" spans="1:6" x14ac:dyDescent="0.25">
      <c r="A108" s="97" t="s">
        <v>567</v>
      </c>
      <c r="B108" s="98" t="s">
        <v>568</v>
      </c>
      <c r="C108" s="97" t="s">
        <v>869</v>
      </c>
      <c r="D108" s="97" t="s">
        <v>875</v>
      </c>
      <c r="E108" s="99">
        <v>10</v>
      </c>
      <c r="F108" s="100">
        <v>44459</v>
      </c>
    </row>
    <row r="109" spans="1:6" x14ac:dyDescent="0.25">
      <c r="A109" s="96" t="s">
        <v>569</v>
      </c>
      <c r="B109" s="101" t="s">
        <v>570</v>
      </c>
      <c r="C109" s="96" t="s">
        <v>869</v>
      </c>
      <c r="D109" s="96" t="s">
        <v>875</v>
      </c>
      <c r="E109" s="102">
        <v>10</v>
      </c>
      <c r="F109" s="103">
        <v>44461</v>
      </c>
    </row>
    <row r="110" spans="1:6" x14ac:dyDescent="0.25">
      <c r="A110" s="97" t="s">
        <v>571</v>
      </c>
      <c r="B110" s="98" t="s">
        <v>572</v>
      </c>
      <c r="C110" s="97" t="s">
        <v>869</v>
      </c>
      <c r="D110" s="97" t="s">
        <v>875</v>
      </c>
      <c r="E110" s="99">
        <v>10</v>
      </c>
      <c r="F110" s="100">
        <v>44463</v>
      </c>
    </row>
    <row r="111" spans="1:6" x14ac:dyDescent="0.25">
      <c r="A111" s="96" t="s">
        <v>573</v>
      </c>
      <c r="B111" s="101" t="s">
        <v>574</v>
      </c>
      <c r="C111" s="96" t="s">
        <v>869</v>
      </c>
      <c r="D111" s="96" t="s">
        <v>875</v>
      </c>
      <c r="E111" s="102">
        <v>10</v>
      </c>
      <c r="F111" s="103">
        <v>44465</v>
      </c>
    </row>
    <row r="112" spans="1:6" x14ac:dyDescent="0.25">
      <c r="A112" s="97" t="s">
        <v>575</v>
      </c>
      <c r="B112" s="98" t="s">
        <v>576</v>
      </c>
      <c r="C112" s="97" t="s">
        <v>869</v>
      </c>
      <c r="D112" s="97" t="s">
        <v>875</v>
      </c>
      <c r="E112" s="99">
        <v>10</v>
      </c>
      <c r="F112" s="100">
        <v>44467</v>
      </c>
    </row>
    <row r="113" spans="1:6" x14ac:dyDescent="0.25">
      <c r="A113" s="96" t="s">
        <v>577</v>
      </c>
      <c r="B113" s="101" t="s">
        <v>578</v>
      </c>
      <c r="C113" s="96" t="s">
        <v>869</v>
      </c>
      <c r="D113" s="96" t="s">
        <v>875</v>
      </c>
      <c r="E113" s="102">
        <v>10</v>
      </c>
      <c r="F113" s="103">
        <v>44469</v>
      </c>
    </row>
    <row r="114" spans="1:6" x14ac:dyDescent="0.25">
      <c r="A114" s="97" t="s">
        <v>579</v>
      </c>
      <c r="B114" s="98" t="s">
        <v>580</v>
      </c>
      <c r="C114" s="97" t="s">
        <v>869</v>
      </c>
      <c r="D114" s="97" t="s">
        <v>875</v>
      </c>
      <c r="E114" s="99">
        <v>10</v>
      </c>
      <c r="F114" s="100">
        <v>44471</v>
      </c>
    </row>
    <row r="115" spans="1:6" x14ac:dyDescent="0.25">
      <c r="A115" s="96" t="s">
        <v>581</v>
      </c>
      <c r="B115" s="101" t="s">
        <v>582</v>
      </c>
      <c r="C115" s="96" t="s">
        <v>869</v>
      </c>
      <c r="D115" s="96" t="s">
        <v>875</v>
      </c>
      <c r="E115" s="102">
        <v>10</v>
      </c>
      <c r="F115" s="103">
        <v>44473</v>
      </c>
    </row>
    <row r="116" spans="1:6" x14ac:dyDescent="0.25">
      <c r="A116" s="97" t="s">
        <v>583</v>
      </c>
      <c r="B116" s="98" t="s">
        <v>584</v>
      </c>
      <c r="C116" s="97" t="s">
        <v>869</v>
      </c>
      <c r="D116" s="97" t="s">
        <v>875</v>
      </c>
      <c r="E116" s="99">
        <v>10</v>
      </c>
      <c r="F116" s="100">
        <v>44475</v>
      </c>
    </row>
    <row r="117" spans="1:6" x14ac:dyDescent="0.25">
      <c r="A117" s="96" t="s">
        <v>585</v>
      </c>
      <c r="B117" s="101" t="s">
        <v>586</v>
      </c>
      <c r="C117" s="96" t="s">
        <v>869</v>
      </c>
      <c r="D117" s="96" t="s">
        <v>875</v>
      </c>
      <c r="E117" s="102">
        <v>10</v>
      </c>
      <c r="F117" s="103">
        <v>44477</v>
      </c>
    </row>
    <row r="118" spans="1:6" x14ac:dyDescent="0.25">
      <c r="A118" s="97" t="s">
        <v>587</v>
      </c>
      <c r="B118" s="98" t="s">
        <v>588</v>
      </c>
      <c r="C118" s="97" t="s">
        <v>869</v>
      </c>
      <c r="D118" s="97" t="s">
        <v>875</v>
      </c>
      <c r="E118" s="99">
        <v>10</v>
      </c>
      <c r="F118" s="100">
        <v>44479</v>
      </c>
    </row>
    <row r="119" spans="1:6" x14ac:dyDescent="0.25">
      <c r="A119" s="96" t="s">
        <v>589</v>
      </c>
      <c r="B119" s="101" t="s">
        <v>590</v>
      </c>
      <c r="C119" s="96" t="s">
        <v>869</v>
      </c>
      <c r="D119" s="96" t="s">
        <v>875</v>
      </c>
      <c r="E119" s="102">
        <v>10</v>
      </c>
      <c r="F119" s="103">
        <v>44481</v>
      </c>
    </row>
    <row r="120" spans="1:6" x14ac:dyDescent="0.25">
      <c r="A120" s="97" t="s">
        <v>591</v>
      </c>
      <c r="B120" s="98" t="s">
        <v>592</v>
      </c>
      <c r="C120" s="97" t="s">
        <v>869</v>
      </c>
      <c r="D120" s="97" t="s">
        <v>875</v>
      </c>
      <c r="E120" s="99">
        <v>10</v>
      </c>
      <c r="F120" s="100">
        <v>44483</v>
      </c>
    </row>
    <row r="121" spans="1:6" x14ac:dyDescent="0.25">
      <c r="A121" s="96" t="s">
        <v>593</v>
      </c>
      <c r="B121" s="101" t="s">
        <v>594</v>
      </c>
      <c r="C121" s="96" t="s">
        <v>869</v>
      </c>
      <c r="D121" s="96" t="s">
        <v>875</v>
      </c>
      <c r="E121" s="102">
        <v>10</v>
      </c>
      <c r="F121" s="103">
        <v>44485</v>
      </c>
    </row>
    <row r="122" spans="1:6" x14ac:dyDescent="0.25">
      <c r="A122" s="97" t="s">
        <v>595</v>
      </c>
      <c r="B122" s="98" t="s">
        <v>596</v>
      </c>
      <c r="C122" s="97" t="s">
        <v>869</v>
      </c>
      <c r="D122" s="97" t="s">
        <v>875</v>
      </c>
      <c r="E122" s="99">
        <v>10</v>
      </c>
      <c r="F122" s="100">
        <v>44487</v>
      </c>
    </row>
    <row r="123" spans="1:6" x14ac:dyDescent="0.25">
      <c r="A123" s="96" t="s">
        <v>597</v>
      </c>
      <c r="B123" s="101" t="s">
        <v>598</v>
      </c>
      <c r="C123" s="96" t="s">
        <v>869</v>
      </c>
      <c r="D123" s="96" t="s">
        <v>875</v>
      </c>
      <c r="E123" s="102">
        <v>10</v>
      </c>
      <c r="F123" s="103">
        <v>44489</v>
      </c>
    </row>
    <row r="124" spans="1:6" x14ac:dyDescent="0.25">
      <c r="A124" s="97" t="s">
        <v>599</v>
      </c>
      <c r="B124" s="98" t="s">
        <v>600</v>
      </c>
      <c r="C124" s="97" t="s">
        <v>869</v>
      </c>
      <c r="D124" s="97" t="s">
        <v>875</v>
      </c>
      <c r="E124" s="99">
        <v>10</v>
      </c>
      <c r="F124" s="100">
        <v>44491</v>
      </c>
    </row>
    <row r="125" spans="1:6" x14ac:dyDescent="0.25">
      <c r="A125" s="96" t="s">
        <v>601</v>
      </c>
      <c r="B125" s="101" t="s">
        <v>602</v>
      </c>
      <c r="C125" s="96" t="s">
        <v>869</v>
      </c>
      <c r="D125" s="96" t="s">
        <v>875</v>
      </c>
      <c r="E125" s="102">
        <v>10</v>
      </c>
      <c r="F125" s="103">
        <v>44493</v>
      </c>
    </row>
    <row r="126" spans="1:6" x14ac:dyDescent="0.25">
      <c r="A126" s="97" t="s">
        <v>603</v>
      </c>
      <c r="B126" s="98" t="s">
        <v>604</v>
      </c>
      <c r="C126" s="97" t="s">
        <v>869</v>
      </c>
      <c r="D126" s="97" t="s">
        <v>875</v>
      </c>
      <c r="E126" s="99">
        <v>10</v>
      </c>
      <c r="F126" s="100">
        <v>44495</v>
      </c>
    </row>
    <row r="127" spans="1:6" x14ac:dyDescent="0.25">
      <c r="A127" s="96" t="s">
        <v>605</v>
      </c>
      <c r="B127" s="101" t="s">
        <v>606</v>
      </c>
      <c r="C127" s="96" t="s">
        <v>869</v>
      </c>
      <c r="D127" s="96" t="s">
        <v>875</v>
      </c>
      <c r="E127" s="102">
        <v>10</v>
      </c>
      <c r="F127" s="103">
        <v>44497</v>
      </c>
    </row>
    <row r="128" spans="1:6" x14ac:dyDescent="0.25">
      <c r="A128" s="97" t="s">
        <v>607</v>
      </c>
      <c r="B128" s="98" t="s">
        <v>608</v>
      </c>
      <c r="C128" s="97" t="s">
        <v>869</v>
      </c>
      <c r="D128" s="97" t="s">
        <v>875</v>
      </c>
      <c r="E128" s="99">
        <v>10</v>
      </c>
      <c r="F128" s="100">
        <v>44499</v>
      </c>
    </row>
    <row r="129" spans="1:6" x14ac:dyDescent="0.25">
      <c r="A129" s="96" t="s">
        <v>609</v>
      </c>
      <c r="B129" s="101" t="s">
        <v>610</v>
      </c>
      <c r="C129" s="96" t="s">
        <v>869</v>
      </c>
      <c r="D129" s="96" t="s">
        <v>875</v>
      </c>
      <c r="E129" s="102">
        <v>10</v>
      </c>
      <c r="F129" s="103">
        <v>44501</v>
      </c>
    </row>
    <row r="130" spans="1:6" x14ac:dyDescent="0.25">
      <c r="A130" s="97" t="s">
        <v>611</v>
      </c>
      <c r="B130" s="98" t="s">
        <v>612</v>
      </c>
      <c r="C130" s="97" t="s">
        <v>869</v>
      </c>
      <c r="D130" s="97" t="s">
        <v>875</v>
      </c>
      <c r="E130" s="99">
        <v>10</v>
      </c>
      <c r="F130" s="100">
        <v>44503</v>
      </c>
    </row>
    <row r="131" spans="1:6" x14ac:dyDescent="0.25">
      <c r="A131" s="96" t="s">
        <v>613</v>
      </c>
      <c r="B131" s="101" t="s">
        <v>614</v>
      </c>
      <c r="C131" s="96" t="s">
        <v>869</v>
      </c>
      <c r="D131" s="96" t="s">
        <v>875</v>
      </c>
      <c r="E131" s="102">
        <v>10</v>
      </c>
      <c r="F131" s="103">
        <v>44505</v>
      </c>
    </row>
    <row r="132" spans="1:6" x14ac:dyDescent="0.25">
      <c r="A132" s="97" t="s">
        <v>615</v>
      </c>
      <c r="B132" s="98" t="s">
        <v>616</v>
      </c>
      <c r="C132" s="97" t="s">
        <v>869</v>
      </c>
      <c r="D132" s="97" t="s">
        <v>875</v>
      </c>
      <c r="E132" s="99">
        <v>10</v>
      </c>
      <c r="F132" s="100">
        <v>44507</v>
      </c>
    </row>
    <row r="133" spans="1:6" x14ac:dyDescent="0.25">
      <c r="A133" s="96" t="s">
        <v>617</v>
      </c>
      <c r="B133" s="101" t="s">
        <v>618</v>
      </c>
      <c r="C133" s="96" t="s">
        <v>869</v>
      </c>
      <c r="D133" s="96" t="s">
        <v>875</v>
      </c>
      <c r="E133" s="102">
        <v>10</v>
      </c>
      <c r="F133" s="103">
        <v>44509</v>
      </c>
    </row>
    <row r="134" spans="1:6" x14ac:dyDescent="0.25">
      <c r="A134" s="97" t="s">
        <v>619</v>
      </c>
      <c r="B134" s="98" t="s">
        <v>620</v>
      </c>
      <c r="C134" s="97" t="s">
        <v>869</v>
      </c>
      <c r="D134" s="97" t="s">
        <v>875</v>
      </c>
      <c r="E134" s="99">
        <v>10</v>
      </c>
      <c r="F134" s="100">
        <v>44511</v>
      </c>
    </row>
    <row r="135" spans="1:6" x14ac:dyDescent="0.25">
      <c r="A135" s="96" t="s">
        <v>621</v>
      </c>
      <c r="B135" s="101" t="s">
        <v>622</v>
      </c>
      <c r="C135" s="96" t="s">
        <v>869</v>
      </c>
      <c r="D135" s="96" t="s">
        <v>875</v>
      </c>
      <c r="E135" s="102">
        <v>10</v>
      </c>
      <c r="F135" s="103">
        <v>44513</v>
      </c>
    </row>
    <row r="136" spans="1:6" x14ac:dyDescent="0.25">
      <c r="A136" s="97" t="s">
        <v>623</v>
      </c>
      <c r="B136" s="98" t="s">
        <v>624</v>
      </c>
      <c r="C136" s="97" t="s">
        <v>869</v>
      </c>
      <c r="D136" s="97" t="s">
        <v>875</v>
      </c>
      <c r="E136" s="99">
        <v>10</v>
      </c>
      <c r="F136" s="100">
        <v>44515</v>
      </c>
    </row>
    <row r="137" spans="1:6" x14ac:dyDescent="0.25">
      <c r="A137" s="96" t="s">
        <v>625</v>
      </c>
      <c r="B137" s="101" t="s">
        <v>626</v>
      </c>
      <c r="C137" s="96" t="s">
        <v>869</v>
      </c>
      <c r="D137" s="96" t="s">
        <v>875</v>
      </c>
      <c r="E137" s="102">
        <v>10</v>
      </c>
      <c r="F137" s="103">
        <v>44517</v>
      </c>
    </row>
    <row r="138" spans="1:6" x14ac:dyDescent="0.25">
      <c r="A138" s="97" t="s">
        <v>627</v>
      </c>
      <c r="B138" s="98" t="s">
        <v>628</v>
      </c>
      <c r="C138" s="97" t="s">
        <v>869</v>
      </c>
      <c r="D138" s="97" t="s">
        <v>875</v>
      </c>
      <c r="E138" s="99">
        <v>10</v>
      </c>
      <c r="F138" s="100">
        <v>44519</v>
      </c>
    </row>
    <row r="139" spans="1:6" x14ac:dyDescent="0.25">
      <c r="A139" s="96" t="s">
        <v>629</v>
      </c>
      <c r="B139" s="101" t="s">
        <v>630</v>
      </c>
      <c r="C139" s="96" t="s">
        <v>869</v>
      </c>
      <c r="D139" s="96" t="s">
        <v>875</v>
      </c>
      <c r="E139" s="102">
        <v>10</v>
      </c>
      <c r="F139" s="103">
        <v>44521</v>
      </c>
    </row>
    <row r="140" spans="1:6" x14ac:dyDescent="0.25">
      <c r="A140" s="97" t="s">
        <v>631</v>
      </c>
      <c r="B140" s="98" t="s">
        <v>632</v>
      </c>
      <c r="C140" s="97" t="s">
        <v>869</v>
      </c>
      <c r="D140" s="97" t="s">
        <v>875</v>
      </c>
      <c r="E140" s="99">
        <v>10</v>
      </c>
      <c r="F140" s="100">
        <v>44523</v>
      </c>
    </row>
    <row r="141" spans="1:6" x14ac:dyDescent="0.25">
      <c r="A141" s="96" t="s">
        <v>633</v>
      </c>
      <c r="B141" s="101" t="s">
        <v>634</v>
      </c>
      <c r="C141" s="96" t="s">
        <v>869</v>
      </c>
      <c r="D141" s="96" t="s">
        <v>875</v>
      </c>
      <c r="E141" s="102">
        <v>10</v>
      </c>
      <c r="F141" s="103">
        <v>44525</v>
      </c>
    </row>
    <row r="142" spans="1:6" x14ac:dyDescent="0.25">
      <c r="A142" s="97" t="s">
        <v>635</v>
      </c>
      <c r="B142" s="98" t="s">
        <v>636</v>
      </c>
      <c r="C142" s="97" t="s">
        <v>869</v>
      </c>
      <c r="D142" s="97" t="s">
        <v>875</v>
      </c>
      <c r="E142" s="99">
        <v>10</v>
      </c>
      <c r="F142" s="100">
        <v>44527</v>
      </c>
    </row>
    <row r="143" spans="1:6" x14ac:dyDescent="0.25">
      <c r="A143" s="96" t="s">
        <v>637</v>
      </c>
      <c r="B143" s="101" t="s">
        <v>638</v>
      </c>
      <c r="C143" s="96" t="s">
        <v>869</v>
      </c>
      <c r="D143" s="96" t="s">
        <v>875</v>
      </c>
      <c r="E143" s="102">
        <v>10</v>
      </c>
      <c r="F143" s="103">
        <v>44529</v>
      </c>
    </row>
    <row r="144" spans="1:6" x14ac:dyDescent="0.25">
      <c r="A144" s="97" t="s">
        <v>639</v>
      </c>
      <c r="B144" s="98" t="s">
        <v>640</v>
      </c>
      <c r="C144" s="97" t="s">
        <v>869</v>
      </c>
      <c r="D144" s="97" t="s">
        <v>875</v>
      </c>
      <c r="E144" s="99">
        <v>10</v>
      </c>
      <c r="F144" s="100">
        <v>44531</v>
      </c>
    </row>
    <row r="145" spans="1:6" x14ac:dyDescent="0.25">
      <c r="A145" s="96" t="s">
        <v>641</v>
      </c>
      <c r="B145" s="101" t="s">
        <v>642</v>
      </c>
      <c r="C145" s="96" t="s">
        <v>869</v>
      </c>
      <c r="D145" s="96" t="s">
        <v>875</v>
      </c>
      <c r="E145" s="102">
        <v>10</v>
      </c>
      <c r="F145" s="103">
        <v>44533</v>
      </c>
    </row>
    <row r="146" spans="1:6" x14ac:dyDescent="0.25">
      <c r="A146" s="97" t="s">
        <v>643</v>
      </c>
      <c r="B146" s="98" t="s">
        <v>644</v>
      </c>
      <c r="C146" s="97" t="s">
        <v>869</v>
      </c>
      <c r="D146" s="97" t="s">
        <v>875</v>
      </c>
      <c r="E146" s="99">
        <v>10</v>
      </c>
      <c r="F146" s="100">
        <v>44535</v>
      </c>
    </row>
    <row r="147" spans="1:6" x14ac:dyDescent="0.25">
      <c r="A147" s="96" t="s">
        <v>645</v>
      </c>
      <c r="B147" s="101" t="s">
        <v>646</v>
      </c>
      <c r="C147" s="96" t="s">
        <v>869</v>
      </c>
      <c r="D147" s="96" t="s">
        <v>875</v>
      </c>
      <c r="E147" s="102">
        <v>10</v>
      </c>
      <c r="F147" s="103">
        <v>44537</v>
      </c>
    </row>
    <row r="148" spans="1:6" x14ac:dyDescent="0.25">
      <c r="A148" s="97" t="s">
        <v>647</v>
      </c>
      <c r="B148" s="98" t="s">
        <v>648</v>
      </c>
      <c r="C148" s="97" t="s">
        <v>869</v>
      </c>
      <c r="D148" s="97" t="s">
        <v>875</v>
      </c>
      <c r="E148" s="99">
        <v>10</v>
      </c>
      <c r="F148" s="100">
        <v>44539</v>
      </c>
    </row>
    <row r="149" spans="1:6" x14ac:dyDescent="0.25">
      <c r="A149" s="96" t="s">
        <v>649</v>
      </c>
      <c r="B149" s="101" t="s">
        <v>650</v>
      </c>
      <c r="C149" s="96" t="s">
        <v>869</v>
      </c>
      <c r="D149" s="96" t="s">
        <v>875</v>
      </c>
      <c r="E149" s="102">
        <v>10</v>
      </c>
      <c r="F149" s="103">
        <v>44541</v>
      </c>
    </row>
    <row r="150" spans="1:6" x14ac:dyDescent="0.25">
      <c r="A150" s="97" t="s">
        <v>651</v>
      </c>
      <c r="B150" s="98" t="s">
        <v>652</v>
      </c>
      <c r="C150" s="97" t="s">
        <v>869</v>
      </c>
      <c r="D150" s="97" t="s">
        <v>875</v>
      </c>
      <c r="E150" s="99">
        <v>10</v>
      </c>
      <c r="F150" s="100">
        <v>44543</v>
      </c>
    </row>
    <row r="151" spans="1:6" x14ac:dyDescent="0.25">
      <c r="A151" s="96" t="s">
        <v>653</v>
      </c>
      <c r="B151" s="101" t="s">
        <v>654</v>
      </c>
      <c r="C151" s="96" t="s">
        <v>869</v>
      </c>
      <c r="D151" s="96" t="s">
        <v>875</v>
      </c>
      <c r="E151" s="102">
        <v>10</v>
      </c>
      <c r="F151" s="103">
        <v>44545</v>
      </c>
    </row>
    <row r="152" spans="1:6" x14ac:dyDescent="0.25">
      <c r="A152" s="97" t="s">
        <v>655</v>
      </c>
      <c r="B152" s="98" t="s">
        <v>656</v>
      </c>
      <c r="C152" s="97" t="s">
        <v>869</v>
      </c>
      <c r="D152" s="97" t="s">
        <v>875</v>
      </c>
      <c r="E152" s="99">
        <v>10</v>
      </c>
      <c r="F152" s="100">
        <v>44547</v>
      </c>
    </row>
    <row r="153" spans="1:6" x14ac:dyDescent="0.25">
      <c r="A153" s="96" t="s">
        <v>657</v>
      </c>
      <c r="B153" s="101" t="s">
        <v>658</v>
      </c>
      <c r="C153" s="96" t="s">
        <v>869</v>
      </c>
      <c r="D153" s="96" t="s">
        <v>875</v>
      </c>
      <c r="E153" s="102">
        <v>10</v>
      </c>
      <c r="F153" s="103">
        <v>44549</v>
      </c>
    </row>
    <row r="154" spans="1:6" x14ac:dyDescent="0.25">
      <c r="A154" s="97" t="s">
        <v>659</v>
      </c>
      <c r="B154" s="98" t="s">
        <v>660</v>
      </c>
      <c r="C154" s="97" t="s">
        <v>869</v>
      </c>
      <c r="D154" s="97" t="s">
        <v>875</v>
      </c>
      <c r="E154" s="99">
        <v>10</v>
      </c>
      <c r="F154" s="100">
        <v>44551</v>
      </c>
    </row>
    <row r="155" spans="1:6" x14ac:dyDescent="0.25">
      <c r="A155" s="96" t="s">
        <v>661</v>
      </c>
      <c r="B155" s="101" t="s">
        <v>662</v>
      </c>
      <c r="C155" s="96" t="s">
        <v>869</v>
      </c>
      <c r="D155" s="96" t="s">
        <v>875</v>
      </c>
      <c r="E155" s="102">
        <v>10</v>
      </c>
      <c r="F155" s="103">
        <v>44553</v>
      </c>
    </row>
    <row r="156" spans="1:6" x14ac:dyDescent="0.25">
      <c r="A156" s="97" t="s">
        <v>663</v>
      </c>
      <c r="B156" s="98" t="s">
        <v>664</v>
      </c>
      <c r="C156" s="97" t="s">
        <v>869</v>
      </c>
      <c r="D156" s="97" t="s">
        <v>876</v>
      </c>
      <c r="E156" s="99">
        <v>10</v>
      </c>
      <c r="F156" s="100">
        <v>44555</v>
      </c>
    </row>
    <row r="157" spans="1:6" x14ac:dyDescent="0.25">
      <c r="A157" s="96" t="s">
        <v>665</v>
      </c>
      <c r="B157" s="101" t="s">
        <v>666</v>
      </c>
      <c r="C157" s="96" t="s">
        <v>869</v>
      </c>
      <c r="D157" s="96" t="s">
        <v>876</v>
      </c>
      <c r="E157" s="102">
        <v>10</v>
      </c>
      <c r="F157" s="103">
        <v>44557</v>
      </c>
    </row>
    <row r="158" spans="1:6" x14ac:dyDescent="0.25">
      <c r="A158" s="97" t="s">
        <v>667</v>
      </c>
      <c r="B158" s="98" t="s">
        <v>668</v>
      </c>
      <c r="C158" s="97" t="s">
        <v>869</v>
      </c>
      <c r="D158" s="97" t="s">
        <v>876</v>
      </c>
      <c r="E158" s="99">
        <v>10</v>
      </c>
      <c r="F158" s="100">
        <v>44559</v>
      </c>
    </row>
    <row r="159" spans="1:6" x14ac:dyDescent="0.25">
      <c r="A159" s="96" t="s">
        <v>669</v>
      </c>
      <c r="B159" s="101" t="s">
        <v>670</v>
      </c>
      <c r="C159" s="96" t="s">
        <v>869</v>
      </c>
      <c r="D159" s="96" t="s">
        <v>876</v>
      </c>
      <c r="E159" s="102">
        <v>10</v>
      </c>
      <c r="F159" s="103">
        <v>44561</v>
      </c>
    </row>
    <row r="160" spans="1:6" x14ac:dyDescent="0.25">
      <c r="A160" s="97" t="s">
        <v>671</v>
      </c>
      <c r="B160" s="98" t="s">
        <v>672</v>
      </c>
      <c r="C160" s="97" t="s">
        <v>869</v>
      </c>
      <c r="D160" s="97" t="s">
        <v>876</v>
      </c>
      <c r="E160" s="99">
        <v>10</v>
      </c>
      <c r="F160" s="100">
        <v>44563</v>
      </c>
    </row>
    <row r="161" spans="1:6" x14ac:dyDescent="0.25">
      <c r="A161" s="96" t="s">
        <v>673</v>
      </c>
      <c r="B161" s="101" t="s">
        <v>674</v>
      </c>
      <c r="C161" s="96" t="s">
        <v>877</v>
      </c>
      <c r="D161" s="96" t="s">
        <v>876</v>
      </c>
      <c r="E161" s="102">
        <v>10</v>
      </c>
      <c r="F161" s="103">
        <v>44565</v>
      </c>
    </row>
    <row r="162" spans="1:6" x14ac:dyDescent="0.25">
      <c r="A162" s="97" t="s">
        <v>675</v>
      </c>
      <c r="B162" s="98" t="s">
        <v>676</v>
      </c>
      <c r="C162" s="97" t="s">
        <v>877</v>
      </c>
      <c r="D162" s="97" t="s">
        <v>876</v>
      </c>
      <c r="E162" s="99">
        <v>10</v>
      </c>
      <c r="F162" s="100">
        <v>44567</v>
      </c>
    </row>
    <row r="163" spans="1:6" x14ac:dyDescent="0.25">
      <c r="A163" s="96" t="s">
        <v>677</v>
      </c>
      <c r="B163" s="101" t="s">
        <v>678</v>
      </c>
      <c r="C163" s="96" t="s">
        <v>877</v>
      </c>
      <c r="D163" s="96" t="s">
        <v>876</v>
      </c>
      <c r="E163" s="102">
        <v>10</v>
      </c>
      <c r="F163" s="103">
        <v>44569</v>
      </c>
    </row>
    <row r="164" spans="1:6" x14ac:dyDescent="0.25">
      <c r="A164" s="97" t="s">
        <v>679</v>
      </c>
      <c r="B164" s="98" t="s">
        <v>680</v>
      </c>
      <c r="C164" s="97" t="s">
        <v>877</v>
      </c>
      <c r="D164" s="97" t="s">
        <v>876</v>
      </c>
      <c r="E164" s="99">
        <v>10</v>
      </c>
      <c r="F164" s="100">
        <v>44571</v>
      </c>
    </row>
    <row r="165" spans="1:6" x14ac:dyDescent="0.25">
      <c r="A165" s="96" t="s">
        <v>681</v>
      </c>
      <c r="B165" s="101" t="s">
        <v>682</v>
      </c>
      <c r="C165" s="96" t="s">
        <v>877</v>
      </c>
      <c r="D165" s="96" t="s">
        <v>876</v>
      </c>
      <c r="E165" s="102">
        <v>10</v>
      </c>
      <c r="F165" s="103">
        <v>44573</v>
      </c>
    </row>
    <row r="166" spans="1:6" x14ac:dyDescent="0.25">
      <c r="A166" s="97" t="s">
        <v>683</v>
      </c>
      <c r="B166" s="98" t="s">
        <v>684</v>
      </c>
      <c r="C166" s="97" t="s">
        <v>877</v>
      </c>
      <c r="D166" s="97" t="s">
        <v>876</v>
      </c>
      <c r="E166" s="99">
        <v>10</v>
      </c>
      <c r="F166" s="100">
        <v>44575</v>
      </c>
    </row>
    <row r="167" spans="1:6" x14ac:dyDescent="0.25">
      <c r="A167" s="96" t="s">
        <v>685</v>
      </c>
      <c r="B167" s="101" t="s">
        <v>686</v>
      </c>
      <c r="C167" s="96" t="s">
        <v>877</v>
      </c>
      <c r="D167" s="96" t="s">
        <v>876</v>
      </c>
      <c r="E167" s="102">
        <v>10</v>
      </c>
      <c r="F167" s="103">
        <v>44577</v>
      </c>
    </row>
    <row r="168" spans="1:6" x14ac:dyDescent="0.25">
      <c r="A168" s="97" t="s">
        <v>687</v>
      </c>
      <c r="B168" s="98" t="s">
        <v>688</v>
      </c>
      <c r="C168" s="97" t="s">
        <v>877</v>
      </c>
      <c r="D168" s="97" t="s">
        <v>876</v>
      </c>
      <c r="E168" s="99">
        <v>10</v>
      </c>
      <c r="F168" s="100">
        <v>44579</v>
      </c>
    </row>
    <row r="169" spans="1:6" x14ac:dyDescent="0.25">
      <c r="A169" s="96" t="s">
        <v>689</v>
      </c>
      <c r="B169" s="101" t="s">
        <v>690</v>
      </c>
      <c r="C169" s="96" t="s">
        <v>877</v>
      </c>
      <c r="D169" s="96" t="s">
        <v>876</v>
      </c>
      <c r="E169" s="102">
        <v>10</v>
      </c>
      <c r="F169" s="103">
        <v>44581</v>
      </c>
    </row>
    <row r="170" spans="1:6" x14ac:dyDescent="0.25">
      <c r="A170" s="97" t="s">
        <v>691</v>
      </c>
      <c r="B170" s="98" t="s">
        <v>692</v>
      </c>
      <c r="C170" s="97" t="s">
        <v>877</v>
      </c>
      <c r="D170" s="97" t="s">
        <v>876</v>
      </c>
      <c r="E170" s="99">
        <v>10</v>
      </c>
      <c r="F170" s="100">
        <v>44583</v>
      </c>
    </row>
    <row r="171" spans="1:6" x14ac:dyDescent="0.25">
      <c r="A171" s="96" t="s">
        <v>693</v>
      </c>
      <c r="B171" s="101" t="s">
        <v>694</v>
      </c>
      <c r="C171" s="96" t="s">
        <v>877</v>
      </c>
      <c r="D171" s="96" t="s">
        <v>876</v>
      </c>
      <c r="E171" s="102">
        <v>10</v>
      </c>
      <c r="F171" s="103">
        <v>44585</v>
      </c>
    </row>
    <row r="172" spans="1:6" x14ac:dyDescent="0.25">
      <c r="A172" s="97" t="s">
        <v>695</v>
      </c>
      <c r="B172" s="98" t="s">
        <v>696</v>
      </c>
      <c r="C172" s="97" t="s">
        <v>877</v>
      </c>
      <c r="D172" s="97" t="s">
        <v>876</v>
      </c>
      <c r="E172" s="99">
        <v>10</v>
      </c>
      <c r="F172" s="100">
        <v>44587</v>
      </c>
    </row>
    <row r="173" spans="1:6" x14ac:dyDescent="0.25">
      <c r="A173" s="96" t="s">
        <v>697</v>
      </c>
      <c r="B173" s="101" t="s">
        <v>698</v>
      </c>
      <c r="C173" s="96" t="s">
        <v>877</v>
      </c>
      <c r="D173" s="96" t="s">
        <v>876</v>
      </c>
      <c r="E173" s="102">
        <v>10</v>
      </c>
      <c r="F173" s="103">
        <v>44589</v>
      </c>
    </row>
    <row r="174" spans="1:6" x14ac:dyDescent="0.25">
      <c r="A174" s="97" t="s">
        <v>699</v>
      </c>
      <c r="B174" s="98" t="s">
        <v>700</v>
      </c>
      <c r="C174" s="97" t="s">
        <v>877</v>
      </c>
      <c r="D174" s="97" t="s">
        <v>876</v>
      </c>
      <c r="E174" s="99">
        <v>10</v>
      </c>
      <c r="F174" s="100">
        <v>44591</v>
      </c>
    </row>
    <row r="175" spans="1:6" x14ac:dyDescent="0.25">
      <c r="A175" s="96" t="s">
        <v>701</v>
      </c>
      <c r="B175" s="101" t="s">
        <v>702</v>
      </c>
      <c r="C175" s="96" t="s">
        <v>877</v>
      </c>
      <c r="D175" s="96" t="s">
        <v>876</v>
      </c>
      <c r="E175" s="102">
        <v>10</v>
      </c>
      <c r="F175" s="103">
        <v>44593</v>
      </c>
    </row>
    <row r="176" spans="1:6" x14ac:dyDescent="0.25">
      <c r="A176" s="97" t="s">
        <v>703</v>
      </c>
      <c r="B176" s="98" t="s">
        <v>704</v>
      </c>
      <c r="C176" s="97" t="s">
        <v>877</v>
      </c>
      <c r="D176" s="97" t="s">
        <v>876</v>
      </c>
      <c r="E176" s="99">
        <v>10</v>
      </c>
      <c r="F176" s="100">
        <v>44595</v>
      </c>
    </row>
    <row r="177" spans="1:6" x14ac:dyDescent="0.25">
      <c r="A177" s="96" t="s">
        <v>705</v>
      </c>
      <c r="B177" s="101" t="s">
        <v>706</v>
      </c>
      <c r="C177" s="96" t="s">
        <v>877</v>
      </c>
      <c r="D177" s="96" t="s">
        <v>876</v>
      </c>
      <c r="E177" s="102">
        <v>10</v>
      </c>
      <c r="F177" s="103">
        <v>44597</v>
      </c>
    </row>
    <row r="178" spans="1:6" x14ac:dyDescent="0.25">
      <c r="A178" s="97" t="s">
        <v>707</v>
      </c>
      <c r="B178" s="98" t="s">
        <v>708</v>
      </c>
      <c r="C178" s="97" t="s">
        <v>877</v>
      </c>
      <c r="D178" s="97" t="s">
        <v>876</v>
      </c>
      <c r="E178" s="99">
        <v>10</v>
      </c>
      <c r="F178" s="100">
        <v>44599</v>
      </c>
    </row>
    <row r="179" spans="1:6" x14ac:dyDescent="0.25">
      <c r="A179" s="96" t="s">
        <v>709</v>
      </c>
      <c r="B179" s="101" t="s">
        <v>710</v>
      </c>
      <c r="C179" s="96" t="s">
        <v>869</v>
      </c>
      <c r="D179" s="96" t="s">
        <v>876</v>
      </c>
      <c r="E179" s="102">
        <v>10</v>
      </c>
      <c r="F179" s="103">
        <v>44601</v>
      </c>
    </row>
    <row r="180" spans="1:6" x14ac:dyDescent="0.25">
      <c r="A180" s="97" t="s">
        <v>711</v>
      </c>
      <c r="B180" s="98" t="s">
        <v>712</v>
      </c>
      <c r="C180" s="97" t="s">
        <v>869</v>
      </c>
      <c r="D180" s="97" t="s">
        <v>876</v>
      </c>
      <c r="E180" s="99">
        <v>10</v>
      </c>
      <c r="F180" s="100">
        <v>44603</v>
      </c>
    </row>
    <row r="181" spans="1:6" x14ac:dyDescent="0.25">
      <c r="A181" s="96" t="s">
        <v>713</v>
      </c>
      <c r="B181" s="101" t="s">
        <v>714</v>
      </c>
      <c r="C181" s="96" t="s">
        <v>869</v>
      </c>
      <c r="D181" s="96" t="s">
        <v>876</v>
      </c>
      <c r="E181" s="102">
        <v>10</v>
      </c>
      <c r="F181" s="103">
        <v>44605</v>
      </c>
    </row>
    <row r="182" spans="1:6" x14ac:dyDescent="0.25">
      <c r="A182" s="97" t="s">
        <v>715</v>
      </c>
      <c r="B182" s="98" t="s">
        <v>716</v>
      </c>
      <c r="C182" s="97" t="s">
        <v>869</v>
      </c>
      <c r="D182" s="97" t="s">
        <v>876</v>
      </c>
      <c r="E182" s="99">
        <v>10</v>
      </c>
      <c r="F182" s="100">
        <v>44607</v>
      </c>
    </row>
    <row r="183" spans="1:6" x14ac:dyDescent="0.25">
      <c r="A183" s="96" t="s">
        <v>717</v>
      </c>
      <c r="B183" s="101" t="s">
        <v>718</v>
      </c>
      <c r="C183" s="96" t="s">
        <v>869</v>
      </c>
      <c r="D183" s="96" t="s">
        <v>876</v>
      </c>
      <c r="E183" s="102">
        <v>10</v>
      </c>
      <c r="F183" s="103">
        <v>44609</v>
      </c>
    </row>
    <row r="184" spans="1:6" x14ac:dyDescent="0.25">
      <c r="A184" s="97" t="s">
        <v>719</v>
      </c>
      <c r="B184" s="98" t="s">
        <v>720</v>
      </c>
      <c r="C184" s="97" t="s">
        <v>869</v>
      </c>
      <c r="D184" s="97" t="s">
        <v>876</v>
      </c>
      <c r="E184" s="99">
        <v>10</v>
      </c>
      <c r="F184" s="100">
        <v>44611</v>
      </c>
    </row>
    <row r="185" spans="1:6" x14ac:dyDescent="0.25">
      <c r="A185" s="96" t="s">
        <v>721</v>
      </c>
      <c r="B185" s="101" t="s">
        <v>722</v>
      </c>
      <c r="C185" s="96" t="s">
        <v>869</v>
      </c>
      <c r="D185" s="96" t="s">
        <v>876</v>
      </c>
      <c r="E185" s="102">
        <v>10</v>
      </c>
      <c r="F185" s="103">
        <v>44613</v>
      </c>
    </row>
    <row r="186" spans="1:6" x14ac:dyDescent="0.25">
      <c r="A186" s="97" t="s">
        <v>723</v>
      </c>
      <c r="B186" s="98" t="s">
        <v>724</v>
      </c>
      <c r="C186" s="97" t="s">
        <v>869</v>
      </c>
      <c r="D186" s="97" t="s">
        <v>876</v>
      </c>
      <c r="E186" s="99">
        <v>10</v>
      </c>
      <c r="F186" s="100">
        <v>44615</v>
      </c>
    </row>
    <row r="187" spans="1:6" x14ac:dyDescent="0.25">
      <c r="A187" s="96" t="s">
        <v>725</v>
      </c>
      <c r="B187" s="101" t="s">
        <v>726</v>
      </c>
      <c r="C187" s="96" t="s">
        <v>869</v>
      </c>
      <c r="D187" s="96" t="s">
        <v>876</v>
      </c>
      <c r="E187" s="102">
        <v>10</v>
      </c>
      <c r="F187" s="103">
        <v>44617</v>
      </c>
    </row>
    <row r="188" spans="1:6" x14ac:dyDescent="0.25">
      <c r="A188" s="97" t="s">
        <v>727</v>
      </c>
      <c r="B188" s="98" t="s">
        <v>728</v>
      </c>
      <c r="C188" s="97" t="s">
        <v>869</v>
      </c>
      <c r="D188" s="97" t="s">
        <v>876</v>
      </c>
      <c r="E188" s="99">
        <v>10</v>
      </c>
      <c r="F188" s="100">
        <v>44619</v>
      </c>
    </row>
    <row r="189" spans="1:6" x14ac:dyDescent="0.25">
      <c r="A189" s="96" t="s">
        <v>729</v>
      </c>
      <c r="B189" s="101" t="s">
        <v>730</v>
      </c>
      <c r="C189" s="96" t="s">
        <v>869</v>
      </c>
      <c r="D189" s="96" t="s">
        <v>876</v>
      </c>
      <c r="E189" s="102">
        <v>10</v>
      </c>
      <c r="F189" s="103">
        <v>44621</v>
      </c>
    </row>
    <row r="190" spans="1:6" x14ac:dyDescent="0.25">
      <c r="A190" s="97" t="s">
        <v>731</v>
      </c>
      <c r="B190" s="98" t="s">
        <v>732</v>
      </c>
      <c r="C190" s="97" t="s">
        <v>869</v>
      </c>
      <c r="D190" s="97" t="s">
        <v>876</v>
      </c>
      <c r="E190" s="99">
        <v>10</v>
      </c>
      <c r="F190" s="100">
        <v>44623</v>
      </c>
    </row>
    <row r="191" spans="1:6" x14ac:dyDescent="0.25">
      <c r="A191" s="96" t="s">
        <v>733</v>
      </c>
      <c r="B191" s="101" t="s">
        <v>734</v>
      </c>
      <c r="C191" s="96" t="s">
        <v>869</v>
      </c>
      <c r="D191" s="96" t="s">
        <v>876</v>
      </c>
      <c r="E191" s="102">
        <v>10</v>
      </c>
      <c r="F191" s="103">
        <v>44625</v>
      </c>
    </row>
    <row r="192" spans="1:6" x14ac:dyDescent="0.25">
      <c r="A192" s="97" t="s">
        <v>735</v>
      </c>
      <c r="B192" s="98" t="s">
        <v>736</v>
      </c>
      <c r="C192" s="97" t="s">
        <v>869</v>
      </c>
      <c r="D192" s="97" t="s">
        <v>876</v>
      </c>
      <c r="E192" s="99">
        <v>10</v>
      </c>
      <c r="F192" s="100">
        <v>44627</v>
      </c>
    </row>
    <row r="193" spans="1:6" x14ac:dyDescent="0.25">
      <c r="A193" s="96" t="s">
        <v>737</v>
      </c>
      <c r="B193" s="101" t="s">
        <v>738</v>
      </c>
      <c r="C193" s="96" t="s">
        <v>869</v>
      </c>
      <c r="D193" s="96" t="s">
        <v>876</v>
      </c>
      <c r="E193" s="102">
        <v>10</v>
      </c>
      <c r="F193" s="103">
        <v>44629</v>
      </c>
    </row>
    <row r="194" spans="1:6" x14ac:dyDescent="0.25">
      <c r="A194" s="97" t="s">
        <v>739</v>
      </c>
      <c r="B194" s="98" t="s">
        <v>740</v>
      </c>
      <c r="C194" s="97" t="s">
        <v>869</v>
      </c>
      <c r="D194" s="97" t="s">
        <v>876</v>
      </c>
      <c r="E194" s="99">
        <v>10</v>
      </c>
      <c r="F194" s="100">
        <v>44631</v>
      </c>
    </row>
    <row r="195" spans="1:6" x14ac:dyDescent="0.25">
      <c r="A195" s="96" t="s">
        <v>741</v>
      </c>
      <c r="B195" s="101" t="s">
        <v>742</v>
      </c>
      <c r="C195" s="96" t="s">
        <v>869</v>
      </c>
      <c r="D195" s="96" t="s">
        <v>876</v>
      </c>
      <c r="E195" s="102">
        <v>10</v>
      </c>
      <c r="F195" s="103">
        <v>44633</v>
      </c>
    </row>
    <row r="196" spans="1:6" x14ac:dyDescent="0.25">
      <c r="A196" s="97" t="s">
        <v>743</v>
      </c>
      <c r="B196" s="98" t="s">
        <v>744</v>
      </c>
      <c r="C196" s="97" t="s">
        <v>869</v>
      </c>
      <c r="D196" s="97" t="s">
        <v>876</v>
      </c>
      <c r="E196" s="99">
        <v>10</v>
      </c>
      <c r="F196" s="100">
        <v>44635</v>
      </c>
    </row>
    <row r="197" spans="1:6" x14ac:dyDescent="0.25">
      <c r="A197" s="96" t="s">
        <v>745</v>
      </c>
      <c r="B197" s="101" t="s">
        <v>746</v>
      </c>
      <c r="C197" s="96" t="s">
        <v>869</v>
      </c>
      <c r="D197" s="96" t="s">
        <v>876</v>
      </c>
      <c r="E197" s="102">
        <v>10</v>
      </c>
      <c r="F197" s="103">
        <v>44637</v>
      </c>
    </row>
    <row r="198" spans="1:6" x14ac:dyDescent="0.25">
      <c r="A198" s="97" t="s">
        <v>747</v>
      </c>
      <c r="B198" s="98" t="s">
        <v>748</v>
      </c>
      <c r="C198" s="97" t="s">
        <v>869</v>
      </c>
      <c r="D198" s="97" t="s">
        <v>876</v>
      </c>
      <c r="E198" s="99">
        <v>10</v>
      </c>
      <c r="F198" s="100">
        <v>44639</v>
      </c>
    </row>
    <row r="199" spans="1:6" x14ac:dyDescent="0.25">
      <c r="A199" s="96" t="s">
        <v>749</v>
      </c>
      <c r="B199" s="101" t="s">
        <v>750</v>
      </c>
      <c r="C199" s="96" t="s">
        <v>869</v>
      </c>
      <c r="D199" s="96" t="s">
        <v>876</v>
      </c>
      <c r="E199" s="102">
        <v>10</v>
      </c>
      <c r="F199" s="103">
        <v>44641</v>
      </c>
    </row>
    <row r="200" spans="1:6" x14ac:dyDescent="0.25">
      <c r="A200" s="97" t="s">
        <v>751</v>
      </c>
      <c r="B200" s="98" t="s">
        <v>752</v>
      </c>
      <c r="C200" s="97" t="s">
        <v>869</v>
      </c>
      <c r="D200" s="97" t="s">
        <v>876</v>
      </c>
      <c r="E200" s="99">
        <v>10</v>
      </c>
      <c r="F200" s="100">
        <v>44643</v>
      </c>
    </row>
    <row r="201" spans="1:6" x14ac:dyDescent="0.25">
      <c r="A201" s="96" t="s">
        <v>753</v>
      </c>
      <c r="B201" s="101" t="s">
        <v>754</v>
      </c>
      <c r="C201" s="96" t="s">
        <v>869</v>
      </c>
      <c r="D201" s="96" t="s">
        <v>876</v>
      </c>
      <c r="E201" s="102">
        <v>10</v>
      </c>
      <c r="F201" s="103">
        <v>44645</v>
      </c>
    </row>
    <row r="202" spans="1:6" x14ac:dyDescent="0.25">
      <c r="A202" s="97" t="s">
        <v>755</v>
      </c>
      <c r="B202" s="98" t="s">
        <v>756</v>
      </c>
      <c r="C202" s="97" t="s">
        <v>869</v>
      </c>
      <c r="D202" s="97" t="s">
        <v>876</v>
      </c>
      <c r="E202" s="99">
        <v>10</v>
      </c>
      <c r="F202" s="100">
        <v>44647</v>
      </c>
    </row>
    <row r="203" spans="1:6" x14ac:dyDescent="0.25">
      <c r="A203" s="96" t="s">
        <v>757</v>
      </c>
      <c r="B203" s="101" t="s">
        <v>758</v>
      </c>
      <c r="C203" s="96" t="s">
        <v>869</v>
      </c>
      <c r="D203" s="96" t="s">
        <v>876</v>
      </c>
      <c r="E203" s="102">
        <v>10</v>
      </c>
      <c r="F203" s="103">
        <v>44649</v>
      </c>
    </row>
    <row r="204" spans="1:6" x14ac:dyDescent="0.25">
      <c r="A204" s="97" t="s">
        <v>759</v>
      </c>
      <c r="B204" s="98" t="s">
        <v>760</v>
      </c>
      <c r="C204" s="97" t="s">
        <v>869</v>
      </c>
      <c r="D204" s="97" t="s">
        <v>876</v>
      </c>
      <c r="E204" s="99">
        <v>10</v>
      </c>
      <c r="F204" s="100">
        <v>44651</v>
      </c>
    </row>
    <row r="205" spans="1:6" x14ac:dyDescent="0.25">
      <c r="A205" s="96" t="s">
        <v>761</v>
      </c>
      <c r="B205" s="101" t="s">
        <v>762</v>
      </c>
      <c r="C205" s="96" t="s">
        <v>869</v>
      </c>
      <c r="D205" s="96" t="s">
        <v>876</v>
      </c>
      <c r="E205" s="102">
        <v>10</v>
      </c>
      <c r="F205" s="103">
        <v>44653</v>
      </c>
    </row>
    <row r="206" spans="1:6" x14ac:dyDescent="0.25">
      <c r="A206" s="97" t="s">
        <v>763</v>
      </c>
      <c r="B206" s="98" t="s">
        <v>764</v>
      </c>
      <c r="C206" s="97" t="s">
        <v>869</v>
      </c>
      <c r="D206" s="97" t="s">
        <v>876</v>
      </c>
      <c r="E206" s="99">
        <v>10</v>
      </c>
      <c r="F206" s="100">
        <v>44655</v>
      </c>
    </row>
    <row r="207" spans="1:6" x14ac:dyDescent="0.25">
      <c r="A207" s="96" t="s">
        <v>765</v>
      </c>
      <c r="B207" s="101" t="s">
        <v>766</v>
      </c>
      <c r="C207" s="96" t="s">
        <v>869</v>
      </c>
      <c r="D207" s="96" t="s">
        <v>876</v>
      </c>
      <c r="E207" s="102">
        <v>10</v>
      </c>
      <c r="F207" s="103">
        <v>44657</v>
      </c>
    </row>
    <row r="208" spans="1:6" x14ac:dyDescent="0.25">
      <c r="A208" s="97" t="s">
        <v>767</v>
      </c>
      <c r="B208" s="98" t="s">
        <v>768</v>
      </c>
      <c r="C208" s="97" t="s">
        <v>869</v>
      </c>
      <c r="D208" s="97" t="s">
        <v>876</v>
      </c>
      <c r="E208" s="99">
        <v>10</v>
      </c>
      <c r="F208" s="100">
        <v>44659</v>
      </c>
    </row>
    <row r="209" spans="1:6" x14ac:dyDescent="0.25">
      <c r="A209" s="96" t="s">
        <v>769</v>
      </c>
      <c r="B209" s="101" t="s">
        <v>770</v>
      </c>
      <c r="C209" s="96" t="s">
        <v>869</v>
      </c>
      <c r="D209" s="96" t="s">
        <v>876</v>
      </c>
      <c r="E209" s="102">
        <v>10</v>
      </c>
      <c r="F209" s="103">
        <v>44661</v>
      </c>
    </row>
    <row r="210" spans="1:6" x14ac:dyDescent="0.25">
      <c r="A210" s="97" t="s">
        <v>771</v>
      </c>
      <c r="B210" s="98" t="s">
        <v>772</v>
      </c>
      <c r="C210" s="97" t="s">
        <v>869</v>
      </c>
      <c r="D210" s="97" t="s">
        <v>876</v>
      </c>
      <c r="E210" s="99">
        <v>10</v>
      </c>
      <c r="F210" s="100">
        <v>44663</v>
      </c>
    </row>
    <row r="211" spans="1:6" x14ac:dyDescent="0.25">
      <c r="A211" s="96" t="s">
        <v>773</v>
      </c>
      <c r="B211" s="101" t="s">
        <v>774</v>
      </c>
      <c r="C211" s="96" t="s">
        <v>869</v>
      </c>
      <c r="D211" s="96" t="s">
        <v>876</v>
      </c>
      <c r="E211" s="102">
        <v>10</v>
      </c>
      <c r="F211" s="103">
        <v>44665</v>
      </c>
    </row>
    <row r="212" spans="1:6" x14ac:dyDescent="0.25">
      <c r="A212" s="97" t="s">
        <v>775</v>
      </c>
      <c r="B212" s="98" t="s">
        <v>776</v>
      </c>
      <c r="C212" s="97" t="s">
        <v>869</v>
      </c>
      <c r="D212" s="97" t="s">
        <v>876</v>
      </c>
      <c r="E212" s="99">
        <v>10</v>
      </c>
      <c r="F212" s="100">
        <v>44667</v>
      </c>
    </row>
    <row r="213" spans="1:6" x14ac:dyDescent="0.25">
      <c r="A213" s="96" t="s">
        <v>777</v>
      </c>
      <c r="B213" s="101" t="s">
        <v>778</v>
      </c>
      <c r="C213" s="96" t="s">
        <v>869</v>
      </c>
      <c r="D213" s="96" t="s">
        <v>876</v>
      </c>
      <c r="E213" s="102">
        <v>10</v>
      </c>
      <c r="F213" s="103">
        <v>44669</v>
      </c>
    </row>
    <row r="214" spans="1:6" x14ac:dyDescent="0.25">
      <c r="A214" s="97" t="s">
        <v>779</v>
      </c>
      <c r="B214" s="98" t="s">
        <v>780</v>
      </c>
      <c r="C214" s="97" t="s">
        <v>869</v>
      </c>
      <c r="D214" s="97" t="s">
        <v>876</v>
      </c>
      <c r="E214" s="99">
        <v>10</v>
      </c>
      <c r="F214" s="100">
        <v>44671</v>
      </c>
    </row>
    <row r="215" spans="1:6" x14ac:dyDescent="0.25">
      <c r="A215" s="96" t="s">
        <v>781</v>
      </c>
      <c r="B215" s="101" t="s">
        <v>782</v>
      </c>
      <c r="C215" s="96" t="s">
        <v>869</v>
      </c>
      <c r="D215" s="96" t="s">
        <v>876</v>
      </c>
      <c r="E215" s="102">
        <v>10</v>
      </c>
      <c r="F215" s="103">
        <v>44673</v>
      </c>
    </row>
    <row r="216" spans="1:6" x14ac:dyDescent="0.25">
      <c r="A216" s="97" t="s">
        <v>783</v>
      </c>
      <c r="B216" s="98" t="s">
        <v>784</v>
      </c>
      <c r="C216" s="97" t="s">
        <v>869</v>
      </c>
      <c r="D216" s="97" t="s">
        <v>876</v>
      </c>
      <c r="E216" s="99">
        <v>10</v>
      </c>
      <c r="F216" s="100">
        <v>44675</v>
      </c>
    </row>
    <row r="217" spans="1:6" x14ac:dyDescent="0.25">
      <c r="A217" s="96" t="s">
        <v>785</v>
      </c>
      <c r="B217" s="101" t="s">
        <v>786</v>
      </c>
      <c r="C217" s="96" t="s">
        <v>869</v>
      </c>
      <c r="D217" s="96" t="s">
        <v>876</v>
      </c>
      <c r="E217" s="102">
        <v>10</v>
      </c>
      <c r="F217" s="103">
        <v>44677</v>
      </c>
    </row>
    <row r="218" spans="1:6" x14ac:dyDescent="0.25">
      <c r="A218" s="97" t="s">
        <v>787</v>
      </c>
      <c r="B218" s="98" t="s">
        <v>788</v>
      </c>
      <c r="C218" s="97" t="s">
        <v>869</v>
      </c>
      <c r="D218" s="97" t="s">
        <v>876</v>
      </c>
      <c r="E218" s="99">
        <v>10</v>
      </c>
      <c r="F218" s="100">
        <v>44679</v>
      </c>
    </row>
    <row r="219" spans="1:6" x14ac:dyDescent="0.25">
      <c r="A219" s="96" t="s">
        <v>789</v>
      </c>
      <c r="B219" s="101" t="s">
        <v>790</v>
      </c>
      <c r="C219" s="96" t="s">
        <v>869</v>
      </c>
      <c r="D219" s="96" t="s">
        <v>876</v>
      </c>
      <c r="E219" s="102">
        <v>10</v>
      </c>
      <c r="F219" s="103">
        <v>44681</v>
      </c>
    </row>
    <row r="220" spans="1:6" x14ac:dyDescent="0.25">
      <c r="A220" s="97" t="s">
        <v>791</v>
      </c>
      <c r="B220" s="98" t="s">
        <v>792</v>
      </c>
      <c r="C220" s="97" t="s">
        <v>869</v>
      </c>
      <c r="D220" s="97" t="s">
        <v>876</v>
      </c>
      <c r="E220" s="99">
        <v>10</v>
      </c>
      <c r="F220" s="100">
        <v>44683</v>
      </c>
    </row>
    <row r="221" spans="1:6" x14ac:dyDescent="0.25">
      <c r="A221" s="96" t="s">
        <v>793</v>
      </c>
      <c r="B221" s="101" t="s">
        <v>794</v>
      </c>
      <c r="C221" s="96" t="s">
        <v>869</v>
      </c>
      <c r="D221" s="96" t="s">
        <v>876</v>
      </c>
      <c r="E221" s="102">
        <v>10</v>
      </c>
      <c r="F221" s="103">
        <v>44685</v>
      </c>
    </row>
    <row r="222" spans="1:6" x14ac:dyDescent="0.25">
      <c r="A222" s="97" t="s">
        <v>795</v>
      </c>
      <c r="B222" s="98" t="s">
        <v>796</v>
      </c>
      <c r="C222" s="97" t="s">
        <v>869</v>
      </c>
      <c r="D222" s="97" t="s">
        <v>876</v>
      </c>
      <c r="E222" s="99">
        <v>10</v>
      </c>
      <c r="F222" s="100">
        <v>44687</v>
      </c>
    </row>
    <row r="223" spans="1:6" x14ac:dyDescent="0.25">
      <c r="A223" s="96" t="s">
        <v>797</v>
      </c>
      <c r="B223" s="101" t="s">
        <v>798</v>
      </c>
      <c r="C223" s="96" t="s">
        <v>869</v>
      </c>
      <c r="D223" s="96" t="s">
        <v>876</v>
      </c>
      <c r="E223" s="102">
        <v>10</v>
      </c>
      <c r="F223" s="103">
        <v>44689</v>
      </c>
    </row>
    <row r="224" spans="1:6" x14ac:dyDescent="0.25">
      <c r="A224" s="97" t="s">
        <v>799</v>
      </c>
      <c r="B224" s="98" t="s">
        <v>800</v>
      </c>
      <c r="C224" s="97" t="s">
        <v>869</v>
      </c>
      <c r="D224" s="97" t="s">
        <v>871</v>
      </c>
      <c r="E224" s="99">
        <v>10</v>
      </c>
      <c r="F224" s="100">
        <v>44691</v>
      </c>
    </row>
    <row r="225" spans="1:6" x14ac:dyDescent="0.25">
      <c r="A225" s="96" t="s">
        <v>801</v>
      </c>
      <c r="B225" s="101" t="s">
        <v>802</v>
      </c>
      <c r="C225" s="96" t="s">
        <v>869</v>
      </c>
      <c r="D225" s="96" t="s">
        <v>871</v>
      </c>
      <c r="E225" s="102">
        <v>10</v>
      </c>
      <c r="F225" s="103">
        <v>44693</v>
      </c>
    </row>
    <row r="226" spans="1:6" x14ac:dyDescent="0.25">
      <c r="A226" s="97" t="s">
        <v>803</v>
      </c>
      <c r="B226" s="98" t="s">
        <v>804</v>
      </c>
      <c r="C226" s="97" t="s">
        <v>869</v>
      </c>
      <c r="D226" s="97" t="s">
        <v>871</v>
      </c>
      <c r="E226" s="99">
        <v>10</v>
      </c>
      <c r="F226" s="100">
        <v>44695</v>
      </c>
    </row>
    <row r="227" spans="1:6" x14ac:dyDescent="0.25">
      <c r="A227" s="96" t="s">
        <v>805</v>
      </c>
      <c r="B227" s="101" t="s">
        <v>806</v>
      </c>
      <c r="C227" s="96" t="s">
        <v>869</v>
      </c>
      <c r="D227" s="96" t="s">
        <v>871</v>
      </c>
      <c r="E227" s="102">
        <v>10</v>
      </c>
      <c r="F227" s="103">
        <v>44697</v>
      </c>
    </row>
    <row r="228" spans="1:6" x14ac:dyDescent="0.25">
      <c r="A228" s="97" t="s">
        <v>807</v>
      </c>
      <c r="B228" s="98" t="s">
        <v>808</v>
      </c>
      <c r="C228" s="97" t="s">
        <v>869</v>
      </c>
      <c r="D228" s="97" t="s">
        <v>871</v>
      </c>
      <c r="E228" s="99">
        <v>10</v>
      </c>
      <c r="F228" s="100">
        <v>44699</v>
      </c>
    </row>
    <row r="229" spans="1:6" x14ac:dyDescent="0.25">
      <c r="A229" s="96" t="s">
        <v>809</v>
      </c>
      <c r="B229" s="101" t="s">
        <v>810</v>
      </c>
      <c r="C229" s="96" t="s">
        <v>869</v>
      </c>
      <c r="D229" s="96" t="s">
        <v>871</v>
      </c>
      <c r="E229" s="102">
        <v>10</v>
      </c>
      <c r="F229" s="103">
        <v>44701</v>
      </c>
    </row>
    <row r="230" spans="1:6" x14ac:dyDescent="0.25">
      <c r="A230" s="97" t="s">
        <v>811</v>
      </c>
      <c r="B230" s="98" t="s">
        <v>812</v>
      </c>
      <c r="C230" s="97" t="s">
        <v>869</v>
      </c>
      <c r="D230" s="97" t="s">
        <v>871</v>
      </c>
      <c r="E230" s="99">
        <v>10</v>
      </c>
      <c r="F230" s="100">
        <v>44703</v>
      </c>
    </row>
    <row r="231" spans="1:6" x14ac:dyDescent="0.25">
      <c r="A231" s="96" t="s">
        <v>813</v>
      </c>
      <c r="B231" s="101" t="s">
        <v>814</v>
      </c>
      <c r="C231" s="96" t="s">
        <v>869</v>
      </c>
      <c r="D231" s="96" t="s">
        <v>871</v>
      </c>
      <c r="E231" s="102">
        <v>10</v>
      </c>
      <c r="F231" s="103">
        <v>44705</v>
      </c>
    </row>
    <row r="232" spans="1:6" x14ac:dyDescent="0.25">
      <c r="A232" s="97" t="s">
        <v>815</v>
      </c>
      <c r="B232" s="98" t="s">
        <v>816</v>
      </c>
      <c r="C232" s="97" t="s">
        <v>869</v>
      </c>
      <c r="D232" s="97" t="s">
        <v>871</v>
      </c>
      <c r="E232" s="99">
        <v>10</v>
      </c>
      <c r="F232" s="100">
        <v>44707</v>
      </c>
    </row>
    <row r="233" spans="1:6" x14ac:dyDescent="0.25">
      <c r="A233" s="96" t="s">
        <v>817</v>
      </c>
      <c r="B233" s="101" t="s">
        <v>818</v>
      </c>
      <c r="C233" s="96" t="s">
        <v>869</v>
      </c>
      <c r="D233" s="96" t="s">
        <v>871</v>
      </c>
      <c r="E233" s="102">
        <v>10</v>
      </c>
      <c r="F233" s="103">
        <v>44709</v>
      </c>
    </row>
    <row r="234" spans="1:6" x14ac:dyDescent="0.25">
      <c r="A234" s="97" t="s">
        <v>819</v>
      </c>
      <c r="B234" s="98" t="s">
        <v>820</v>
      </c>
      <c r="C234" s="97" t="s">
        <v>869</v>
      </c>
      <c r="D234" s="97" t="s">
        <v>871</v>
      </c>
      <c r="E234" s="99">
        <v>10</v>
      </c>
      <c r="F234" s="100">
        <v>44711</v>
      </c>
    </row>
    <row r="235" spans="1:6" x14ac:dyDescent="0.25">
      <c r="A235" s="96" t="s">
        <v>821</v>
      </c>
      <c r="B235" s="101" t="s">
        <v>822</v>
      </c>
      <c r="C235" s="96" t="s">
        <v>869</v>
      </c>
      <c r="D235" s="96" t="s">
        <v>871</v>
      </c>
      <c r="E235" s="102">
        <v>10</v>
      </c>
      <c r="F235" s="103">
        <v>44713</v>
      </c>
    </row>
    <row r="236" spans="1:6" x14ac:dyDescent="0.25">
      <c r="A236" s="97" t="s">
        <v>823</v>
      </c>
      <c r="B236" s="98" t="s">
        <v>824</v>
      </c>
      <c r="C236" s="97" t="s">
        <v>869</v>
      </c>
      <c r="D236" s="97" t="s">
        <v>871</v>
      </c>
      <c r="E236" s="99">
        <v>10</v>
      </c>
      <c r="F236" s="100">
        <v>44715</v>
      </c>
    </row>
    <row r="237" spans="1:6" x14ac:dyDescent="0.25">
      <c r="A237" s="96" t="s">
        <v>825</v>
      </c>
      <c r="B237" s="101" t="s">
        <v>826</v>
      </c>
      <c r="C237" s="96" t="s">
        <v>869</v>
      </c>
      <c r="D237" s="96" t="s">
        <v>871</v>
      </c>
      <c r="E237" s="102">
        <v>10</v>
      </c>
      <c r="F237" s="103">
        <v>44717</v>
      </c>
    </row>
    <row r="238" spans="1:6" x14ac:dyDescent="0.25">
      <c r="A238" s="97" t="s">
        <v>827</v>
      </c>
      <c r="B238" s="98" t="s">
        <v>828</v>
      </c>
      <c r="C238" s="97" t="s">
        <v>869</v>
      </c>
      <c r="D238" s="97" t="s">
        <v>871</v>
      </c>
      <c r="E238" s="99">
        <v>10</v>
      </c>
      <c r="F238" s="100">
        <v>44719</v>
      </c>
    </row>
    <row r="239" spans="1:6" x14ac:dyDescent="0.25">
      <c r="A239" s="96" t="s">
        <v>829</v>
      </c>
      <c r="B239" s="101" t="s">
        <v>830</v>
      </c>
      <c r="C239" s="96" t="s">
        <v>869</v>
      </c>
      <c r="D239" s="96" t="s">
        <v>871</v>
      </c>
      <c r="E239" s="102">
        <v>10</v>
      </c>
      <c r="F239" s="103">
        <v>44721</v>
      </c>
    </row>
    <row r="240" spans="1:6" x14ac:dyDescent="0.25">
      <c r="A240" s="97" t="s">
        <v>831</v>
      </c>
      <c r="B240" s="98" t="s">
        <v>832</v>
      </c>
      <c r="C240" s="97" t="s">
        <v>869</v>
      </c>
      <c r="D240" s="97" t="s">
        <v>871</v>
      </c>
      <c r="E240" s="99">
        <v>10</v>
      </c>
      <c r="F240" s="100">
        <v>44723</v>
      </c>
    </row>
    <row r="241" spans="1:6" x14ac:dyDescent="0.25">
      <c r="A241" s="96" t="s">
        <v>833</v>
      </c>
      <c r="B241" s="101" t="s">
        <v>834</v>
      </c>
      <c r="C241" s="96" t="s">
        <v>869</v>
      </c>
      <c r="D241" s="96" t="s">
        <v>871</v>
      </c>
      <c r="E241" s="102">
        <v>10</v>
      </c>
      <c r="F241" s="103">
        <v>44725</v>
      </c>
    </row>
    <row r="242" spans="1:6" x14ac:dyDescent="0.25">
      <c r="A242" s="97" t="s">
        <v>835</v>
      </c>
      <c r="B242" s="98" t="s">
        <v>836</v>
      </c>
      <c r="C242" s="97" t="s">
        <v>869</v>
      </c>
      <c r="D242" s="97" t="s">
        <v>871</v>
      </c>
      <c r="E242" s="99">
        <v>10</v>
      </c>
      <c r="F242" s="100">
        <v>44727</v>
      </c>
    </row>
    <row r="243" spans="1:6" x14ac:dyDescent="0.25">
      <c r="A243" s="96" t="s">
        <v>837</v>
      </c>
      <c r="B243" s="101" t="s">
        <v>838</v>
      </c>
      <c r="C243" s="96" t="s">
        <v>869</v>
      </c>
      <c r="D243" s="96" t="s">
        <v>870</v>
      </c>
      <c r="E243" s="102">
        <v>10</v>
      </c>
      <c r="F243" s="103">
        <v>44729</v>
      </c>
    </row>
    <row r="244" spans="1:6" x14ac:dyDescent="0.25">
      <c r="A244" s="97" t="s">
        <v>839</v>
      </c>
      <c r="B244" s="98" t="s">
        <v>840</v>
      </c>
      <c r="C244" s="97" t="s">
        <v>869</v>
      </c>
      <c r="D244" s="97" t="s">
        <v>870</v>
      </c>
      <c r="E244" s="99">
        <v>10</v>
      </c>
      <c r="F244" s="100">
        <v>44731</v>
      </c>
    </row>
    <row r="245" spans="1:6" x14ac:dyDescent="0.25">
      <c r="A245" s="96" t="s">
        <v>841</v>
      </c>
      <c r="B245" s="101" t="s">
        <v>842</v>
      </c>
      <c r="C245" s="96" t="s">
        <v>869</v>
      </c>
      <c r="D245" s="96" t="s">
        <v>870</v>
      </c>
      <c r="E245" s="102">
        <v>10</v>
      </c>
      <c r="F245" s="103">
        <v>44733</v>
      </c>
    </row>
    <row r="246" spans="1:6" x14ac:dyDescent="0.25">
      <c r="A246" s="97" t="s">
        <v>843</v>
      </c>
      <c r="B246" s="98" t="s">
        <v>844</v>
      </c>
      <c r="C246" s="97" t="s">
        <v>869</v>
      </c>
      <c r="D246" s="97" t="s">
        <v>870</v>
      </c>
      <c r="E246" s="99">
        <v>10</v>
      </c>
      <c r="F246" s="100">
        <v>44735</v>
      </c>
    </row>
    <row r="247" spans="1:6" x14ac:dyDescent="0.25">
      <c r="A247" s="96" t="s">
        <v>845</v>
      </c>
      <c r="B247" s="101" t="s">
        <v>846</v>
      </c>
      <c r="C247" s="96" t="s">
        <v>869</v>
      </c>
      <c r="D247" s="96" t="s">
        <v>870</v>
      </c>
      <c r="E247" s="102">
        <v>10</v>
      </c>
      <c r="F247" s="103">
        <v>44737</v>
      </c>
    </row>
    <row r="248" spans="1:6" x14ac:dyDescent="0.25">
      <c r="A248" s="97" t="s">
        <v>847</v>
      </c>
      <c r="B248" s="98" t="s">
        <v>848</v>
      </c>
      <c r="C248" s="97" t="s">
        <v>869</v>
      </c>
      <c r="D248" s="97" t="s">
        <v>870</v>
      </c>
      <c r="E248" s="99">
        <v>10</v>
      </c>
      <c r="F248" s="100">
        <v>44739</v>
      </c>
    </row>
    <row r="249" spans="1:6" x14ac:dyDescent="0.25">
      <c r="A249" s="96" t="s">
        <v>849</v>
      </c>
      <c r="B249" s="101" t="s">
        <v>850</v>
      </c>
      <c r="C249" s="96" t="s">
        <v>869</v>
      </c>
      <c r="D249" s="96" t="s">
        <v>870</v>
      </c>
      <c r="E249" s="102">
        <v>10</v>
      </c>
      <c r="F249" s="103">
        <v>44741</v>
      </c>
    </row>
    <row r="250" spans="1:6" x14ac:dyDescent="0.25">
      <c r="A250" s="97" t="s">
        <v>851</v>
      </c>
      <c r="B250" s="98" t="s">
        <v>852</v>
      </c>
      <c r="C250" s="97" t="s">
        <v>869</v>
      </c>
      <c r="D250" s="97" t="s">
        <v>870</v>
      </c>
      <c r="E250" s="99">
        <v>10</v>
      </c>
      <c r="F250" s="100">
        <v>44743</v>
      </c>
    </row>
    <row r="251" spans="1:6" x14ac:dyDescent="0.25">
      <c r="A251" s="96" t="s">
        <v>853</v>
      </c>
      <c r="B251" s="101" t="s">
        <v>854</v>
      </c>
      <c r="C251" s="96" t="s">
        <v>869</v>
      </c>
      <c r="D251" s="96" t="s">
        <v>870</v>
      </c>
      <c r="E251" s="102">
        <v>10</v>
      </c>
      <c r="F251" s="103">
        <v>44745</v>
      </c>
    </row>
    <row r="252" spans="1:6" x14ac:dyDescent="0.25">
      <c r="A252" s="97" t="s">
        <v>855</v>
      </c>
      <c r="B252" s="98" t="s">
        <v>856</v>
      </c>
      <c r="C252" s="97" t="s">
        <v>869</v>
      </c>
      <c r="D252" s="97" t="s">
        <v>870</v>
      </c>
      <c r="E252" s="99">
        <v>10</v>
      </c>
      <c r="F252" s="100">
        <v>44747</v>
      </c>
    </row>
    <row r="253" spans="1:6" x14ac:dyDescent="0.25">
      <c r="A253" s="96" t="s">
        <v>857</v>
      </c>
      <c r="B253" s="101" t="s">
        <v>858</v>
      </c>
      <c r="C253" s="96" t="s">
        <v>869</v>
      </c>
      <c r="D253" s="96" t="s">
        <v>870</v>
      </c>
      <c r="E253" s="102">
        <v>10</v>
      </c>
      <c r="F253" s="103">
        <v>44749</v>
      </c>
    </row>
    <row r="254" spans="1:6" x14ac:dyDescent="0.25">
      <c r="A254" s="97" t="s">
        <v>859</v>
      </c>
      <c r="B254" s="98" t="s">
        <v>860</v>
      </c>
      <c r="C254" s="97" t="s">
        <v>869</v>
      </c>
      <c r="D254" s="97" t="s">
        <v>870</v>
      </c>
      <c r="E254" s="99">
        <v>10</v>
      </c>
      <c r="F254" s="100">
        <v>44751</v>
      </c>
    </row>
    <row r="255" spans="1:6" x14ac:dyDescent="0.25">
      <c r="A255" s="96" t="s">
        <v>861</v>
      </c>
      <c r="B255" s="101" t="s">
        <v>862</v>
      </c>
      <c r="C255" s="96" t="s">
        <v>869</v>
      </c>
      <c r="D255" s="96" t="s">
        <v>870</v>
      </c>
      <c r="E255" s="102">
        <v>10</v>
      </c>
      <c r="F255" s="103">
        <v>44753</v>
      </c>
    </row>
    <row r="256" spans="1:6" x14ac:dyDescent="0.25">
      <c r="A256" s="97" t="s">
        <v>863</v>
      </c>
      <c r="B256" s="98" t="s">
        <v>864</v>
      </c>
      <c r="C256" s="97" t="s">
        <v>869</v>
      </c>
      <c r="D256" s="97" t="s">
        <v>870</v>
      </c>
      <c r="E256" s="99">
        <v>10</v>
      </c>
      <c r="F256" s="100">
        <v>44755</v>
      </c>
    </row>
    <row r="257" spans="1:6" x14ac:dyDescent="0.25">
      <c r="A257" s="96" t="s">
        <v>865</v>
      </c>
      <c r="B257" s="101" t="s">
        <v>866</v>
      </c>
      <c r="C257" s="96" t="s">
        <v>869</v>
      </c>
      <c r="D257" s="96" t="s">
        <v>870</v>
      </c>
      <c r="E257" s="102">
        <v>10</v>
      </c>
      <c r="F257" s="103">
        <v>44757</v>
      </c>
    </row>
    <row r="258" spans="1:6" x14ac:dyDescent="0.25">
      <c r="A258" s="97" t="s">
        <v>867</v>
      </c>
      <c r="B258" s="98" t="s">
        <v>868</v>
      </c>
      <c r="C258" s="97" t="s">
        <v>869</v>
      </c>
      <c r="D258" s="97" t="s">
        <v>870</v>
      </c>
      <c r="E258" s="99">
        <v>10</v>
      </c>
      <c r="F258" s="100">
        <v>44759</v>
      </c>
    </row>
    <row r="259" spans="1:6" x14ac:dyDescent="0.25">
      <c r="A259" s="92" t="s">
        <v>943</v>
      </c>
      <c r="B259" s="93" t="s">
        <v>945</v>
      </c>
      <c r="C259" s="92" t="s">
        <v>869</v>
      </c>
      <c r="D259" s="92" t="s">
        <v>946</v>
      </c>
      <c r="E259" s="94">
        <v>20</v>
      </c>
      <c r="F259" s="95">
        <v>44761</v>
      </c>
    </row>
  </sheetData>
  <pageMargins left="0.7" right="0.1" top="0.3" bottom="0.3" header="0.3" footer="0.3"/>
  <pageSetup paperSize="9" fitToHeight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reportForm">
              <controlPr defaultSize="0" print="0" autoFill="0" autoPict="0" macro="[0]!ShowExpiryForm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10" t="s">
        <v>864</v>
      </c>
      <c r="L14" s="110"/>
      <c r="M14" s="110"/>
      <c r="N14" s="49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108"/>
      <c r="B17" s="108"/>
      <c r="C17" s="108"/>
      <c r="D17" s="113" t="s">
        <v>878</v>
      </c>
      <c r="E17" s="113"/>
      <c r="F17" s="111">
        <v>44245</v>
      </c>
      <c r="G17" s="111"/>
      <c r="H17" s="112" t="str">
        <f>TEXT(F17,"DDD")</f>
        <v>Thu</v>
      </c>
      <c r="I17" s="112"/>
      <c r="J17" s="14"/>
      <c r="K17" s="14"/>
      <c r="L17" s="14"/>
      <c r="M17" s="14"/>
      <c r="N17" s="14"/>
      <c r="O17" s="14"/>
      <c r="P17" s="104" t="s">
        <v>873</v>
      </c>
      <c r="Q17" s="109">
        <f>IFERROR(Help!B14,"")</f>
        <v>44755</v>
      </c>
      <c r="R17" s="109"/>
      <c r="S17" s="14"/>
    </row>
    <row r="18" spans="1:19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4"/>
      <c r="K18" s="14"/>
      <c r="L18" s="14"/>
      <c r="M18" s="14"/>
      <c r="N18" s="14"/>
      <c r="O18" s="14"/>
      <c r="S18" s="14"/>
    </row>
    <row r="19" spans="1:19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selectLockedCell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I5" sqref="I5:J5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SUM(ProductMaster!$I$3:$I$426)&amp; " Unit(s)"</f>
        <v>18879 Unit(s)</v>
      </c>
      <c r="D1" s="9"/>
      <c r="E1" s="9"/>
      <c r="F1" s="10" t="s">
        <v>14</v>
      </c>
      <c r="G1" t="s">
        <v>16</v>
      </c>
      <c r="I1" s="64" t="s">
        <v>967</v>
      </c>
      <c r="J1" s="64" t="s">
        <v>965</v>
      </c>
      <c r="K1" s="64" t="s">
        <v>968</v>
      </c>
      <c r="L1" s="64" t="s">
        <v>966</v>
      </c>
    </row>
    <row r="2" spans="1:12" x14ac:dyDescent="0.25">
      <c r="A2" t="s">
        <v>11</v>
      </c>
      <c r="B2" s="8">
        <f>SUM(ProductMaster!$J$3:$J$426)</f>
        <v>47449.000000000007</v>
      </c>
      <c r="F2" s="11" t="s">
        <v>870</v>
      </c>
      <c r="G2" s="12">
        <v>3729</v>
      </c>
      <c r="I2" t="s">
        <v>958</v>
      </c>
      <c r="J2" t="s">
        <v>955</v>
      </c>
      <c r="K2" t="s">
        <v>969</v>
      </c>
      <c r="L2" t="s">
        <v>961</v>
      </c>
    </row>
    <row r="3" spans="1:12" x14ac:dyDescent="0.25">
      <c r="A3" t="s">
        <v>879</v>
      </c>
      <c r="B3" s="9">
        <f ca="1">TODAY()-30</f>
        <v>43777</v>
      </c>
      <c r="F3" s="11" t="s">
        <v>946</v>
      </c>
      <c r="G3" s="12">
        <v>55</v>
      </c>
      <c r="I3" t="s">
        <v>959</v>
      </c>
      <c r="J3" t="s">
        <v>956</v>
      </c>
      <c r="K3" t="s">
        <v>970</v>
      </c>
      <c r="L3" t="s">
        <v>971</v>
      </c>
    </row>
    <row r="4" spans="1:12" x14ac:dyDescent="0.25">
      <c r="A4" t="s">
        <v>880</v>
      </c>
      <c r="B4" s="9">
        <f ca="1">TODAY()</f>
        <v>43807</v>
      </c>
      <c r="F4" s="11" t="s">
        <v>876</v>
      </c>
      <c r="G4" s="12">
        <v>2846</v>
      </c>
      <c r="I4" t="s">
        <v>960</v>
      </c>
      <c r="J4" t="s">
        <v>957</v>
      </c>
      <c r="K4" t="s">
        <v>972</v>
      </c>
      <c r="L4" t="s">
        <v>973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1849 Unit(s)</v>
      </c>
      <c r="F5" s="11" t="s">
        <v>871</v>
      </c>
      <c r="G5" s="12">
        <v>6984</v>
      </c>
      <c r="I5" t="s">
        <v>982</v>
      </c>
      <c r="J5" t="s">
        <v>983</v>
      </c>
      <c r="K5" t="s">
        <v>980</v>
      </c>
      <c r="L5" t="s">
        <v>981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50 Unit(s)</v>
      </c>
      <c r="F6" s="11" t="s">
        <v>875</v>
      </c>
      <c r="G6" s="12">
        <v>5320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422</v>
      </c>
      <c r="F7" s="11" t="s">
        <v>15</v>
      </c>
      <c r="G7" s="12">
        <v>18934</v>
      </c>
    </row>
    <row r="8" spans="1:12" x14ac:dyDescent="0.25">
      <c r="A8" t="s">
        <v>3</v>
      </c>
      <c r="B8" s="107" t="str">
        <f>VLOOKUP(B7,ProductMaster!$A$2:$J$426,3,0)</f>
        <v>BGD CHICKEE SESAME 100G X10PCS</v>
      </c>
    </row>
    <row r="9" spans="1:12" x14ac:dyDescent="0.25">
      <c r="A9" t="s">
        <v>8</v>
      </c>
      <c r="B9">
        <f>VLOOKUP(B7,ProductMaster!$A$2:$J$426,8,0)</f>
        <v>25</v>
      </c>
    </row>
    <row r="10" spans="1:12" x14ac:dyDescent="0.25">
      <c r="A10" t="s">
        <v>20</v>
      </c>
      <c r="B10">
        <f>VLOOKUP(B7,ProductMaster!$A$2:$J$426,9,0)</f>
        <v>15</v>
      </c>
    </row>
    <row r="11" spans="1:12" x14ac:dyDescent="0.25">
      <c r="A11" t="s">
        <v>11</v>
      </c>
      <c r="B11" s="8">
        <f>VLOOKUP(B7,ProductMaster!$A$2:$J$426,6,0)</f>
        <v>10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15 Unit(s). And, Stock Value is $10</v>
      </c>
    </row>
    <row r="13" spans="1:12" x14ac:dyDescent="0.25">
      <c r="A13" t="s">
        <v>19</v>
      </c>
      <c r="B13" t="str">
        <f>B8&amp;"'s"</f>
        <v>BGD CHICKEE SESAME 100G X10PCS's</v>
      </c>
    </row>
    <row r="14" spans="1:12" x14ac:dyDescent="0.25">
      <c r="A14" t="s">
        <v>872</v>
      </c>
      <c r="B14" s="32">
        <f>VLOOKUP(B7,ProductMaster!$A$2:$J$426,7,0)</f>
        <v>44755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>Do Something, Stock is Below Re-Order Level.</v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14"/>
      <c r="B4" s="114"/>
      <c r="C4" s="36"/>
    </row>
    <row r="5" spans="1:3" s="22" customFormat="1" ht="18" customHeight="1" x14ac:dyDescent="0.25">
      <c r="A5" s="87" t="s">
        <v>0</v>
      </c>
      <c r="B5" s="66" t="str">
        <f>IF(B10="","",(MAX(StockInData[S No.])+1))</f>
        <v/>
      </c>
      <c r="C5" s="37"/>
    </row>
    <row r="6" spans="1:3" s="22" customFormat="1" ht="18" customHeight="1" x14ac:dyDescent="0.25">
      <c r="A6" s="87" t="s">
        <v>878</v>
      </c>
      <c r="B6" s="72"/>
      <c r="C6" s="37"/>
    </row>
    <row r="7" spans="1:3" s="22" customFormat="1" ht="18" customHeight="1" x14ac:dyDescent="0.25">
      <c r="A7" s="87" t="s">
        <v>974</v>
      </c>
      <c r="B7" s="68" t="str">
        <f>IFERROR(INDEX(CustSup[Sup-ID],MATCH(B8,CustSup[Supplier],0)),"")</f>
        <v/>
      </c>
      <c r="C7" s="37"/>
    </row>
    <row r="8" spans="1:3" s="22" customFormat="1" ht="18" customHeight="1" x14ac:dyDescent="0.25">
      <c r="A8" s="87" t="s">
        <v>947</v>
      </c>
      <c r="B8" s="67"/>
      <c r="C8" s="37"/>
    </row>
    <row r="9" spans="1:3" s="22" customFormat="1" ht="18" customHeight="1" x14ac:dyDescent="0.25">
      <c r="A9" s="87" t="s">
        <v>948</v>
      </c>
      <c r="B9" s="68" t="str">
        <f>IFERROR(INDEX(ProductMaster!$B$3:INDEX(ProductMaster!$B:$B,COUNTA(ProductMaster!$B:$B)),MATCH(EnterStockIn!B10,ProductMaster!$C$3:INDEX(ProductMaster!$C:$C,COUNTA(ProductMaster!$C:$C)),0),0),"")</f>
        <v/>
      </c>
      <c r="C9" s="37"/>
    </row>
    <row r="10" spans="1:3" s="22" customFormat="1" ht="18" customHeight="1" x14ac:dyDescent="0.25">
      <c r="A10" s="87" t="s">
        <v>949</v>
      </c>
      <c r="B10" s="65"/>
      <c r="C10" s="37"/>
    </row>
    <row r="11" spans="1:3" s="22" customFormat="1" ht="18" customHeight="1" x14ac:dyDescent="0.25">
      <c r="A11" s="87" t="s">
        <v>950</v>
      </c>
      <c r="B11" s="68" t="str">
        <f>IFERROR(INDEX(ProductMaster!$D$3:INDEX(ProductMaster!$D:$D,COUNTA(ProductMaster!$D:$D)),MATCH(EnterStockIn!B10,ProductMaster!$C$3:INDEX(ProductMaster!$C:$C,COUNTA(ProductMaster!$C:$C)),0),0),"")</f>
        <v/>
      </c>
      <c r="C11" s="37"/>
    </row>
    <row r="12" spans="1:3" s="22" customFormat="1" ht="18" customHeight="1" x14ac:dyDescent="0.25">
      <c r="A12" s="87" t="s">
        <v>951</v>
      </c>
      <c r="B12" s="68" t="str">
        <f>IFERROR(INDEX(ProductMaster!$E$3:INDEX(ProductMaster!$E:$E,COUNTA(ProductMaster!$E:$E)),MATCH(EnterStockIn!B10,ProductMaster!$C$3:INDEX(ProductMaster!$C:$C,COUNTA(ProductMaster!$C:$C)),0),0),"")</f>
        <v/>
      </c>
      <c r="C12" s="37"/>
    </row>
    <row r="13" spans="1:3" s="22" customFormat="1" ht="18" customHeight="1" x14ac:dyDescent="0.25">
      <c r="A13" s="87" t="s">
        <v>873</v>
      </c>
      <c r="B13" s="73" t="str">
        <f>IFERROR(INDEX(ProductMaster!$G$3:INDEX(ProductMaster!$G:$G,COUNTA(ProductMaster!$G:$G)),MATCH(EnterStockIn!B10,ProductMaster!$C$3:INDEX(ProductMaster!$C:$C,COUNTA(ProductMaster!$C:$C)),0),0),"")</f>
        <v/>
      </c>
      <c r="C13" s="37"/>
    </row>
    <row r="14" spans="1:3" s="22" customFormat="1" ht="18" customHeight="1" x14ac:dyDescent="0.25">
      <c r="A14" s="87" t="s">
        <v>952</v>
      </c>
      <c r="B14" s="70"/>
      <c r="C14" s="37"/>
    </row>
    <row r="15" spans="1:3" s="22" customFormat="1" ht="18" customHeight="1" x14ac:dyDescent="0.25">
      <c r="A15" s="87" t="s">
        <v>7</v>
      </c>
      <c r="B15" s="74" t="str">
        <f>IFERROR(INDEX(ProductMaster!$F$3:INDEX(ProductMaster!$F:$F,COUNTA(ProductMaster!$F:$F)),MATCH(EnterStockIn!B10,ProductMaster!$C$3:INDEX(ProductMaster!$C:$C,COUNTA(ProductMaster!$C:$C)),0),0)*B14,"")</f>
        <v/>
      </c>
      <c r="C15" s="37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87" t="s">
        <v>0</v>
      </c>
      <c r="B5" s="66" t="str">
        <f>IF(B10="","",(MAX(StockOutData[S No.])+1))</f>
        <v/>
      </c>
      <c r="C5" s="14"/>
    </row>
    <row r="6" spans="1:3" ht="18" customHeight="1" x14ac:dyDescent="0.25">
      <c r="A6" s="87" t="s">
        <v>878</v>
      </c>
      <c r="B6" s="72"/>
      <c r="C6" s="14"/>
    </row>
    <row r="7" spans="1:3" ht="18" customHeight="1" x14ac:dyDescent="0.25">
      <c r="A7" s="87" t="s">
        <v>975</v>
      </c>
      <c r="B7" s="68" t="str">
        <f>IFERROR(INDEX(CustSup[Cust-ID],MATCH(B8,CustSup[Customer],0)),"")</f>
        <v/>
      </c>
      <c r="C7" s="14"/>
    </row>
    <row r="8" spans="1:3" ht="18" customHeight="1" x14ac:dyDescent="0.25">
      <c r="A8" s="87" t="s">
        <v>953</v>
      </c>
      <c r="B8" s="67"/>
      <c r="C8" s="14"/>
    </row>
    <row r="9" spans="1:3" s="48" customFormat="1" ht="18" customHeight="1" x14ac:dyDescent="0.25">
      <c r="A9" s="87" t="s">
        <v>948</v>
      </c>
      <c r="B9" s="68"/>
      <c r="C9" s="47"/>
    </row>
    <row r="10" spans="1:3" ht="18" customHeight="1" x14ac:dyDescent="0.25">
      <c r="A10" s="87" t="s">
        <v>949</v>
      </c>
      <c r="B10" s="69"/>
      <c r="C10" s="14"/>
    </row>
    <row r="11" spans="1:3" ht="18" customHeight="1" x14ac:dyDescent="0.25">
      <c r="A11" s="87" t="s">
        <v>950</v>
      </c>
      <c r="B11" s="68" t="str">
        <f>IFERROR(INDEX(ProductMaster!$D$3:INDEX(ProductMaster!$D:$D,COUNTA(ProductMaster!$D:$D)),MATCH(EnterStockOut!B10,ProductMaster!$C$3:INDEX(ProductMaster!$C:$C,COUNTA(ProductMaster!$C:$C)),0),0),"")</f>
        <v/>
      </c>
      <c r="C11" s="14"/>
    </row>
    <row r="12" spans="1:3" ht="18" customHeight="1" x14ac:dyDescent="0.25">
      <c r="A12" s="87" t="s">
        <v>951</v>
      </c>
      <c r="B12" s="68" t="str">
        <f>IFERROR(INDEX(ProductMaster!$E$3:INDEX(ProductMaster!$E:$E,COUNTA(ProductMaster!$E:$E)),MATCH(EnterStockOut!B10,ProductMaster!$C$3:INDEX(ProductMaster!$C:$C,COUNTA(ProductMaster!$C:$C)),0),0),"")</f>
        <v/>
      </c>
      <c r="C12" s="14"/>
    </row>
    <row r="13" spans="1:3" ht="18" customHeight="1" x14ac:dyDescent="0.25">
      <c r="A13" s="87" t="s">
        <v>952</v>
      </c>
      <c r="B13" s="70"/>
      <c r="C13" s="14"/>
    </row>
    <row r="14" spans="1:3" ht="18" customHeight="1" thickBot="1" x14ac:dyDescent="0.3">
      <c r="A14" s="88" t="s">
        <v>954</v>
      </c>
      <c r="B14" s="71" t="str">
        <f>IFERROR(INDEX(ProductMaster!$F$3:INDEX(ProductMaster!$F:$F,COUNTA(ProductMaster!$F:$F)),MATCH(EnterStockOut!B10,ProductMaster!$C$3:INDEX(ProductMaster!$C:$C,COUNTA(ProductMaster!$C:$C)),0),0)*B13,"")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disablePrompts="1"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30"/>
  <sheetViews>
    <sheetView showGridLines="0" workbookViewId="0">
      <pane xSplit="10" ySplit="3" topLeftCell="K4" activePane="bottomRight" state="frozen"/>
      <selection pane="topRight" activeCell="J1" sqref="J1"/>
      <selection pane="bottomLeft" activeCell="A4" sqref="A4"/>
      <selection pane="bottomRight" activeCell="F11" sqref="F11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965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29">
        <v>1</v>
      </c>
      <c r="B2" s="30">
        <v>43410</v>
      </c>
      <c r="C2" s="30" t="s">
        <v>958</v>
      </c>
      <c r="D2" s="54" t="s">
        <v>955</v>
      </c>
      <c r="E2" s="25" t="s">
        <v>21</v>
      </c>
      <c r="F2" s="26" t="s">
        <v>22</v>
      </c>
      <c r="G2" s="25" t="s">
        <v>869</v>
      </c>
      <c r="H2" s="25" t="s">
        <v>870</v>
      </c>
      <c r="I2" s="33">
        <v>43913</v>
      </c>
      <c r="J2" s="29">
        <v>60</v>
      </c>
      <c r="K2" s="31">
        <f>StockInData[[#This Row],[Quantity]]*2.5</f>
        <v>150</v>
      </c>
      <c r="O2" s="32"/>
    </row>
    <row r="3" spans="1:15" x14ac:dyDescent="0.25">
      <c r="A3" s="29">
        <v>2</v>
      </c>
      <c r="B3" s="30">
        <f>B2+1</f>
        <v>43411</v>
      </c>
      <c r="C3" s="30" t="s">
        <v>958</v>
      </c>
      <c r="D3" s="54" t="s">
        <v>955</v>
      </c>
      <c r="E3" s="25" t="s">
        <v>23</v>
      </c>
      <c r="F3" s="26" t="s">
        <v>24</v>
      </c>
      <c r="G3" s="25" t="s">
        <v>869</v>
      </c>
      <c r="H3" s="25" t="s">
        <v>870</v>
      </c>
      <c r="I3" s="33">
        <f>I2+2</f>
        <v>43915</v>
      </c>
      <c r="J3" s="29">
        <v>40</v>
      </c>
      <c r="K3" s="31">
        <f>StockInData[[#This Row],[Quantity]]*2.5</f>
        <v>100</v>
      </c>
    </row>
    <row r="4" spans="1:15" x14ac:dyDescent="0.25">
      <c r="A4" s="29">
        <v>3</v>
      </c>
      <c r="B4" s="30">
        <f>B3+1</f>
        <v>43412</v>
      </c>
      <c r="C4" s="30" t="s">
        <v>958</v>
      </c>
      <c r="D4" s="54" t="s">
        <v>955</v>
      </c>
      <c r="E4" s="25" t="s">
        <v>25</v>
      </c>
      <c r="F4" s="26" t="s">
        <v>26</v>
      </c>
      <c r="G4" s="25" t="s">
        <v>869</v>
      </c>
      <c r="H4" s="25" t="s">
        <v>870</v>
      </c>
      <c r="I4" s="33">
        <f t="shared" ref="I4:I67" si="0">I3+2</f>
        <v>43917</v>
      </c>
      <c r="J4" s="29">
        <v>30</v>
      </c>
      <c r="K4" s="31">
        <f>StockInData[[#This Row],[Quantity]]*2.5</f>
        <v>75</v>
      </c>
    </row>
    <row r="5" spans="1:15" x14ac:dyDescent="0.25">
      <c r="A5" s="29">
        <v>4</v>
      </c>
      <c r="B5" s="30">
        <f t="shared" ref="B5:B68" si="1">B4+1</f>
        <v>43413</v>
      </c>
      <c r="C5" s="30" t="s">
        <v>958</v>
      </c>
      <c r="D5" s="54" t="s">
        <v>955</v>
      </c>
      <c r="E5" s="25" t="s">
        <v>27</v>
      </c>
      <c r="F5" s="26" t="s">
        <v>28</v>
      </c>
      <c r="G5" s="25" t="s">
        <v>869</v>
      </c>
      <c r="H5" s="25" t="s">
        <v>870</v>
      </c>
      <c r="I5" s="33">
        <f t="shared" si="0"/>
        <v>43919</v>
      </c>
      <c r="J5" s="29">
        <v>25</v>
      </c>
      <c r="K5" s="31">
        <f>StockInData[[#This Row],[Quantity]]*2.5</f>
        <v>62.5</v>
      </c>
    </row>
    <row r="6" spans="1:15" x14ac:dyDescent="0.25">
      <c r="A6" s="29">
        <v>5</v>
      </c>
      <c r="B6" s="30">
        <f t="shared" si="1"/>
        <v>43414</v>
      </c>
      <c r="C6" s="30" t="s">
        <v>958</v>
      </c>
      <c r="D6" s="54" t="s">
        <v>955</v>
      </c>
      <c r="E6" s="25" t="s">
        <v>29</v>
      </c>
      <c r="F6" s="26" t="s">
        <v>30</v>
      </c>
      <c r="G6" s="25" t="s">
        <v>869</v>
      </c>
      <c r="H6" s="25" t="s">
        <v>870</v>
      </c>
      <c r="I6" s="33">
        <f t="shared" si="0"/>
        <v>43921</v>
      </c>
      <c r="J6" s="29">
        <v>20</v>
      </c>
      <c r="K6" s="31">
        <f>StockInData[[#This Row],[Quantity]]*2.5</f>
        <v>50</v>
      </c>
    </row>
    <row r="7" spans="1:15" x14ac:dyDescent="0.25">
      <c r="A7" s="29">
        <v>6</v>
      </c>
      <c r="B7" s="30">
        <f t="shared" si="1"/>
        <v>43415</v>
      </c>
      <c r="C7" s="30" t="s">
        <v>958</v>
      </c>
      <c r="D7" s="54" t="s">
        <v>955</v>
      </c>
      <c r="E7" s="25" t="s">
        <v>31</v>
      </c>
      <c r="F7" s="26" t="s">
        <v>32</v>
      </c>
      <c r="G7" s="25" t="s">
        <v>869</v>
      </c>
      <c r="H7" s="25" t="s">
        <v>870</v>
      </c>
      <c r="I7" s="33">
        <f t="shared" si="0"/>
        <v>43923</v>
      </c>
      <c r="J7" s="29">
        <v>19</v>
      </c>
      <c r="K7" s="31">
        <f>StockInData[[#This Row],[Quantity]]*2.5</f>
        <v>47.5</v>
      </c>
      <c r="M7" s="32"/>
    </row>
    <row r="8" spans="1:15" x14ac:dyDescent="0.25">
      <c r="A8" s="29">
        <v>7</v>
      </c>
      <c r="B8" s="30">
        <f t="shared" si="1"/>
        <v>43416</v>
      </c>
      <c r="C8" s="30" t="s">
        <v>958</v>
      </c>
      <c r="D8" s="54" t="s">
        <v>955</v>
      </c>
      <c r="E8" s="25" t="s">
        <v>33</v>
      </c>
      <c r="F8" s="26" t="s">
        <v>34</v>
      </c>
      <c r="G8" s="25" t="s">
        <v>869</v>
      </c>
      <c r="H8" s="25" t="s">
        <v>870</v>
      </c>
      <c r="I8" s="33">
        <f t="shared" si="0"/>
        <v>43925</v>
      </c>
      <c r="J8" s="29">
        <v>23</v>
      </c>
      <c r="K8" s="31">
        <f>StockInData[[#This Row],[Quantity]]*2.5</f>
        <v>57.5</v>
      </c>
    </row>
    <row r="9" spans="1:15" x14ac:dyDescent="0.25">
      <c r="A9" s="29">
        <v>8</v>
      </c>
      <c r="B9" s="30">
        <f t="shared" si="1"/>
        <v>43417</v>
      </c>
      <c r="C9" s="30" t="s">
        <v>958</v>
      </c>
      <c r="D9" s="54" t="s">
        <v>955</v>
      </c>
      <c r="E9" s="25" t="s">
        <v>35</v>
      </c>
      <c r="F9" s="26" t="s">
        <v>36</v>
      </c>
      <c r="G9" s="25" t="s">
        <v>869</v>
      </c>
      <c r="H9" s="25" t="s">
        <v>870</v>
      </c>
      <c r="I9" s="33">
        <f t="shared" si="0"/>
        <v>43927</v>
      </c>
      <c r="J9" s="29">
        <v>65</v>
      </c>
      <c r="K9" s="31">
        <f>StockInData[[#This Row],[Quantity]]*2.5</f>
        <v>162.5</v>
      </c>
    </row>
    <row r="10" spans="1:15" x14ac:dyDescent="0.25">
      <c r="A10" s="29">
        <v>9</v>
      </c>
      <c r="B10" s="30">
        <f t="shared" si="1"/>
        <v>43418</v>
      </c>
      <c r="C10" s="30" t="s">
        <v>958</v>
      </c>
      <c r="D10" s="54" t="s">
        <v>955</v>
      </c>
      <c r="E10" s="25" t="s">
        <v>37</v>
      </c>
      <c r="F10" s="26" t="s">
        <v>38</v>
      </c>
      <c r="G10" s="25" t="s">
        <v>869</v>
      </c>
      <c r="H10" s="25" t="s">
        <v>870</v>
      </c>
      <c r="I10" s="33">
        <f t="shared" si="0"/>
        <v>43929</v>
      </c>
      <c r="J10" s="29">
        <v>74</v>
      </c>
      <c r="K10" s="31">
        <f>StockInData[[#This Row],[Quantity]]*2.5</f>
        <v>185</v>
      </c>
    </row>
    <row r="11" spans="1:15" x14ac:dyDescent="0.25">
      <c r="A11" s="29">
        <v>10</v>
      </c>
      <c r="B11" s="30">
        <f t="shared" si="1"/>
        <v>43419</v>
      </c>
      <c r="C11" s="30" t="s">
        <v>958</v>
      </c>
      <c r="D11" s="54" t="s">
        <v>955</v>
      </c>
      <c r="E11" s="25" t="s">
        <v>39</v>
      </c>
      <c r="F11" s="26" t="s">
        <v>40</v>
      </c>
      <c r="G11" s="25" t="s">
        <v>869</v>
      </c>
      <c r="H11" s="25" t="s">
        <v>870</v>
      </c>
      <c r="I11" s="33">
        <f t="shared" si="0"/>
        <v>43931</v>
      </c>
      <c r="J11" s="29">
        <v>84</v>
      </c>
      <c r="K11" s="31">
        <f>StockInData[[#This Row],[Quantity]]*2.5</f>
        <v>210</v>
      </c>
    </row>
    <row r="12" spans="1:15" x14ac:dyDescent="0.25">
      <c r="A12" s="29">
        <v>11</v>
      </c>
      <c r="B12" s="30">
        <f t="shared" si="1"/>
        <v>43420</v>
      </c>
      <c r="C12" s="30" t="s">
        <v>958</v>
      </c>
      <c r="D12" s="54" t="s">
        <v>955</v>
      </c>
      <c r="E12" s="25" t="s">
        <v>41</v>
      </c>
      <c r="F12" s="26" t="s">
        <v>42</v>
      </c>
      <c r="G12" s="25" t="s">
        <v>869</v>
      </c>
      <c r="H12" s="25" t="s">
        <v>870</v>
      </c>
      <c r="I12" s="33">
        <f t="shared" si="0"/>
        <v>43933</v>
      </c>
      <c r="J12" s="29">
        <v>99</v>
      </c>
      <c r="K12" s="31">
        <f>StockInData[[#This Row],[Quantity]]*2.5</f>
        <v>247.5</v>
      </c>
    </row>
    <row r="13" spans="1:15" x14ac:dyDescent="0.25">
      <c r="A13" s="29">
        <v>12</v>
      </c>
      <c r="B13" s="30">
        <f t="shared" si="1"/>
        <v>43421</v>
      </c>
      <c r="C13" s="30" t="s">
        <v>958</v>
      </c>
      <c r="D13" s="54" t="s">
        <v>955</v>
      </c>
      <c r="E13" s="25" t="s">
        <v>43</v>
      </c>
      <c r="F13" s="26" t="s">
        <v>44</v>
      </c>
      <c r="G13" s="25" t="s">
        <v>869</v>
      </c>
      <c r="H13" s="25" t="s">
        <v>870</v>
      </c>
      <c r="I13" s="33">
        <f t="shared" si="0"/>
        <v>43935</v>
      </c>
      <c r="J13" s="29">
        <v>101</v>
      </c>
      <c r="K13" s="31">
        <f>StockInData[[#This Row],[Quantity]]*2.5</f>
        <v>252.5</v>
      </c>
    </row>
    <row r="14" spans="1:15" x14ac:dyDescent="0.25">
      <c r="A14" s="29">
        <v>13</v>
      </c>
      <c r="B14" s="30">
        <f t="shared" si="1"/>
        <v>43422</v>
      </c>
      <c r="C14" s="30" t="s">
        <v>958</v>
      </c>
      <c r="D14" s="54" t="s">
        <v>955</v>
      </c>
      <c r="E14" s="25" t="s">
        <v>45</v>
      </c>
      <c r="F14" s="26" t="s">
        <v>46</v>
      </c>
      <c r="G14" s="25" t="s">
        <v>869</v>
      </c>
      <c r="H14" s="25" t="s">
        <v>870</v>
      </c>
      <c r="I14" s="33">
        <f t="shared" si="0"/>
        <v>43937</v>
      </c>
      <c r="J14" s="29">
        <v>60</v>
      </c>
      <c r="K14" s="31">
        <f>StockInData[[#This Row],[Quantity]]*2.5</f>
        <v>150</v>
      </c>
    </row>
    <row r="15" spans="1:15" x14ac:dyDescent="0.25">
      <c r="A15" s="29">
        <v>14</v>
      </c>
      <c r="B15" s="30">
        <f t="shared" si="1"/>
        <v>43423</v>
      </c>
      <c r="C15" s="30" t="s">
        <v>958</v>
      </c>
      <c r="D15" s="54" t="s">
        <v>955</v>
      </c>
      <c r="E15" s="25" t="s">
        <v>47</v>
      </c>
      <c r="F15" s="26" t="s">
        <v>48</v>
      </c>
      <c r="G15" s="25" t="s">
        <v>869</v>
      </c>
      <c r="H15" s="25" t="s">
        <v>870</v>
      </c>
      <c r="I15" s="33">
        <f t="shared" si="0"/>
        <v>43939</v>
      </c>
      <c r="J15" s="29">
        <v>40</v>
      </c>
      <c r="K15" s="31">
        <f>StockInData[[#This Row],[Quantity]]*2.5</f>
        <v>100</v>
      </c>
    </row>
    <row r="16" spans="1:15" x14ac:dyDescent="0.25">
      <c r="A16" s="29">
        <v>15</v>
      </c>
      <c r="B16" s="30">
        <f t="shared" si="1"/>
        <v>43424</v>
      </c>
      <c r="C16" s="30" t="s">
        <v>958</v>
      </c>
      <c r="D16" s="54" t="s">
        <v>955</v>
      </c>
      <c r="E16" s="25" t="s">
        <v>49</v>
      </c>
      <c r="F16" s="26" t="s">
        <v>50</v>
      </c>
      <c r="G16" s="25" t="s">
        <v>869</v>
      </c>
      <c r="H16" s="25" t="s">
        <v>870</v>
      </c>
      <c r="I16" s="33">
        <f t="shared" si="0"/>
        <v>43941</v>
      </c>
      <c r="J16" s="29">
        <v>30</v>
      </c>
      <c r="K16" s="31">
        <f>StockInData[[#This Row],[Quantity]]*2.5</f>
        <v>75</v>
      </c>
    </row>
    <row r="17" spans="1:11" x14ac:dyDescent="0.25">
      <c r="A17" s="29">
        <v>16</v>
      </c>
      <c r="B17" s="30">
        <f t="shared" si="1"/>
        <v>43425</v>
      </c>
      <c r="C17" s="30" t="s">
        <v>958</v>
      </c>
      <c r="D17" s="54" t="s">
        <v>955</v>
      </c>
      <c r="E17" s="25" t="s">
        <v>51</v>
      </c>
      <c r="F17" s="26" t="s">
        <v>52</v>
      </c>
      <c r="G17" s="25" t="s">
        <v>869</v>
      </c>
      <c r="H17" s="25" t="s">
        <v>870</v>
      </c>
      <c r="I17" s="33">
        <f t="shared" si="0"/>
        <v>43943</v>
      </c>
      <c r="J17" s="29">
        <v>25</v>
      </c>
      <c r="K17" s="31">
        <f>StockInData[[#This Row],[Quantity]]*2.5</f>
        <v>62.5</v>
      </c>
    </row>
    <row r="18" spans="1:11" x14ac:dyDescent="0.25">
      <c r="A18" s="29">
        <v>17</v>
      </c>
      <c r="B18" s="30">
        <f t="shared" si="1"/>
        <v>43426</v>
      </c>
      <c r="C18" s="30" t="s">
        <v>958</v>
      </c>
      <c r="D18" s="54" t="s">
        <v>955</v>
      </c>
      <c r="E18" s="25" t="s">
        <v>53</v>
      </c>
      <c r="F18" s="26" t="s">
        <v>54</v>
      </c>
      <c r="G18" s="25" t="s">
        <v>869</v>
      </c>
      <c r="H18" s="25" t="s">
        <v>870</v>
      </c>
      <c r="I18" s="33">
        <f t="shared" si="0"/>
        <v>43945</v>
      </c>
      <c r="J18" s="29">
        <v>20</v>
      </c>
      <c r="K18" s="31">
        <f>StockInData[[#This Row],[Quantity]]*2.5</f>
        <v>50</v>
      </c>
    </row>
    <row r="19" spans="1:11" x14ac:dyDescent="0.25">
      <c r="A19" s="29">
        <v>18</v>
      </c>
      <c r="B19" s="30">
        <f t="shared" si="1"/>
        <v>43427</v>
      </c>
      <c r="C19" s="30" t="s">
        <v>958</v>
      </c>
      <c r="D19" s="54" t="s">
        <v>955</v>
      </c>
      <c r="E19" s="25" t="s">
        <v>55</v>
      </c>
      <c r="F19" s="26" t="s">
        <v>56</v>
      </c>
      <c r="G19" s="25" t="s">
        <v>869</v>
      </c>
      <c r="H19" s="25" t="s">
        <v>870</v>
      </c>
      <c r="I19" s="33">
        <f t="shared" si="0"/>
        <v>43947</v>
      </c>
      <c r="J19" s="29">
        <v>19</v>
      </c>
      <c r="K19" s="31">
        <f>StockInData[[#This Row],[Quantity]]*2.5</f>
        <v>47.5</v>
      </c>
    </row>
    <row r="20" spans="1:11" x14ac:dyDescent="0.25">
      <c r="A20" s="29">
        <v>19</v>
      </c>
      <c r="B20" s="30">
        <f t="shared" si="1"/>
        <v>43428</v>
      </c>
      <c r="C20" s="30" t="s">
        <v>958</v>
      </c>
      <c r="D20" s="54" t="s">
        <v>955</v>
      </c>
      <c r="E20" s="25" t="s">
        <v>57</v>
      </c>
      <c r="F20" s="26" t="s">
        <v>58</v>
      </c>
      <c r="G20" s="25" t="s">
        <v>869</v>
      </c>
      <c r="H20" s="25" t="s">
        <v>870</v>
      </c>
      <c r="I20" s="33">
        <f t="shared" si="0"/>
        <v>43949</v>
      </c>
      <c r="J20" s="29">
        <v>23</v>
      </c>
      <c r="K20" s="31">
        <f>StockInData[[#This Row],[Quantity]]*2.5</f>
        <v>57.5</v>
      </c>
    </row>
    <row r="21" spans="1:11" x14ac:dyDescent="0.25">
      <c r="A21" s="29">
        <v>20</v>
      </c>
      <c r="B21" s="30">
        <f t="shared" si="1"/>
        <v>43429</v>
      </c>
      <c r="C21" s="30" t="s">
        <v>958</v>
      </c>
      <c r="D21" s="54" t="s">
        <v>955</v>
      </c>
      <c r="E21" s="25" t="s">
        <v>59</v>
      </c>
      <c r="F21" s="26" t="s">
        <v>60</v>
      </c>
      <c r="G21" s="25" t="s">
        <v>869</v>
      </c>
      <c r="H21" s="25" t="s">
        <v>870</v>
      </c>
      <c r="I21" s="33">
        <f t="shared" si="0"/>
        <v>43951</v>
      </c>
      <c r="J21" s="29">
        <v>65</v>
      </c>
      <c r="K21" s="31">
        <f>StockInData[[#This Row],[Quantity]]*2.5</f>
        <v>162.5</v>
      </c>
    </row>
    <row r="22" spans="1:11" x14ac:dyDescent="0.25">
      <c r="A22" s="29">
        <v>21</v>
      </c>
      <c r="B22" s="30">
        <f t="shared" si="1"/>
        <v>43430</v>
      </c>
      <c r="C22" s="30" t="s">
        <v>958</v>
      </c>
      <c r="D22" s="54" t="s">
        <v>955</v>
      </c>
      <c r="E22" s="25" t="s">
        <v>61</v>
      </c>
      <c r="F22" s="26" t="s">
        <v>62</v>
      </c>
      <c r="G22" s="25" t="s">
        <v>869</v>
      </c>
      <c r="H22" s="25" t="s">
        <v>870</v>
      </c>
      <c r="I22" s="33">
        <f t="shared" si="0"/>
        <v>43953</v>
      </c>
      <c r="J22" s="29">
        <v>74</v>
      </c>
      <c r="K22" s="31">
        <f>StockInData[[#This Row],[Quantity]]*2.5</f>
        <v>185</v>
      </c>
    </row>
    <row r="23" spans="1:11" x14ac:dyDescent="0.25">
      <c r="A23" s="29">
        <v>22</v>
      </c>
      <c r="B23" s="30">
        <f t="shared" si="1"/>
        <v>43431</v>
      </c>
      <c r="C23" s="30" t="s">
        <v>958</v>
      </c>
      <c r="D23" s="54" t="s">
        <v>955</v>
      </c>
      <c r="E23" s="25" t="s">
        <v>63</v>
      </c>
      <c r="F23" s="26" t="s">
        <v>64</v>
      </c>
      <c r="G23" s="25" t="s">
        <v>869</v>
      </c>
      <c r="H23" s="25" t="s">
        <v>870</v>
      </c>
      <c r="I23" s="33">
        <f t="shared" si="0"/>
        <v>43955</v>
      </c>
      <c r="J23" s="29">
        <v>84</v>
      </c>
      <c r="K23" s="31">
        <f>StockInData[[#This Row],[Quantity]]*2.5</f>
        <v>210</v>
      </c>
    </row>
    <row r="24" spans="1:11" x14ac:dyDescent="0.25">
      <c r="A24" s="29">
        <v>23</v>
      </c>
      <c r="B24" s="30">
        <f t="shared" si="1"/>
        <v>43432</v>
      </c>
      <c r="C24" s="30" t="s">
        <v>958</v>
      </c>
      <c r="D24" s="54" t="s">
        <v>955</v>
      </c>
      <c r="E24" s="25" t="s">
        <v>65</v>
      </c>
      <c r="F24" s="26" t="s">
        <v>66</v>
      </c>
      <c r="G24" s="25" t="s">
        <v>869</v>
      </c>
      <c r="H24" s="25" t="s">
        <v>870</v>
      </c>
      <c r="I24" s="33">
        <f t="shared" si="0"/>
        <v>43957</v>
      </c>
      <c r="J24" s="29">
        <v>99</v>
      </c>
      <c r="K24" s="31">
        <f>StockInData[[#This Row],[Quantity]]*2.5</f>
        <v>247.5</v>
      </c>
    </row>
    <row r="25" spans="1:11" x14ac:dyDescent="0.25">
      <c r="A25" s="29">
        <v>24</v>
      </c>
      <c r="B25" s="30">
        <f t="shared" si="1"/>
        <v>43433</v>
      </c>
      <c r="C25" s="30" t="s">
        <v>958</v>
      </c>
      <c r="D25" s="54" t="s">
        <v>955</v>
      </c>
      <c r="E25" s="25" t="s">
        <v>67</v>
      </c>
      <c r="F25" s="26" t="s">
        <v>68</v>
      </c>
      <c r="G25" s="25" t="s">
        <v>869</v>
      </c>
      <c r="H25" s="25" t="s">
        <v>870</v>
      </c>
      <c r="I25" s="33">
        <f t="shared" si="0"/>
        <v>43959</v>
      </c>
      <c r="J25" s="29">
        <v>101</v>
      </c>
      <c r="K25" s="31">
        <f>StockInData[[#This Row],[Quantity]]*2.5</f>
        <v>252.5</v>
      </c>
    </row>
    <row r="26" spans="1:11" x14ac:dyDescent="0.25">
      <c r="A26" s="29">
        <v>25</v>
      </c>
      <c r="B26" s="30">
        <f t="shared" si="1"/>
        <v>43434</v>
      </c>
      <c r="C26" s="30" t="s">
        <v>958</v>
      </c>
      <c r="D26" s="54" t="s">
        <v>955</v>
      </c>
      <c r="E26" s="25" t="s">
        <v>69</v>
      </c>
      <c r="F26" s="26" t="s">
        <v>70</v>
      </c>
      <c r="G26" s="25" t="s">
        <v>869</v>
      </c>
      <c r="H26" s="25" t="s">
        <v>870</v>
      </c>
      <c r="I26" s="33">
        <f t="shared" si="0"/>
        <v>43961</v>
      </c>
      <c r="J26" s="29">
        <v>60</v>
      </c>
      <c r="K26" s="31">
        <f>StockInData[[#This Row],[Quantity]]*2.5</f>
        <v>150</v>
      </c>
    </row>
    <row r="27" spans="1:11" x14ac:dyDescent="0.25">
      <c r="A27" s="29">
        <v>26</v>
      </c>
      <c r="B27" s="30">
        <f t="shared" si="1"/>
        <v>43435</v>
      </c>
      <c r="C27" s="30" t="s">
        <v>958</v>
      </c>
      <c r="D27" s="54" t="s">
        <v>955</v>
      </c>
      <c r="E27" s="25" t="s">
        <v>71</v>
      </c>
      <c r="F27" s="26" t="s">
        <v>72</v>
      </c>
      <c r="G27" s="25" t="s">
        <v>869</v>
      </c>
      <c r="H27" s="25" t="s">
        <v>870</v>
      </c>
      <c r="I27" s="33">
        <f t="shared" si="0"/>
        <v>43963</v>
      </c>
      <c r="J27" s="29">
        <v>40</v>
      </c>
      <c r="K27" s="31">
        <f>StockInData[[#This Row],[Quantity]]*2.5</f>
        <v>100</v>
      </c>
    </row>
    <row r="28" spans="1:11" x14ac:dyDescent="0.25">
      <c r="A28" s="29">
        <v>27</v>
      </c>
      <c r="B28" s="30">
        <f t="shared" si="1"/>
        <v>43436</v>
      </c>
      <c r="C28" s="30" t="s">
        <v>958</v>
      </c>
      <c r="D28" s="54" t="s">
        <v>955</v>
      </c>
      <c r="E28" s="25" t="s">
        <v>73</v>
      </c>
      <c r="F28" s="26" t="s">
        <v>74</v>
      </c>
      <c r="G28" s="25" t="s">
        <v>869</v>
      </c>
      <c r="H28" s="25" t="s">
        <v>870</v>
      </c>
      <c r="I28" s="33">
        <f t="shared" si="0"/>
        <v>43965</v>
      </c>
      <c r="J28" s="29">
        <v>30</v>
      </c>
      <c r="K28" s="31">
        <f>StockInData[[#This Row],[Quantity]]*2.5</f>
        <v>75</v>
      </c>
    </row>
    <row r="29" spans="1:11" x14ac:dyDescent="0.25">
      <c r="A29" s="29">
        <v>28</v>
      </c>
      <c r="B29" s="30">
        <f t="shared" si="1"/>
        <v>43437</v>
      </c>
      <c r="C29" s="30" t="s">
        <v>958</v>
      </c>
      <c r="D29" s="54" t="s">
        <v>955</v>
      </c>
      <c r="E29" s="25" t="s">
        <v>75</v>
      </c>
      <c r="F29" s="26" t="s">
        <v>76</v>
      </c>
      <c r="G29" s="25" t="s">
        <v>869</v>
      </c>
      <c r="H29" s="25" t="s">
        <v>870</v>
      </c>
      <c r="I29" s="33">
        <f t="shared" si="0"/>
        <v>43967</v>
      </c>
      <c r="J29" s="29">
        <v>25</v>
      </c>
      <c r="K29" s="31">
        <f>StockInData[[#This Row],[Quantity]]*2.5</f>
        <v>62.5</v>
      </c>
    </row>
    <row r="30" spans="1:11" x14ac:dyDescent="0.25">
      <c r="A30" s="29">
        <v>29</v>
      </c>
      <c r="B30" s="30">
        <f t="shared" si="1"/>
        <v>43438</v>
      </c>
      <c r="C30" s="30" t="s">
        <v>958</v>
      </c>
      <c r="D30" s="54" t="s">
        <v>955</v>
      </c>
      <c r="E30" s="25" t="s">
        <v>77</v>
      </c>
      <c r="F30" s="26" t="s">
        <v>78</v>
      </c>
      <c r="G30" s="25" t="s">
        <v>869</v>
      </c>
      <c r="H30" s="25" t="s">
        <v>870</v>
      </c>
      <c r="I30" s="33">
        <f t="shared" si="0"/>
        <v>43969</v>
      </c>
      <c r="J30" s="29">
        <v>20</v>
      </c>
      <c r="K30" s="31">
        <f>StockInData[[#This Row],[Quantity]]*2.5</f>
        <v>50</v>
      </c>
    </row>
    <row r="31" spans="1:11" x14ac:dyDescent="0.25">
      <c r="A31" s="29">
        <v>30</v>
      </c>
      <c r="B31" s="30">
        <f t="shared" si="1"/>
        <v>43439</v>
      </c>
      <c r="C31" s="30" t="s">
        <v>958</v>
      </c>
      <c r="D31" s="54" t="s">
        <v>955</v>
      </c>
      <c r="E31" s="25" t="s">
        <v>79</v>
      </c>
      <c r="F31" s="26" t="s">
        <v>80</v>
      </c>
      <c r="G31" s="25" t="s">
        <v>869</v>
      </c>
      <c r="H31" s="25" t="s">
        <v>870</v>
      </c>
      <c r="I31" s="33">
        <f t="shared" si="0"/>
        <v>43971</v>
      </c>
      <c r="J31" s="29">
        <v>19</v>
      </c>
      <c r="K31" s="31">
        <f>StockInData[[#This Row],[Quantity]]*2.5</f>
        <v>47.5</v>
      </c>
    </row>
    <row r="32" spans="1:11" x14ac:dyDescent="0.25">
      <c r="A32" s="29">
        <v>31</v>
      </c>
      <c r="B32" s="30">
        <f t="shared" si="1"/>
        <v>43440</v>
      </c>
      <c r="C32" s="30" t="s">
        <v>958</v>
      </c>
      <c r="D32" s="54" t="s">
        <v>955</v>
      </c>
      <c r="E32" s="25" t="s">
        <v>81</v>
      </c>
      <c r="F32" s="26" t="s">
        <v>82</v>
      </c>
      <c r="G32" s="25" t="s">
        <v>869</v>
      </c>
      <c r="H32" s="25" t="s">
        <v>870</v>
      </c>
      <c r="I32" s="33">
        <f t="shared" si="0"/>
        <v>43973</v>
      </c>
      <c r="J32" s="29">
        <v>23</v>
      </c>
      <c r="K32" s="31">
        <f>StockInData[[#This Row],[Quantity]]*2.5</f>
        <v>57.5</v>
      </c>
    </row>
    <row r="33" spans="1:11" x14ac:dyDescent="0.25">
      <c r="A33" s="29">
        <v>32</v>
      </c>
      <c r="B33" s="30">
        <f t="shared" si="1"/>
        <v>43441</v>
      </c>
      <c r="C33" s="30" t="s">
        <v>958</v>
      </c>
      <c r="D33" s="54" t="s">
        <v>955</v>
      </c>
      <c r="E33" s="25" t="s">
        <v>83</v>
      </c>
      <c r="F33" s="26" t="s">
        <v>84</v>
      </c>
      <c r="G33" s="25" t="s">
        <v>869</v>
      </c>
      <c r="H33" s="25" t="s">
        <v>870</v>
      </c>
      <c r="I33" s="33">
        <f t="shared" si="0"/>
        <v>43975</v>
      </c>
      <c r="J33" s="29">
        <v>65</v>
      </c>
      <c r="K33" s="31">
        <f>StockInData[[#This Row],[Quantity]]*2.5</f>
        <v>162.5</v>
      </c>
    </row>
    <row r="34" spans="1:11" x14ac:dyDescent="0.25">
      <c r="A34" s="29">
        <v>33</v>
      </c>
      <c r="B34" s="30">
        <f t="shared" si="1"/>
        <v>43442</v>
      </c>
      <c r="C34" s="30" t="s">
        <v>958</v>
      </c>
      <c r="D34" s="54" t="s">
        <v>955</v>
      </c>
      <c r="E34" s="25" t="s">
        <v>85</v>
      </c>
      <c r="F34" s="26" t="s">
        <v>86</v>
      </c>
      <c r="G34" s="25" t="s">
        <v>869</v>
      </c>
      <c r="H34" s="25" t="s">
        <v>870</v>
      </c>
      <c r="I34" s="33">
        <f t="shared" si="0"/>
        <v>43977</v>
      </c>
      <c r="J34" s="29">
        <v>74</v>
      </c>
      <c r="K34" s="31">
        <f>StockInData[[#This Row],[Quantity]]*2.5</f>
        <v>185</v>
      </c>
    </row>
    <row r="35" spans="1:11" x14ac:dyDescent="0.25">
      <c r="A35" s="29">
        <v>34</v>
      </c>
      <c r="B35" s="30">
        <f t="shared" si="1"/>
        <v>43443</v>
      </c>
      <c r="C35" s="30" t="s">
        <v>958</v>
      </c>
      <c r="D35" s="54" t="s">
        <v>955</v>
      </c>
      <c r="E35" s="25" t="s">
        <v>87</v>
      </c>
      <c r="F35" s="26" t="s">
        <v>88</v>
      </c>
      <c r="G35" s="25" t="s">
        <v>869</v>
      </c>
      <c r="H35" s="25" t="s">
        <v>870</v>
      </c>
      <c r="I35" s="33">
        <f t="shared" si="0"/>
        <v>43979</v>
      </c>
      <c r="J35" s="29">
        <v>84</v>
      </c>
      <c r="K35" s="31">
        <f>StockInData[[#This Row],[Quantity]]*2.5</f>
        <v>210</v>
      </c>
    </row>
    <row r="36" spans="1:11" x14ac:dyDescent="0.25">
      <c r="A36" s="29">
        <v>35</v>
      </c>
      <c r="B36" s="30">
        <f t="shared" si="1"/>
        <v>43444</v>
      </c>
      <c r="C36" s="30" t="s">
        <v>958</v>
      </c>
      <c r="D36" s="54" t="s">
        <v>955</v>
      </c>
      <c r="E36" s="25" t="s">
        <v>89</v>
      </c>
      <c r="F36" s="26" t="s">
        <v>90</v>
      </c>
      <c r="G36" s="25" t="s">
        <v>869</v>
      </c>
      <c r="H36" s="25" t="s">
        <v>870</v>
      </c>
      <c r="I36" s="33">
        <f t="shared" si="0"/>
        <v>43981</v>
      </c>
      <c r="J36" s="29">
        <v>99</v>
      </c>
      <c r="K36" s="31">
        <f>StockInData[[#This Row],[Quantity]]*2.5</f>
        <v>247.5</v>
      </c>
    </row>
    <row r="37" spans="1:11" x14ac:dyDescent="0.25">
      <c r="A37" s="29">
        <v>36</v>
      </c>
      <c r="B37" s="30">
        <f t="shared" si="1"/>
        <v>43445</v>
      </c>
      <c r="C37" s="30" t="s">
        <v>958</v>
      </c>
      <c r="D37" s="54" t="s">
        <v>955</v>
      </c>
      <c r="E37" s="25" t="s">
        <v>91</v>
      </c>
      <c r="F37" s="26" t="s">
        <v>92</v>
      </c>
      <c r="G37" s="25" t="s">
        <v>869</v>
      </c>
      <c r="H37" s="25" t="s">
        <v>870</v>
      </c>
      <c r="I37" s="33">
        <f t="shared" si="0"/>
        <v>43983</v>
      </c>
      <c r="J37" s="29">
        <v>101</v>
      </c>
      <c r="K37" s="31">
        <f>StockInData[[#This Row],[Quantity]]*2.5</f>
        <v>252.5</v>
      </c>
    </row>
    <row r="38" spans="1:11" x14ac:dyDescent="0.25">
      <c r="A38" s="29">
        <v>37</v>
      </c>
      <c r="B38" s="30">
        <f t="shared" si="1"/>
        <v>43446</v>
      </c>
      <c r="C38" s="30" t="s">
        <v>958</v>
      </c>
      <c r="D38" s="54" t="s">
        <v>955</v>
      </c>
      <c r="E38" s="25" t="s">
        <v>93</v>
      </c>
      <c r="F38" s="26" t="s">
        <v>94</v>
      </c>
      <c r="G38" s="25" t="s">
        <v>869</v>
      </c>
      <c r="H38" s="25" t="s">
        <v>870</v>
      </c>
      <c r="I38" s="33">
        <f t="shared" si="0"/>
        <v>43985</v>
      </c>
      <c r="J38" s="29">
        <v>100</v>
      </c>
      <c r="K38" s="31">
        <f>StockInData[[#This Row],[Quantity]]*2.5</f>
        <v>250</v>
      </c>
    </row>
    <row r="39" spans="1:11" x14ac:dyDescent="0.25">
      <c r="A39" s="29">
        <v>38</v>
      </c>
      <c r="B39" s="30">
        <f t="shared" si="1"/>
        <v>43447</v>
      </c>
      <c r="C39" s="30" t="s">
        <v>958</v>
      </c>
      <c r="D39" s="54" t="s">
        <v>955</v>
      </c>
      <c r="E39" s="25" t="s">
        <v>95</v>
      </c>
      <c r="F39" s="26" t="s">
        <v>96</v>
      </c>
      <c r="G39" s="25" t="s">
        <v>869</v>
      </c>
      <c r="H39" s="25" t="s">
        <v>870</v>
      </c>
      <c r="I39" s="33">
        <f t="shared" si="0"/>
        <v>43987</v>
      </c>
      <c r="J39" s="29">
        <v>60</v>
      </c>
      <c r="K39" s="31">
        <f>StockInData[[#This Row],[Quantity]]*2.5</f>
        <v>150</v>
      </c>
    </row>
    <row r="40" spans="1:11" x14ac:dyDescent="0.25">
      <c r="A40" s="29">
        <v>39</v>
      </c>
      <c r="B40" s="30">
        <f t="shared" si="1"/>
        <v>43448</v>
      </c>
      <c r="C40" s="30" t="s">
        <v>958</v>
      </c>
      <c r="D40" s="54" t="s">
        <v>955</v>
      </c>
      <c r="E40" s="25" t="s">
        <v>97</v>
      </c>
      <c r="F40" s="26" t="s">
        <v>98</v>
      </c>
      <c r="G40" s="25" t="s">
        <v>869</v>
      </c>
      <c r="H40" s="25" t="s">
        <v>870</v>
      </c>
      <c r="I40" s="33">
        <f t="shared" si="0"/>
        <v>43989</v>
      </c>
      <c r="J40" s="29">
        <v>40</v>
      </c>
      <c r="K40" s="31">
        <f>StockInData[[#This Row],[Quantity]]*2.5</f>
        <v>100</v>
      </c>
    </row>
    <row r="41" spans="1:11" x14ac:dyDescent="0.25">
      <c r="A41" s="29">
        <v>40</v>
      </c>
      <c r="B41" s="30">
        <f t="shared" si="1"/>
        <v>43449</v>
      </c>
      <c r="C41" s="30" t="s">
        <v>958</v>
      </c>
      <c r="D41" s="54" t="s">
        <v>955</v>
      </c>
      <c r="E41" s="25" t="s">
        <v>99</v>
      </c>
      <c r="F41" s="26" t="s">
        <v>100</v>
      </c>
      <c r="G41" s="25" t="s">
        <v>869</v>
      </c>
      <c r="H41" s="25" t="s">
        <v>870</v>
      </c>
      <c r="I41" s="33">
        <f t="shared" si="0"/>
        <v>43991</v>
      </c>
      <c r="J41" s="29">
        <v>30</v>
      </c>
      <c r="K41" s="31">
        <f>StockInData[[#This Row],[Quantity]]*2.5</f>
        <v>75</v>
      </c>
    </row>
    <row r="42" spans="1:11" x14ac:dyDescent="0.25">
      <c r="A42" s="29">
        <v>41</v>
      </c>
      <c r="B42" s="30">
        <f t="shared" si="1"/>
        <v>43450</v>
      </c>
      <c r="C42" s="30" t="s">
        <v>958</v>
      </c>
      <c r="D42" s="54" t="s">
        <v>955</v>
      </c>
      <c r="E42" s="25" t="s">
        <v>101</v>
      </c>
      <c r="F42" s="26" t="s">
        <v>102</v>
      </c>
      <c r="G42" s="25" t="s">
        <v>869</v>
      </c>
      <c r="H42" s="25" t="s">
        <v>870</v>
      </c>
      <c r="I42" s="33">
        <f t="shared" si="0"/>
        <v>43993</v>
      </c>
      <c r="J42" s="29">
        <v>25</v>
      </c>
      <c r="K42" s="31">
        <f>StockInData[[#This Row],[Quantity]]*2.5</f>
        <v>62.5</v>
      </c>
    </row>
    <row r="43" spans="1:11" x14ac:dyDescent="0.25">
      <c r="A43" s="29">
        <v>42</v>
      </c>
      <c r="B43" s="30">
        <f t="shared" si="1"/>
        <v>43451</v>
      </c>
      <c r="C43" s="30" t="s">
        <v>958</v>
      </c>
      <c r="D43" s="54" t="s">
        <v>955</v>
      </c>
      <c r="E43" s="25" t="s">
        <v>103</v>
      </c>
      <c r="F43" s="26" t="s">
        <v>104</v>
      </c>
      <c r="G43" s="25" t="s">
        <v>869</v>
      </c>
      <c r="H43" s="25" t="s">
        <v>870</v>
      </c>
      <c r="I43" s="33">
        <f t="shared" si="0"/>
        <v>43995</v>
      </c>
      <c r="J43" s="29">
        <v>20</v>
      </c>
      <c r="K43" s="31">
        <f>StockInData[[#This Row],[Quantity]]*2.5</f>
        <v>50</v>
      </c>
    </row>
    <row r="44" spans="1:11" x14ac:dyDescent="0.25">
      <c r="A44" s="29">
        <v>43</v>
      </c>
      <c r="B44" s="30">
        <f t="shared" si="1"/>
        <v>43452</v>
      </c>
      <c r="C44" s="30" t="s">
        <v>958</v>
      </c>
      <c r="D44" s="54" t="s">
        <v>955</v>
      </c>
      <c r="E44" s="25" t="s">
        <v>105</v>
      </c>
      <c r="F44" s="26" t="s">
        <v>106</v>
      </c>
      <c r="G44" s="25" t="s">
        <v>869</v>
      </c>
      <c r="H44" s="25" t="s">
        <v>870</v>
      </c>
      <c r="I44" s="33">
        <f t="shared" si="0"/>
        <v>43997</v>
      </c>
      <c r="J44" s="29">
        <v>19</v>
      </c>
      <c r="K44" s="31">
        <f>StockInData[[#This Row],[Quantity]]*2.5</f>
        <v>47.5</v>
      </c>
    </row>
    <row r="45" spans="1:11" x14ac:dyDescent="0.25">
      <c r="A45" s="29">
        <v>44</v>
      </c>
      <c r="B45" s="30">
        <f t="shared" si="1"/>
        <v>43453</v>
      </c>
      <c r="C45" s="30" t="s">
        <v>958</v>
      </c>
      <c r="D45" s="54" t="s">
        <v>955</v>
      </c>
      <c r="E45" s="25" t="s">
        <v>107</v>
      </c>
      <c r="F45" s="26" t="s">
        <v>108</v>
      </c>
      <c r="G45" s="25" t="s">
        <v>869</v>
      </c>
      <c r="H45" s="25" t="s">
        <v>870</v>
      </c>
      <c r="I45" s="33">
        <f t="shared" si="0"/>
        <v>43999</v>
      </c>
      <c r="J45" s="29">
        <v>23</v>
      </c>
      <c r="K45" s="31">
        <f>StockInData[[#This Row],[Quantity]]*2.5</f>
        <v>57.5</v>
      </c>
    </row>
    <row r="46" spans="1:11" x14ac:dyDescent="0.25">
      <c r="A46" s="29">
        <v>45</v>
      </c>
      <c r="B46" s="30">
        <f t="shared" si="1"/>
        <v>43454</v>
      </c>
      <c r="C46" s="30" t="s">
        <v>958</v>
      </c>
      <c r="D46" s="54" t="s">
        <v>955</v>
      </c>
      <c r="E46" s="25" t="s">
        <v>109</v>
      </c>
      <c r="F46" s="26" t="s">
        <v>110</v>
      </c>
      <c r="G46" s="25" t="s">
        <v>869</v>
      </c>
      <c r="H46" s="25" t="s">
        <v>870</v>
      </c>
      <c r="I46" s="33">
        <f t="shared" si="0"/>
        <v>44001</v>
      </c>
      <c r="J46" s="29">
        <v>65</v>
      </c>
      <c r="K46" s="31">
        <f>StockInData[[#This Row],[Quantity]]*2.5</f>
        <v>162.5</v>
      </c>
    </row>
    <row r="47" spans="1:11" x14ac:dyDescent="0.25">
      <c r="A47" s="29">
        <v>46</v>
      </c>
      <c r="B47" s="30">
        <f t="shared" si="1"/>
        <v>43455</v>
      </c>
      <c r="C47" s="30" t="s">
        <v>958</v>
      </c>
      <c r="D47" s="54" t="s">
        <v>955</v>
      </c>
      <c r="E47" s="25" t="s">
        <v>111</v>
      </c>
      <c r="F47" s="26" t="s">
        <v>112</v>
      </c>
      <c r="G47" s="25" t="s">
        <v>869</v>
      </c>
      <c r="H47" s="25" t="s">
        <v>870</v>
      </c>
      <c r="I47" s="33">
        <f t="shared" si="0"/>
        <v>44003</v>
      </c>
      <c r="J47" s="29">
        <v>74</v>
      </c>
      <c r="K47" s="31">
        <f>StockInData[[#This Row],[Quantity]]*2.5</f>
        <v>185</v>
      </c>
    </row>
    <row r="48" spans="1:11" x14ac:dyDescent="0.25">
      <c r="A48" s="29">
        <v>47</v>
      </c>
      <c r="B48" s="30">
        <f t="shared" si="1"/>
        <v>43456</v>
      </c>
      <c r="C48" s="30" t="s">
        <v>958</v>
      </c>
      <c r="D48" s="54" t="s">
        <v>955</v>
      </c>
      <c r="E48" s="25" t="s">
        <v>113</v>
      </c>
      <c r="F48" s="26" t="s">
        <v>114</v>
      </c>
      <c r="G48" s="25" t="s">
        <v>869</v>
      </c>
      <c r="H48" s="25" t="s">
        <v>870</v>
      </c>
      <c r="I48" s="33">
        <f t="shared" si="0"/>
        <v>44005</v>
      </c>
      <c r="J48" s="29">
        <v>84</v>
      </c>
      <c r="K48" s="31">
        <f>StockInData[[#This Row],[Quantity]]*2.5</f>
        <v>210</v>
      </c>
    </row>
    <row r="49" spans="1:11" x14ac:dyDescent="0.25">
      <c r="A49" s="29">
        <v>48</v>
      </c>
      <c r="B49" s="30">
        <f t="shared" si="1"/>
        <v>43457</v>
      </c>
      <c r="C49" s="30" t="s">
        <v>958</v>
      </c>
      <c r="D49" s="54" t="s">
        <v>955</v>
      </c>
      <c r="E49" s="25" t="s">
        <v>115</v>
      </c>
      <c r="F49" s="26" t="s">
        <v>116</v>
      </c>
      <c r="G49" s="25" t="s">
        <v>869</v>
      </c>
      <c r="H49" s="25" t="s">
        <v>870</v>
      </c>
      <c r="I49" s="33">
        <f t="shared" si="0"/>
        <v>44007</v>
      </c>
      <c r="J49" s="29">
        <v>99</v>
      </c>
      <c r="K49" s="31">
        <f>StockInData[[#This Row],[Quantity]]*2.5</f>
        <v>247.5</v>
      </c>
    </row>
    <row r="50" spans="1:11" x14ac:dyDescent="0.25">
      <c r="A50" s="29">
        <v>49</v>
      </c>
      <c r="B50" s="30">
        <f t="shared" si="1"/>
        <v>43458</v>
      </c>
      <c r="C50" s="30" t="s">
        <v>958</v>
      </c>
      <c r="D50" s="54" t="s">
        <v>955</v>
      </c>
      <c r="E50" s="25" t="s">
        <v>117</v>
      </c>
      <c r="F50" s="26" t="s">
        <v>118</v>
      </c>
      <c r="G50" s="25" t="s">
        <v>869</v>
      </c>
      <c r="H50" s="25" t="s">
        <v>870</v>
      </c>
      <c r="I50" s="33">
        <f t="shared" si="0"/>
        <v>44009</v>
      </c>
      <c r="J50" s="29">
        <v>101</v>
      </c>
      <c r="K50" s="31">
        <f>StockInData[[#This Row],[Quantity]]*2.5</f>
        <v>252.5</v>
      </c>
    </row>
    <row r="51" spans="1:11" x14ac:dyDescent="0.25">
      <c r="A51" s="29">
        <v>50</v>
      </c>
      <c r="B51" s="30">
        <f t="shared" si="1"/>
        <v>43459</v>
      </c>
      <c r="C51" s="30" t="s">
        <v>958</v>
      </c>
      <c r="D51" s="54" t="s">
        <v>955</v>
      </c>
      <c r="E51" s="25" t="s">
        <v>119</v>
      </c>
      <c r="F51" s="26" t="s">
        <v>120</v>
      </c>
      <c r="G51" s="25" t="s">
        <v>869</v>
      </c>
      <c r="H51" s="25" t="s">
        <v>870</v>
      </c>
      <c r="I51" s="33">
        <f t="shared" si="0"/>
        <v>44011</v>
      </c>
      <c r="J51" s="29">
        <v>100</v>
      </c>
      <c r="K51" s="31">
        <f>StockInData[[#This Row],[Quantity]]*2.5</f>
        <v>250</v>
      </c>
    </row>
    <row r="52" spans="1:11" x14ac:dyDescent="0.25">
      <c r="A52" s="29">
        <v>51</v>
      </c>
      <c r="B52" s="30">
        <f t="shared" si="1"/>
        <v>43460</v>
      </c>
      <c r="C52" s="30" t="s">
        <v>958</v>
      </c>
      <c r="D52" s="54" t="s">
        <v>955</v>
      </c>
      <c r="E52" s="25" t="s">
        <v>121</v>
      </c>
      <c r="F52" s="26" t="s">
        <v>122</v>
      </c>
      <c r="G52" s="25" t="s">
        <v>869</v>
      </c>
      <c r="H52" s="25" t="s">
        <v>870</v>
      </c>
      <c r="I52" s="33">
        <f t="shared" si="0"/>
        <v>44013</v>
      </c>
      <c r="J52" s="29">
        <v>100</v>
      </c>
      <c r="K52" s="31">
        <f>StockInData[[#This Row],[Quantity]]*2.5</f>
        <v>250</v>
      </c>
    </row>
    <row r="53" spans="1:11" x14ac:dyDescent="0.25">
      <c r="A53" s="29">
        <v>52</v>
      </c>
      <c r="B53" s="30">
        <f t="shared" si="1"/>
        <v>43461</v>
      </c>
      <c r="C53" s="30" t="s">
        <v>958</v>
      </c>
      <c r="D53" s="54" t="s">
        <v>955</v>
      </c>
      <c r="E53" s="25" t="s">
        <v>123</v>
      </c>
      <c r="F53" s="26" t="s">
        <v>124</v>
      </c>
      <c r="G53" s="25" t="s">
        <v>869</v>
      </c>
      <c r="H53" s="25" t="s">
        <v>870</v>
      </c>
      <c r="I53" s="33">
        <f t="shared" si="0"/>
        <v>44015</v>
      </c>
      <c r="J53" s="29">
        <v>100</v>
      </c>
      <c r="K53" s="31">
        <f>StockInData[[#This Row],[Quantity]]*2.5</f>
        <v>250</v>
      </c>
    </row>
    <row r="54" spans="1:11" x14ac:dyDescent="0.25">
      <c r="A54" s="29">
        <v>53</v>
      </c>
      <c r="B54" s="30">
        <f t="shared" si="1"/>
        <v>43462</v>
      </c>
      <c r="C54" s="30" t="s">
        <v>958</v>
      </c>
      <c r="D54" s="54" t="s">
        <v>955</v>
      </c>
      <c r="E54" s="25" t="s">
        <v>125</v>
      </c>
      <c r="F54" s="26" t="s">
        <v>126</v>
      </c>
      <c r="G54" s="25" t="s">
        <v>869</v>
      </c>
      <c r="H54" s="25" t="s">
        <v>870</v>
      </c>
      <c r="I54" s="33">
        <f t="shared" si="0"/>
        <v>44017</v>
      </c>
      <c r="J54" s="29">
        <v>60</v>
      </c>
      <c r="K54" s="31">
        <f>StockInData[[#This Row],[Quantity]]*2.5</f>
        <v>150</v>
      </c>
    </row>
    <row r="55" spans="1:11" x14ac:dyDescent="0.25">
      <c r="A55" s="29">
        <v>54</v>
      </c>
      <c r="B55" s="30">
        <f t="shared" si="1"/>
        <v>43463</v>
      </c>
      <c r="C55" s="30" t="s">
        <v>958</v>
      </c>
      <c r="D55" s="54" t="s">
        <v>955</v>
      </c>
      <c r="E55" s="25" t="s">
        <v>127</v>
      </c>
      <c r="F55" s="26" t="s">
        <v>128</v>
      </c>
      <c r="G55" s="25" t="s">
        <v>869</v>
      </c>
      <c r="H55" s="25" t="s">
        <v>870</v>
      </c>
      <c r="I55" s="33">
        <f t="shared" si="0"/>
        <v>44019</v>
      </c>
      <c r="J55" s="29">
        <v>40</v>
      </c>
      <c r="K55" s="31">
        <f>StockInData[[#This Row],[Quantity]]*2.5</f>
        <v>100</v>
      </c>
    </row>
    <row r="56" spans="1:11" x14ac:dyDescent="0.25">
      <c r="A56" s="29">
        <v>55</v>
      </c>
      <c r="B56" s="30">
        <f t="shared" si="1"/>
        <v>43464</v>
      </c>
      <c r="C56" s="30" t="s">
        <v>958</v>
      </c>
      <c r="D56" s="54" t="s">
        <v>955</v>
      </c>
      <c r="E56" s="25" t="s">
        <v>129</v>
      </c>
      <c r="F56" s="26" t="s">
        <v>130</v>
      </c>
      <c r="G56" s="25" t="s">
        <v>869</v>
      </c>
      <c r="H56" s="25" t="s">
        <v>870</v>
      </c>
      <c r="I56" s="33">
        <f t="shared" si="0"/>
        <v>44021</v>
      </c>
      <c r="J56" s="29">
        <v>30</v>
      </c>
      <c r="K56" s="31">
        <f>StockInData[[#This Row],[Quantity]]*2.5</f>
        <v>75</v>
      </c>
    </row>
    <row r="57" spans="1:11" x14ac:dyDescent="0.25">
      <c r="A57" s="29">
        <v>56</v>
      </c>
      <c r="B57" s="30">
        <f t="shared" si="1"/>
        <v>43465</v>
      </c>
      <c r="C57" s="30" t="s">
        <v>958</v>
      </c>
      <c r="D57" s="54" t="s">
        <v>955</v>
      </c>
      <c r="E57" s="25" t="s">
        <v>131</v>
      </c>
      <c r="F57" s="26" t="s">
        <v>132</v>
      </c>
      <c r="G57" s="25" t="s">
        <v>869</v>
      </c>
      <c r="H57" s="25" t="s">
        <v>870</v>
      </c>
      <c r="I57" s="33">
        <f t="shared" si="0"/>
        <v>44023</v>
      </c>
      <c r="J57" s="29">
        <v>25</v>
      </c>
      <c r="K57" s="31">
        <f>StockInData[[#This Row],[Quantity]]*2.5</f>
        <v>62.5</v>
      </c>
    </row>
    <row r="58" spans="1:11" x14ac:dyDescent="0.25">
      <c r="A58" s="29">
        <v>57</v>
      </c>
      <c r="B58" s="30">
        <f t="shared" si="1"/>
        <v>43466</v>
      </c>
      <c r="C58" s="30" t="s">
        <v>958</v>
      </c>
      <c r="D58" s="54" t="s">
        <v>955</v>
      </c>
      <c r="E58" s="25" t="s">
        <v>133</v>
      </c>
      <c r="F58" s="26" t="s">
        <v>134</v>
      </c>
      <c r="G58" s="25" t="s">
        <v>869</v>
      </c>
      <c r="H58" s="25" t="s">
        <v>870</v>
      </c>
      <c r="I58" s="33">
        <f t="shared" si="0"/>
        <v>44025</v>
      </c>
      <c r="J58" s="29">
        <v>20</v>
      </c>
      <c r="K58" s="31">
        <f>StockInData[[#This Row],[Quantity]]*2.5</f>
        <v>50</v>
      </c>
    </row>
    <row r="59" spans="1:11" x14ac:dyDescent="0.25">
      <c r="A59" s="29">
        <v>58</v>
      </c>
      <c r="B59" s="30">
        <f t="shared" si="1"/>
        <v>43467</v>
      </c>
      <c r="C59" s="30" t="s">
        <v>958</v>
      </c>
      <c r="D59" s="54" t="s">
        <v>955</v>
      </c>
      <c r="E59" s="25" t="s">
        <v>135</v>
      </c>
      <c r="F59" s="26" t="s">
        <v>136</v>
      </c>
      <c r="G59" s="25" t="s">
        <v>869</v>
      </c>
      <c r="H59" s="25" t="s">
        <v>870</v>
      </c>
      <c r="I59" s="33">
        <f t="shared" si="0"/>
        <v>44027</v>
      </c>
      <c r="J59" s="29">
        <v>19</v>
      </c>
      <c r="K59" s="31">
        <f>StockInData[[#This Row],[Quantity]]*2.5</f>
        <v>47.5</v>
      </c>
    </row>
    <row r="60" spans="1:11" x14ac:dyDescent="0.25">
      <c r="A60" s="29">
        <v>59</v>
      </c>
      <c r="B60" s="30">
        <f t="shared" si="1"/>
        <v>43468</v>
      </c>
      <c r="C60" s="30" t="s">
        <v>958</v>
      </c>
      <c r="D60" s="54" t="s">
        <v>955</v>
      </c>
      <c r="E60" s="25" t="s">
        <v>137</v>
      </c>
      <c r="F60" s="26" t="s">
        <v>138</v>
      </c>
      <c r="G60" s="25" t="s">
        <v>869</v>
      </c>
      <c r="H60" s="25" t="s">
        <v>870</v>
      </c>
      <c r="I60" s="33">
        <f t="shared" si="0"/>
        <v>44029</v>
      </c>
      <c r="J60" s="29">
        <v>23</v>
      </c>
      <c r="K60" s="31">
        <f>StockInData[[#This Row],[Quantity]]*2.5</f>
        <v>57.5</v>
      </c>
    </row>
    <row r="61" spans="1:11" x14ac:dyDescent="0.25">
      <c r="A61" s="29">
        <v>60</v>
      </c>
      <c r="B61" s="30">
        <f t="shared" si="1"/>
        <v>43469</v>
      </c>
      <c r="C61" s="30" t="s">
        <v>958</v>
      </c>
      <c r="D61" s="54" t="s">
        <v>955</v>
      </c>
      <c r="E61" s="25" t="s">
        <v>139</v>
      </c>
      <c r="F61" s="26" t="s">
        <v>140</v>
      </c>
      <c r="G61" s="25" t="s">
        <v>869</v>
      </c>
      <c r="H61" s="25" t="s">
        <v>870</v>
      </c>
      <c r="I61" s="33">
        <f t="shared" si="0"/>
        <v>44031</v>
      </c>
      <c r="J61" s="29">
        <v>65</v>
      </c>
      <c r="K61" s="31">
        <f>StockInData[[#This Row],[Quantity]]*2.5</f>
        <v>162.5</v>
      </c>
    </row>
    <row r="62" spans="1:11" x14ac:dyDescent="0.25">
      <c r="A62" s="29">
        <v>61</v>
      </c>
      <c r="B62" s="30">
        <f t="shared" si="1"/>
        <v>43470</v>
      </c>
      <c r="C62" s="30" t="s">
        <v>958</v>
      </c>
      <c r="D62" s="54" t="s">
        <v>955</v>
      </c>
      <c r="E62" s="25" t="s">
        <v>141</v>
      </c>
      <c r="F62" s="26" t="s">
        <v>142</v>
      </c>
      <c r="G62" s="25" t="s">
        <v>869</v>
      </c>
      <c r="H62" s="25" t="s">
        <v>870</v>
      </c>
      <c r="I62" s="33">
        <f t="shared" si="0"/>
        <v>44033</v>
      </c>
      <c r="J62" s="29">
        <v>74</v>
      </c>
      <c r="K62" s="31">
        <f>StockInData[[#This Row],[Quantity]]*2.5</f>
        <v>185</v>
      </c>
    </row>
    <row r="63" spans="1:11" x14ac:dyDescent="0.25">
      <c r="A63" s="29">
        <v>62</v>
      </c>
      <c r="B63" s="30">
        <f t="shared" si="1"/>
        <v>43471</v>
      </c>
      <c r="C63" s="30" t="s">
        <v>958</v>
      </c>
      <c r="D63" s="54" t="s">
        <v>955</v>
      </c>
      <c r="E63" s="25" t="s">
        <v>143</v>
      </c>
      <c r="F63" s="26" t="s">
        <v>144</v>
      </c>
      <c r="G63" s="25" t="s">
        <v>869</v>
      </c>
      <c r="H63" s="25" t="s">
        <v>870</v>
      </c>
      <c r="I63" s="33">
        <f t="shared" si="0"/>
        <v>44035</v>
      </c>
      <c r="J63" s="29">
        <v>84</v>
      </c>
      <c r="K63" s="31">
        <f>StockInData[[#This Row],[Quantity]]*2.5</f>
        <v>210</v>
      </c>
    </row>
    <row r="64" spans="1:11" x14ac:dyDescent="0.25">
      <c r="A64" s="29">
        <v>63</v>
      </c>
      <c r="B64" s="30">
        <f t="shared" si="1"/>
        <v>43472</v>
      </c>
      <c r="C64" s="30" t="s">
        <v>958</v>
      </c>
      <c r="D64" s="54" t="s">
        <v>955</v>
      </c>
      <c r="E64" s="25" t="s">
        <v>145</v>
      </c>
      <c r="F64" s="26" t="s">
        <v>146</v>
      </c>
      <c r="G64" s="25" t="s">
        <v>869</v>
      </c>
      <c r="H64" s="25" t="s">
        <v>870</v>
      </c>
      <c r="I64" s="33">
        <f t="shared" si="0"/>
        <v>44037</v>
      </c>
      <c r="J64" s="29">
        <v>99</v>
      </c>
      <c r="K64" s="31">
        <f>StockInData[[#This Row],[Quantity]]*2.5</f>
        <v>247.5</v>
      </c>
    </row>
    <row r="65" spans="1:11" x14ac:dyDescent="0.25">
      <c r="A65" s="29">
        <v>64</v>
      </c>
      <c r="B65" s="30">
        <f t="shared" si="1"/>
        <v>43473</v>
      </c>
      <c r="C65" s="30" t="s">
        <v>958</v>
      </c>
      <c r="D65" s="54" t="s">
        <v>955</v>
      </c>
      <c r="E65" s="25" t="s">
        <v>147</v>
      </c>
      <c r="F65" s="26" t="s">
        <v>148</v>
      </c>
      <c r="G65" s="25" t="s">
        <v>869</v>
      </c>
      <c r="H65" s="25" t="s">
        <v>870</v>
      </c>
      <c r="I65" s="33">
        <f t="shared" si="0"/>
        <v>44039</v>
      </c>
      <c r="J65" s="29">
        <v>101</v>
      </c>
      <c r="K65" s="31">
        <f>StockInData[[#This Row],[Quantity]]*2.5</f>
        <v>252.5</v>
      </c>
    </row>
    <row r="66" spans="1:11" x14ac:dyDescent="0.25">
      <c r="A66" s="29">
        <v>65</v>
      </c>
      <c r="B66" s="30">
        <f t="shared" si="1"/>
        <v>43474</v>
      </c>
      <c r="C66" s="30" t="s">
        <v>958</v>
      </c>
      <c r="D66" s="54" t="s">
        <v>955</v>
      </c>
      <c r="E66" s="25" t="s">
        <v>149</v>
      </c>
      <c r="F66" s="26" t="s">
        <v>150</v>
      </c>
      <c r="G66" s="25" t="s">
        <v>869</v>
      </c>
      <c r="H66" s="25" t="s">
        <v>870</v>
      </c>
      <c r="I66" s="33">
        <f t="shared" si="0"/>
        <v>44041</v>
      </c>
      <c r="J66" s="29">
        <v>100</v>
      </c>
      <c r="K66" s="31">
        <f>StockInData[[#This Row],[Quantity]]*2.5</f>
        <v>250</v>
      </c>
    </row>
    <row r="67" spans="1:11" x14ac:dyDescent="0.25">
      <c r="A67" s="29">
        <v>66</v>
      </c>
      <c r="B67" s="30">
        <f t="shared" si="1"/>
        <v>43475</v>
      </c>
      <c r="C67" s="30" t="s">
        <v>958</v>
      </c>
      <c r="D67" s="54" t="s">
        <v>955</v>
      </c>
      <c r="E67" s="25" t="s">
        <v>151</v>
      </c>
      <c r="F67" s="26" t="s">
        <v>152</v>
      </c>
      <c r="G67" s="25" t="s">
        <v>869</v>
      </c>
      <c r="H67" s="25" t="s">
        <v>870</v>
      </c>
      <c r="I67" s="33">
        <f t="shared" si="0"/>
        <v>44043</v>
      </c>
      <c r="J67" s="29">
        <v>100</v>
      </c>
      <c r="K67" s="31">
        <f>StockInData[[#This Row],[Quantity]]*2.5</f>
        <v>250</v>
      </c>
    </row>
    <row r="68" spans="1:11" x14ac:dyDescent="0.25">
      <c r="A68" s="29">
        <v>67</v>
      </c>
      <c r="B68" s="30">
        <f t="shared" si="1"/>
        <v>43476</v>
      </c>
      <c r="C68" s="30" t="s">
        <v>958</v>
      </c>
      <c r="D68" s="54" t="s">
        <v>955</v>
      </c>
      <c r="E68" s="25" t="s">
        <v>153</v>
      </c>
      <c r="F68" s="26" t="s">
        <v>154</v>
      </c>
      <c r="G68" s="25" t="s">
        <v>869</v>
      </c>
      <c r="H68" s="25" t="s">
        <v>870</v>
      </c>
      <c r="I68" s="33">
        <f t="shared" ref="I68:I131" si="2">I67+2</f>
        <v>44045</v>
      </c>
      <c r="J68" s="29">
        <v>100</v>
      </c>
      <c r="K68" s="31">
        <f>StockInData[[#This Row],[Quantity]]*2.5</f>
        <v>250</v>
      </c>
    </row>
    <row r="69" spans="1:11" x14ac:dyDescent="0.25">
      <c r="A69" s="29">
        <v>68</v>
      </c>
      <c r="B69" s="30">
        <f t="shared" ref="B69:B132" si="3">B68+1</f>
        <v>43477</v>
      </c>
      <c r="C69" s="30" t="s">
        <v>958</v>
      </c>
      <c r="D69" s="54" t="s">
        <v>955</v>
      </c>
      <c r="E69" s="25" t="s">
        <v>155</v>
      </c>
      <c r="F69" s="26" t="s">
        <v>156</v>
      </c>
      <c r="G69" s="25" t="s">
        <v>869</v>
      </c>
      <c r="H69" s="25" t="s">
        <v>870</v>
      </c>
      <c r="I69" s="33">
        <f t="shared" si="2"/>
        <v>44047</v>
      </c>
      <c r="J69" s="29">
        <v>60</v>
      </c>
      <c r="K69" s="31">
        <f>StockInData[[#This Row],[Quantity]]*2.5</f>
        <v>150</v>
      </c>
    </row>
    <row r="70" spans="1:11" x14ac:dyDescent="0.25">
      <c r="A70" s="29">
        <v>69</v>
      </c>
      <c r="B70" s="30">
        <f t="shared" si="3"/>
        <v>43478</v>
      </c>
      <c r="C70" s="30" t="s">
        <v>958</v>
      </c>
      <c r="D70" s="54" t="s">
        <v>955</v>
      </c>
      <c r="E70" s="25" t="s">
        <v>157</v>
      </c>
      <c r="F70" s="26" t="s">
        <v>158</v>
      </c>
      <c r="G70" s="25" t="s">
        <v>869</v>
      </c>
      <c r="H70" s="25" t="s">
        <v>871</v>
      </c>
      <c r="I70" s="33">
        <f t="shared" si="2"/>
        <v>44049</v>
      </c>
      <c r="J70" s="29">
        <v>40</v>
      </c>
      <c r="K70" s="31">
        <f>StockInData[[#This Row],[Quantity]]*2.5</f>
        <v>100</v>
      </c>
    </row>
    <row r="71" spans="1:11" x14ac:dyDescent="0.25">
      <c r="A71" s="29">
        <v>70</v>
      </c>
      <c r="B71" s="30">
        <f t="shared" si="3"/>
        <v>43479</v>
      </c>
      <c r="C71" s="30" t="s">
        <v>958</v>
      </c>
      <c r="D71" s="54" t="s">
        <v>955</v>
      </c>
      <c r="E71" s="25" t="s">
        <v>159</v>
      </c>
      <c r="F71" s="26" t="s">
        <v>160</v>
      </c>
      <c r="G71" s="25" t="s">
        <v>869</v>
      </c>
      <c r="H71" s="25" t="s">
        <v>871</v>
      </c>
      <c r="I71" s="33">
        <f t="shared" si="2"/>
        <v>44051</v>
      </c>
      <c r="J71" s="29">
        <v>30</v>
      </c>
      <c r="K71" s="31">
        <f>StockInData[[#This Row],[Quantity]]*2.5</f>
        <v>75</v>
      </c>
    </row>
    <row r="72" spans="1:11" x14ac:dyDescent="0.25">
      <c r="A72" s="29">
        <v>71</v>
      </c>
      <c r="B72" s="30">
        <f t="shared" si="3"/>
        <v>43480</v>
      </c>
      <c r="C72" s="30" t="s">
        <v>958</v>
      </c>
      <c r="D72" s="54" t="s">
        <v>955</v>
      </c>
      <c r="E72" s="25" t="s">
        <v>161</v>
      </c>
      <c r="F72" s="26" t="s">
        <v>162</v>
      </c>
      <c r="G72" s="25" t="s">
        <v>869</v>
      </c>
      <c r="H72" s="25" t="s">
        <v>871</v>
      </c>
      <c r="I72" s="33">
        <f t="shared" si="2"/>
        <v>44053</v>
      </c>
      <c r="J72" s="29">
        <v>25</v>
      </c>
      <c r="K72" s="31">
        <f>StockInData[[#This Row],[Quantity]]*2.5</f>
        <v>62.5</v>
      </c>
    </row>
    <row r="73" spans="1:11" x14ac:dyDescent="0.25">
      <c r="A73" s="29">
        <v>72</v>
      </c>
      <c r="B73" s="30">
        <f t="shared" si="3"/>
        <v>43481</v>
      </c>
      <c r="C73" s="30" t="s">
        <v>958</v>
      </c>
      <c r="D73" s="54" t="s">
        <v>955</v>
      </c>
      <c r="E73" s="25" t="s">
        <v>163</v>
      </c>
      <c r="F73" s="26" t="s">
        <v>164</v>
      </c>
      <c r="G73" s="25" t="s">
        <v>869</v>
      </c>
      <c r="H73" s="25" t="s">
        <v>871</v>
      </c>
      <c r="I73" s="33">
        <f t="shared" si="2"/>
        <v>44055</v>
      </c>
      <c r="J73" s="29">
        <v>20</v>
      </c>
      <c r="K73" s="31">
        <f>StockInData[[#This Row],[Quantity]]*2.5</f>
        <v>50</v>
      </c>
    </row>
    <row r="74" spans="1:11" x14ac:dyDescent="0.25">
      <c r="A74" s="29">
        <v>73</v>
      </c>
      <c r="B74" s="30">
        <f t="shared" si="3"/>
        <v>43482</v>
      </c>
      <c r="C74" s="30" t="s">
        <v>958</v>
      </c>
      <c r="D74" s="54" t="s">
        <v>955</v>
      </c>
      <c r="E74" s="25" t="s">
        <v>165</v>
      </c>
      <c r="F74" s="26" t="s">
        <v>166</v>
      </c>
      <c r="G74" s="25" t="s">
        <v>869</v>
      </c>
      <c r="H74" s="25" t="s">
        <v>871</v>
      </c>
      <c r="I74" s="33">
        <f t="shared" si="2"/>
        <v>44057</v>
      </c>
      <c r="J74" s="29">
        <v>19</v>
      </c>
      <c r="K74" s="31">
        <f>StockInData[[#This Row],[Quantity]]*2.5</f>
        <v>47.5</v>
      </c>
    </row>
    <row r="75" spans="1:11" x14ac:dyDescent="0.25">
      <c r="A75" s="29">
        <v>74</v>
      </c>
      <c r="B75" s="30">
        <f t="shared" si="3"/>
        <v>43483</v>
      </c>
      <c r="C75" s="30" t="s">
        <v>958</v>
      </c>
      <c r="D75" s="54" t="s">
        <v>955</v>
      </c>
      <c r="E75" s="25" t="s">
        <v>167</v>
      </c>
      <c r="F75" s="26" t="s">
        <v>168</v>
      </c>
      <c r="G75" s="25" t="s">
        <v>869</v>
      </c>
      <c r="H75" s="25" t="s">
        <v>871</v>
      </c>
      <c r="I75" s="33">
        <f t="shared" si="2"/>
        <v>44059</v>
      </c>
      <c r="J75" s="29">
        <v>23</v>
      </c>
      <c r="K75" s="31">
        <f>StockInData[[#This Row],[Quantity]]*2.5</f>
        <v>57.5</v>
      </c>
    </row>
    <row r="76" spans="1:11" x14ac:dyDescent="0.25">
      <c r="A76" s="29">
        <v>75</v>
      </c>
      <c r="B76" s="30">
        <f t="shared" si="3"/>
        <v>43484</v>
      </c>
      <c r="C76" s="30" t="s">
        <v>958</v>
      </c>
      <c r="D76" s="54" t="s">
        <v>955</v>
      </c>
      <c r="E76" s="25" t="s">
        <v>169</v>
      </c>
      <c r="F76" s="26" t="s">
        <v>170</v>
      </c>
      <c r="G76" s="25" t="s">
        <v>869</v>
      </c>
      <c r="H76" s="25" t="s">
        <v>871</v>
      </c>
      <c r="I76" s="33">
        <f t="shared" si="2"/>
        <v>44061</v>
      </c>
      <c r="J76" s="29">
        <v>65</v>
      </c>
      <c r="K76" s="31">
        <f>StockInData[[#This Row],[Quantity]]*2.5</f>
        <v>162.5</v>
      </c>
    </row>
    <row r="77" spans="1:11" x14ac:dyDescent="0.25">
      <c r="A77" s="29">
        <v>76</v>
      </c>
      <c r="B77" s="30">
        <f t="shared" si="3"/>
        <v>43485</v>
      </c>
      <c r="C77" s="30" t="s">
        <v>958</v>
      </c>
      <c r="D77" s="54" t="s">
        <v>955</v>
      </c>
      <c r="E77" s="25" t="s">
        <v>171</v>
      </c>
      <c r="F77" s="26" t="s">
        <v>172</v>
      </c>
      <c r="G77" s="25" t="s">
        <v>869</v>
      </c>
      <c r="H77" s="25" t="s">
        <v>871</v>
      </c>
      <c r="I77" s="33">
        <f t="shared" si="2"/>
        <v>44063</v>
      </c>
      <c r="J77" s="29">
        <v>74</v>
      </c>
      <c r="K77" s="31">
        <f>StockInData[[#This Row],[Quantity]]*2.5</f>
        <v>185</v>
      </c>
    </row>
    <row r="78" spans="1:11" x14ac:dyDescent="0.25">
      <c r="A78" s="29">
        <v>77</v>
      </c>
      <c r="B78" s="30">
        <f t="shared" si="3"/>
        <v>43486</v>
      </c>
      <c r="C78" s="30" t="s">
        <v>958</v>
      </c>
      <c r="D78" s="54" t="s">
        <v>955</v>
      </c>
      <c r="E78" s="25" t="s">
        <v>173</v>
      </c>
      <c r="F78" s="26" t="s">
        <v>174</v>
      </c>
      <c r="G78" s="25" t="s">
        <v>869</v>
      </c>
      <c r="H78" s="25" t="s">
        <v>871</v>
      </c>
      <c r="I78" s="33">
        <f t="shared" si="2"/>
        <v>44065</v>
      </c>
      <c r="J78" s="29">
        <v>84</v>
      </c>
      <c r="K78" s="31">
        <f>StockInData[[#This Row],[Quantity]]*2.5</f>
        <v>210</v>
      </c>
    </row>
    <row r="79" spans="1:11" x14ac:dyDescent="0.25">
      <c r="A79" s="29">
        <v>78</v>
      </c>
      <c r="B79" s="30">
        <f t="shared" si="3"/>
        <v>43487</v>
      </c>
      <c r="C79" s="30" t="s">
        <v>958</v>
      </c>
      <c r="D79" s="54" t="s">
        <v>955</v>
      </c>
      <c r="E79" s="25" t="s">
        <v>175</v>
      </c>
      <c r="F79" s="26" t="s">
        <v>176</v>
      </c>
      <c r="G79" s="25" t="s">
        <v>869</v>
      </c>
      <c r="H79" s="25" t="s">
        <v>871</v>
      </c>
      <c r="I79" s="33">
        <f t="shared" si="2"/>
        <v>44067</v>
      </c>
      <c r="J79" s="29">
        <v>99</v>
      </c>
      <c r="K79" s="31">
        <f>StockInData[[#This Row],[Quantity]]*2.5</f>
        <v>247.5</v>
      </c>
    </row>
    <row r="80" spans="1:11" x14ac:dyDescent="0.25">
      <c r="A80" s="29">
        <v>79</v>
      </c>
      <c r="B80" s="30">
        <f t="shared" si="3"/>
        <v>43488</v>
      </c>
      <c r="C80" s="30" t="s">
        <v>958</v>
      </c>
      <c r="D80" s="54" t="s">
        <v>955</v>
      </c>
      <c r="E80" s="25" t="s">
        <v>177</v>
      </c>
      <c r="F80" s="26" t="s">
        <v>178</v>
      </c>
      <c r="G80" s="25" t="s">
        <v>869</v>
      </c>
      <c r="H80" s="25" t="s">
        <v>871</v>
      </c>
      <c r="I80" s="33">
        <f t="shared" si="2"/>
        <v>44069</v>
      </c>
      <c r="J80" s="29">
        <v>101</v>
      </c>
      <c r="K80" s="31">
        <f>StockInData[[#This Row],[Quantity]]*2.5</f>
        <v>252.5</v>
      </c>
    </row>
    <row r="81" spans="1:11" x14ac:dyDescent="0.25">
      <c r="A81" s="29">
        <v>80</v>
      </c>
      <c r="B81" s="30">
        <f t="shared" si="3"/>
        <v>43489</v>
      </c>
      <c r="C81" s="30" t="s">
        <v>958</v>
      </c>
      <c r="D81" s="54" t="s">
        <v>955</v>
      </c>
      <c r="E81" s="25" t="s">
        <v>179</v>
      </c>
      <c r="F81" s="26" t="s">
        <v>180</v>
      </c>
      <c r="G81" s="25" t="s">
        <v>869</v>
      </c>
      <c r="H81" s="25" t="s">
        <v>871</v>
      </c>
      <c r="I81" s="33">
        <f t="shared" si="2"/>
        <v>44071</v>
      </c>
      <c r="J81" s="29">
        <v>40</v>
      </c>
      <c r="K81" s="31">
        <f>StockInData[[#This Row],[Quantity]]*2.5</f>
        <v>100</v>
      </c>
    </row>
    <row r="82" spans="1:11" x14ac:dyDescent="0.25">
      <c r="A82" s="29">
        <v>81</v>
      </c>
      <c r="B82" s="30">
        <f t="shared" si="3"/>
        <v>43490</v>
      </c>
      <c r="C82" s="30" t="s">
        <v>958</v>
      </c>
      <c r="D82" s="54" t="s">
        <v>955</v>
      </c>
      <c r="E82" s="25" t="s">
        <v>181</v>
      </c>
      <c r="F82" s="26" t="s">
        <v>182</v>
      </c>
      <c r="G82" s="25" t="s">
        <v>869</v>
      </c>
      <c r="H82" s="25" t="s">
        <v>871</v>
      </c>
      <c r="I82" s="33">
        <f t="shared" si="2"/>
        <v>44073</v>
      </c>
      <c r="J82" s="29">
        <v>30</v>
      </c>
      <c r="K82" s="31">
        <f>StockInData[[#This Row],[Quantity]]*2.5</f>
        <v>75</v>
      </c>
    </row>
    <row r="83" spans="1:11" x14ac:dyDescent="0.25">
      <c r="A83" s="29">
        <v>82</v>
      </c>
      <c r="B83" s="30">
        <f t="shared" si="3"/>
        <v>43491</v>
      </c>
      <c r="C83" s="30" t="s">
        <v>958</v>
      </c>
      <c r="D83" s="54" t="s">
        <v>955</v>
      </c>
      <c r="E83" s="25" t="s">
        <v>183</v>
      </c>
      <c r="F83" s="26" t="s">
        <v>184</v>
      </c>
      <c r="G83" s="25" t="s">
        <v>869</v>
      </c>
      <c r="H83" s="25" t="s">
        <v>871</v>
      </c>
      <c r="I83" s="33">
        <f t="shared" si="2"/>
        <v>44075</v>
      </c>
      <c r="J83" s="29">
        <v>25</v>
      </c>
      <c r="K83" s="31">
        <f>StockInData[[#This Row],[Quantity]]*2.5</f>
        <v>62.5</v>
      </c>
    </row>
    <row r="84" spans="1:11" x14ac:dyDescent="0.25">
      <c r="A84" s="29">
        <v>83</v>
      </c>
      <c r="B84" s="30">
        <f t="shared" si="3"/>
        <v>43492</v>
      </c>
      <c r="C84" s="30" t="s">
        <v>958</v>
      </c>
      <c r="D84" s="54" t="s">
        <v>955</v>
      </c>
      <c r="E84" s="25" t="s">
        <v>185</v>
      </c>
      <c r="F84" s="26" t="s">
        <v>186</v>
      </c>
      <c r="G84" s="25" t="s">
        <v>869</v>
      </c>
      <c r="H84" s="25" t="s">
        <v>871</v>
      </c>
      <c r="I84" s="33">
        <f t="shared" si="2"/>
        <v>44077</v>
      </c>
      <c r="J84" s="29">
        <v>20</v>
      </c>
      <c r="K84" s="31">
        <f>StockInData[[#This Row],[Quantity]]*2.5</f>
        <v>50</v>
      </c>
    </row>
    <row r="85" spans="1:11" x14ac:dyDescent="0.25">
      <c r="A85" s="29">
        <v>84</v>
      </c>
      <c r="B85" s="30">
        <f t="shared" si="3"/>
        <v>43493</v>
      </c>
      <c r="C85" s="30" t="s">
        <v>958</v>
      </c>
      <c r="D85" s="54" t="s">
        <v>955</v>
      </c>
      <c r="E85" s="25" t="s">
        <v>187</v>
      </c>
      <c r="F85" s="26" t="s">
        <v>188</v>
      </c>
      <c r="G85" s="25" t="s">
        <v>869</v>
      </c>
      <c r="H85" s="25" t="s">
        <v>871</v>
      </c>
      <c r="I85" s="33">
        <f t="shared" si="2"/>
        <v>44079</v>
      </c>
      <c r="J85" s="29">
        <v>19</v>
      </c>
      <c r="K85" s="31">
        <f>StockInData[[#This Row],[Quantity]]*2.5</f>
        <v>47.5</v>
      </c>
    </row>
    <row r="86" spans="1:11" x14ac:dyDescent="0.25">
      <c r="A86" s="29">
        <v>85</v>
      </c>
      <c r="B86" s="30">
        <f t="shared" si="3"/>
        <v>43494</v>
      </c>
      <c r="C86" s="30" t="s">
        <v>958</v>
      </c>
      <c r="D86" s="54" t="s">
        <v>955</v>
      </c>
      <c r="E86" s="25" t="s">
        <v>189</v>
      </c>
      <c r="F86" s="26" t="s">
        <v>190</v>
      </c>
      <c r="G86" s="25" t="s">
        <v>869</v>
      </c>
      <c r="H86" s="25" t="s">
        <v>871</v>
      </c>
      <c r="I86" s="33">
        <f t="shared" si="2"/>
        <v>44081</v>
      </c>
      <c r="J86" s="29">
        <v>23</v>
      </c>
      <c r="K86" s="31">
        <f>StockInData[[#This Row],[Quantity]]*2.5</f>
        <v>57.5</v>
      </c>
    </row>
    <row r="87" spans="1:11" x14ac:dyDescent="0.25">
      <c r="A87" s="29">
        <v>86</v>
      </c>
      <c r="B87" s="30">
        <f t="shared" si="3"/>
        <v>43495</v>
      </c>
      <c r="C87" s="30" t="s">
        <v>958</v>
      </c>
      <c r="D87" s="54" t="s">
        <v>955</v>
      </c>
      <c r="E87" s="25" t="s">
        <v>191</v>
      </c>
      <c r="F87" s="26" t="s">
        <v>192</v>
      </c>
      <c r="G87" s="25" t="s">
        <v>869</v>
      </c>
      <c r="H87" s="25" t="s">
        <v>871</v>
      </c>
      <c r="I87" s="33">
        <f t="shared" si="2"/>
        <v>44083</v>
      </c>
      <c r="J87" s="29">
        <v>65</v>
      </c>
      <c r="K87" s="31">
        <f>StockInData[[#This Row],[Quantity]]*2.5</f>
        <v>162.5</v>
      </c>
    </row>
    <row r="88" spans="1:11" x14ac:dyDescent="0.25">
      <c r="A88" s="29">
        <v>87</v>
      </c>
      <c r="B88" s="30">
        <f t="shared" si="3"/>
        <v>43496</v>
      </c>
      <c r="C88" s="30" t="s">
        <v>958</v>
      </c>
      <c r="D88" s="54" t="s">
        <v>955</v>
      </c>
      <c r="E88" s="25" t="s">
        <v>193</v>
      </c>
      <c r="F88" s="26" t="s">
        <v>194</v>
      </c>
      <c r="G88" s="25" t="s">
        <v>869</v>
      </c>
      <c r="H88" s="25" t="s">
        <v>871</v>
      </c>
      <c r="I88" s="33">
        <f t="shared" si="2"/>
        <v>44085</v>
      </c>
      <c r="J88" s="29">
        <v>74</v>
      </c>
      <c r="K88" s="31">
        <f>StockInData[[#This Row],[Quantity]]*2.5</f>
        <v>185</v>
      </c>
    </row>
    <row r="89" spans="1:11" x14ac:dyDescent="0.25">
      <c r="A89" s="29">
        <v>88</v>
      </c>
      <c r="B89" s="30">
        <f t="shared" si="3"/>
        <v>43497</v>
      </c>
      <c r="C89" s="30" t="s">
        <v>958</v>
      </c>
      <c r="D89" s="54" t="s">
        <v>955</v>
      </c>
      <c r="E89" s="25" t="s">
        <v>195</v>
      </c>
      <c r="F89" s="26" t="s">
        <v>196</v>
      </c>
      <c r="G89" s="25" t="s">
        <v>869</v>
      </c>
      <c r="H89" s="25" t="s">
        <v>871</v>
      </c>
      <c r="I89" s="33">
        <f t="shared" si="2"/>
        <v>44087</v>
      </c>
      <c r="J89" s="29">
        <v>84</v>
      </c>
      <c r="K89" s="31">
        <f>StockInData[[#This Row],[Quantity]]*2.5</f>
        <v>210</v>
      </c>
    </row>
    <row r="90" spans="1:11" x14ac:dyDescent="0.25">
      <c r="A90" s="29">
        <v>89</v>
      </c>
      <c r="B90" s="30">
        <f t="shared" si="3"/>
        <v>43498</v>
      </c>
      <c r="C90" s="30" t="s">
        <v>958</v>
      </c>
      <c r="D90" s="54" t="s">
        <v>955</v>
      </c>
      <c r="E90" s="25" t="s">
        <v>197</v>
      </c>
      <c r="F90" s="26" t="s">
        <v>198</v>
      </c>
      <c r="G90" s="25" t="s">
        <v>869</v>
      </c>
      <c r="H90" s="25" t="s">
        <v>871</v>
      </c>
      <c r="I90" s="33">
        <f t="shared" si="2"/>
        <v>44089</v>
      </c>
      <c r="J90" s="29">
        <v>99</v>
      </c>
      <c r="K90" s="31">
        <f>StockInData[[#This Row],[Quantity]]*2.5</f>
        <v>247.5</v>
      </c>
    </row>
    <row r="91" spans="1:11" x14ac:dyDescent="0.25">
      <c r="A91" s="29">
        <v>90</v>
      </c>
      <c r="B91" s="30">
        <f t="shared" si="3"/>
        <v>43499</v>
      </c>
      <c r="C91" s="30" t="s">
        <v>958</v>
      </c>
      <c r="D91" s="54" t="s">
        <v>955</v>
      </c>
      <c r="E91" s="25" t="s">
        <v>199</v>
      </c>
      <c r="F91" s="26" t="s">
        <v>200</v>
      </c>
      <c r="G91" s="25" t="s">
        <v>869</v>
      </c>
      <c r="H91" s="25" t="s">
        <v>871</v>
      </c>
      <c r="I91" s="33">
        <f t="shared" si="2"/>
        <v>44091</v>
      </c>
      <c r="J91" s="29">
        <v>101</v>
      </c>
      <c r="K91" s="31">
        <f>StockInData[[#This Row],[Quantity]]*2.5</f>
        <v>252.5</v>
      </c>
    </row>
    <row r="92" spans="1:11" x14ac:dyDescent="0.25">
      <c r="A92" s="29">
        <v>91</v>
      </c>
      <c r="B92" s="30">
        <f t="shared" si="3"/>
        <v>43500</v>
      </c>
      <c r="C92" s="30" t="s">
        <v>958</v>
      </c>
      <c r="D92" s="54" t="s">
        <v>955</v>
      </c>
      <c r="E92" s="25" t="s">
        <v>201</v>
      </c>
      <c r="F92" s="26" t="s">
        <v>202</v>
      </c>
      <c r="G92" s="25" t="s">
        <v>869</v>
      </c>
      <c r="H92" s="25" t="s">
        <v>871</v>
      </c>
      <c r="I92" s="33">
        <f t="shared" si="2"/>
        <v>44093</v>
      </c>
      <c r="J92" s="29">
        <v>60</v>
      </c>
      <c r="K92" s="31">
        <f>StockInData[[#This Row],[Quantity]]*2.5</f>
        <v>150</v>
      </c>
    </row>
    <row r="93" spans="1:11" x14ac:dyDescent="0.25">
      <c r="A93" s="29">
        <v>92</v>
      </c>
      <c r="B93" s="30">
        <f t="shared" si="3"/>
        <v>43501</v>
      </c>
      <c r="C93" s="30" t="s">
        <v>958</v>
      </c>
      <c r="D93" s="54" t="s">
        <v>955</v>
      </c>
      <c r="E93" s="25" t="s">
        <v>203</v>
      </c>
      <c r="F93" s="26" t="s">
        <v>204</v>
      </c>
      <c r="G93" s="25" t="s">
        <v>869</v>
      </c>
      <c r="H93" s="25" t="s">
        <v>871</v>
      </c>
      <c r="I93" s="33">
        <f t="shared" si="2"/>
        <v>44095</v>
      </c>
      <c r="J93" s="29">
        <v>40</v>
      </c>
      <c r="K93" s="31">
        <f>StockInData[[#This Row],[Quantity]]*2.5</f>
        <v>100</v>
      </c>
    </row>
    <row r="94" spans="1:11" x14ac:dyDescent="0.25">
      <c r="A94" s="29">
        <v>93</v>
      </c>
      <c r="B94" s="30">
        <f t="shared" si="3"/>
        <v>43502</v>
      </c>
      <c r="C94" s="30" t="s">
        <v>958</v>
      </c>
      <c r="D94" s="54" t="s">
        <v>955</v>
      </c>
      <c r="E94" s="25" t="s">
        <v>205</v>
      </c>
      <c r="F94" s="26" t="s">
        <v>206</v>
      </c>
      <c r="G94" s="25" t="s">
        <v>869</v>
      </c>
      <c r="H94" s="25" t="s">
        <v>871</v>
      </c>
      <c r="I94" s="33">
        <f t="shared" si="2"/>
        <v>44097</v>
      </c>
      <c r="J94" s="29">
        <v>30</v>
      </c>
      <c r="K94" s="31">
        <f>StockInData[[#This Row],[Quantity]]*2.5</f>
        <v>75</v>
      </c>
    </row>
    <row r="95" spans="1:11" x14ac:dyDescent="0.25">
      <c r="A95" s="29">
        <v>94</v>
      </c>
      <c r="B95" s="30">
        <f t="shared" si="3"/>
        <v>43503</v>
      </c>
      <c r="C95" s="30" t="s">
        <v>958</v>
      </c>
      <c r="D95" s="54" t="s">
        <v>955</v>
      </c>
      <c r="E95" s="25" t="s">
        <v>207</v>
      </c>
      <c r="F95" s="26" t="s">
        <v>208</v>
      </c>
      <c r="G95" s="25" t="s">
        <v>869</v>
      </c>
      <c r="H95" s="25" t="s">
        <v>871</v>
      </c>
      <c r="I95" s="33">
        <f t="shared" si="2"/>
        <v>44099</v>
      </c>
      <c r="J95" s="29">
        <v>25</v>
      </c>
      <c r="K95" s="31">
        <f>StockInData[[#This Row],[Quantity]]*2.5</f>
        <v>62.5</v>
      </c>
    </row>
    <row r="96" spans="1:11" x14ac:dyDescent="0.25">
      <c r="A96" s="29">
        <v>95</v>
      </c>
      <c r="B96" s="30">
        <f t="shared" si="3"/>
        <v>43504</v>
      </c>
      <c r="C96" s="30" t="s">
        <v>958</v>
      </c>
      <c r="D96" s="54" t="s">
        <v>955</v>
      </c>
      <c r="E96" s="25" t="s">
        <v>209</v>
      </c>
      <c r="F96" s="26" t="s">
        <v>210</v>
      </c>
      <c r="G96" s="25" t="s">
        <v>869</v>
      </c>
      <c r="H96" s="25" t="s">
        <v>871</v>
      </c>
      <c r="I96" s="33">
        <f t="shared" si="2"/>
        <v>44101</v>
      </c>
      <c r="J96" s="29">
        <v>20</v>
      </c>
      <c r="K96" s="31">
        <f>StockInData[[#This Row],[Quantity]]*2.5</f>
        <v>50</v>
      </c>
    </row>
    <row r="97" spans="1:11" x14ac:dyDescent="0.25">
      <c r="A97" s="29">
        <v>96</v>
      </c>
      <c r="B97" s="30">
        <f t="shared" si="3"/>
        <v>43505</v>
      </c>
      <c r="C97" s="30" t="s">
        <v>958</v>
      </c>
      <c r="D97" s="54" t="s">
        <v>955</v>
      </c>
      <c r="E97" s="25" t="s">
        <v>211</v>
      </c>
      <c r="F97" s="26" t="s">
        <v>212</v>
      </c>
      <c r="G97" s="25" t="s">
        <v>869</v>
      </c>
      <c r="H97" s="25" t="s">
        <v>871</v>
      </c>
      <c r="I97" s="33">
        <f t="shared" si="2"/>
        <v>44103</v>
      </c>
      <c r="J97" s="29">
        <v>19</v>
      </c>
      <c r="K97" s="31">
        <f>StockInData[[#This Row],[Quantity]]*2.5</f>
        <v>47.5</v>
      </c>
    </row>
    <row r="98" spans="1:11" x14ac:dyDescent="0.25">
      <c r="A98" s="29">
        <v>97</v>
      </c>
      <c r="B98" s="30">
        <f t="shared" si="3"/>
        <v>43506</v>
      </c>
      <c r="C98" s="30" t="s">
        <v>958</v>
      </c>
      <c r="D98" s="54" t="s">
        <v>955</v>
      </c>
      <c r="E98" s="25" t="s">
        <v>213</v>
      </c>
      <c r="F98" s="26" t="s">
        <v>214</v>
      </c>
      <c r="G98" s="25" t="s">
        <v>869</v>
      </c>
      <c r="H98" s="25" t="s">
        <v>871</v>
      </c>
      <c r="I98" s="33">
        <f t="shared" si="2"/>
        <v>44105</v>
      </c>
      <c r="J98" s="29">
        <v>100</v>
      </c>
      <c r="K98" s="31">
        <f>StockInData[[#This Row],[Quantity]]*2.5</f>
        <v>250</v>
      </c>
    </row>
    <row r="99" spans="1:11" x14ac:dyDescent="0.25">
      <c r="A99" s="29">
        <v>98</v>
      </c>
      <c r="B99" s="30">
        <f t="shared" si="3"/>
        <v>43507</v>
      </c>
      <c r="C99" s="30" t="s">
        <v>958</v>
      </c>
      <c r="D99" s="54" t="s">
        <v>955</v>
      </c>
      <c r="E99" s="25" t="s">
        <v>215</v>
      </c>
      <c r="F99" s="26" t="s">
        <v>216</v>
      </c>
      <c r="G99" s="25" t="s">
        <v>869</v>
      </c>
      <c r="H99" s="25" t="s">
        <v>871</v>
      </c>
      <c r="I99" s="33">
        <f t="shared" si="2"/>
        <v>44107</v>
      </c>
      <c r="J99" s="29">
        <v>100</v>
      </c>
      <c r="K99" s="31">
        <f>StockInData[[#This Row],[Quantity]]*2.5</f>
        <v>250</v>
      </c>
    </row>
    <row r="100" spans="1:11" x14ac:dyDescent="0.25">
      <c r="A100" s="29">
        <v>99</v>
      </c>
      <c r="B100" s="30">
        <f t="shared" si="3"/>
        <v>43508</v>
      </c>
      <c r="C100" s="30" t="s">
        <v>958</v>
      </c>
      <c r="D100" s="54" t="s">
        <v>955</v>
      </c>
      <c r="E100" s="25" t="s">
        <v>217</v>
      </c>
      <c r="F100" s="26" t="s">
        <v>218</v>
      </c>
      <c r="G100" s="25" t="s">
        <v>869</v>
      </c>
      <c r="H100" s="25" t="s">
        <v>871</v>
      </c>
      <c r="I100" s="33">
        <f t="shared" si="2"/>
        <v>44109</v>
      </c>
      <c r="J100" s="29">
        <v>100</v>
      </c>
      <c r="K100" s="31">
        <f>StockInData[[#This Row],[Quantity]]*2.5</f>
        <v>250</v>
      </c>
    </row>
    <row r="101" spans="1:11" x14ac:dyDescent="0.25">
      <c r="A101" s="29">
        <v>100</v>
      </c>
      <c r="B101" s="30">
        <f t="shared" si="3"/>
        <v>43509</v>
      </c>
      <c r="C101" s="30" t="s">
        <v>958</v>
      </c>
      <c r="D101" s="54" t="s">
        <v>955</v>
      </c>
      <c r="E101" s="25" t="s">
        <v>219</v>
      </c>
      <c r="F101" s="26" t="s">
        <v>220</v>
      </c>
      <c r="G101" s="25" t="s">
        <v>869</v>
      </c>
      <c r="H101" s="25" t="s">
        <v>871</v>
      </c>
      <c r="I101" s="33">
        <f t="shared" si="2"/>
        <v>44111</v>
      </c>
      <c r="J101" s="29">
        <v>100</v>
      </c>
      <c r="K101" s="31">
        <f>StockInData[[#This Row],[Quantity]]*2.5</f>
        <v>250</v>
      </c>
    </row>
    <row r="102" spans="1:11" x14ac:dyDescent="0.25">
      <c r="A102" s="29">
        <v>101</v>
      </c>
      <c r="B102" s="30">
        <f t="shared" si="3"/>
        <v>43510</v>
      </c>
      <c r="C102" s="30" t="s">
        <v>958</v>
      </c>
      <c r="D102" s="54" t="s">
        <v>955</v>
      </c>
      <c r="E102" s="25" t="s">
        <v>221</v>
      </c>
      <c r="F102" s="26" t="s">
        <v>222</v>
      </c>
      <c r="G102" s="25" t="s">
        <v>869</v>
      </c>
      <c r="H102" s="25" t="s">
        <v>871</v>
      </c>
      <c r="I102" s="33">
        <f t="shared" si="2"/>
        <v>44113</v>
      </c>
      <c r="J102" s="29">
        <v>40</v>
      </c>
      <c r="K102" s="31">
        <f>StockInData[[#This Row],[Quantity]]*2.5</f>
        <v>100</v>
      </c>
    </row>
    <row r="103" spans="1:11" x14ac:dyDescent="0.25">
      <c r="A103" s="29">
        <v>102</v>
      </c>
      <c r="B103" s="30">
        <f t="shared" si="3"/>
        <v>43511</v>
      </c>
      <c r="C103" s="30" t="s">
        <v>958</v>
      </c>
      <c r="D103" s="54" t="s">
        <v>955</v>
      </c>
      <c r="E103" s="25" t="s">
        <v>223</v>
      </c>
      <c r="F103" s="26" t="s">
        <v>224</v>
      </c>
      <c r="G103" s="25" t="s">
        <v>869</v>
      </c>
      <c r="H103" s="25" t="s">
        <v>871</v>
      </c>
      <c r="I103" s="33">
        <f t="shared" si="2"/>
        <v>44115</v>
      </c>
      <c r="J103" s="29">
        <v>30</v>
      </c>
      <c r="K103" s="31">
        <f>StockInData[[#This Row],[Quantity]]*2.5</f>
        <v>75</v>
      </c>
    </row>
    <row r="104" spans="1:11" x14ac:dyDescent="0.25">
      <c r="A104" s="29">
        <v>103</v>
      </c>
      <c r="B104" s="30">
        <f t="shared" si="3"/>
        <v>43512</v>
      </c>
      <c r="C104" s="30" t="s">
        <v>958</v>
      </c>
      <c r="D104" s="54" t="s">
        <v>955</v>
      </c>
      <c r="E104" s="25" t="s">
        <v>225</v>
      </c>
      <c r="F104" s="26" t="s">
        <v>226</v>
      </c>
      <c r="G104" s="25" t="s">
        <v>869</v>
      </c>
      <c r="H104" s="25" t="s">
        <v>871</v>
      </c>
      <c r="I104" s="33">
        <f t="shared" si="2"/>
        <v>44117</v>
      </c>
      <c r="J104" s="29">
        <v>25</v>
      </c>
      <c r="K104" s="31">
        <f>StockInData[[#This Row],[Quantity]]*2.5</f>
        <v>62.5</v>
      </c>
    </row>
    <row r="105" spans="1:11" x14ac:dyDescent="0.25">
      <c r="A105" s="29">
        <v>104</v>
      </c>
      <c r="B105" s="30">
        <f t="shared" si="3"/>
        <v>43513</v>
      </c>
      <c r="C105" s="30" t="s">
        <v>958</v>
      </c>
      <c r="D105" s="54" t="s">
        <v>955</v>
      </c>
      <c r="E105" s="25" t="s">
        <v>227</v>
      </c>
      <c r="F105" s="26" t="s">
        <v>228</v>
      </c>
      <c r="G105" s="25" t="s">
        <v>869</v>
      </c>
      <c r="H105" s="25" t="s">
        <v>871</v>
      </c>
      <c r="I105" s="33">
        <f t="shared" si="2"/>
        <v>44119</v>
      </c>
      <c r="J105" s="29">
        <v>20</v>
      </c>
      <c r="K105" s="31">
        <f>StockInData[[#This Row],[Quantity]]*2.5</f>
        <v>50</v>
      </c>
    </row>
    <row r="106" spans="1:11" x14ac:dyDescent="0.25">
      <c r="A106" s="29">
        <v>105</v>
      </c>
      <c r="B106" s="30">
        <f t="shared" si="3"/>
        <v>43514</v>
      </c>
      <c r="C106" s="30" t="s">
        <v>958</v>
      </c>
      <c r="D106" s="54" t="s">
        <v>955</v>
      </c>
      <c r="E106" s="25" t="s">
        <v>229</v>
      </c>
      <c r="F106" s="26" t="s">
        <v>230</v>
      </c>
      <c r="G106" s="25" t="s">
        <v>869</v>
      </c>
      <c r="H106" s="25" t="s">
        <v>871</v>
      </c>
      <c r="I106" s="33">
        <f t="shared" si="2"/>
        <v>44121</v>
      </c>
      <c r="J106" s="29">
        <v>19</v>
      </c>
      <c r="K106" s="31">
        <f>StockInData[[#This Row],[Quantity]]*2.5</f>
        <v>47.5</v>
      </c>
    </row>
    <row r="107" spans="1:11" x14ac:dyDescent="0.25">
      <c r="A107" s="29">
        <v>106</v>
      </c>
      <c r="B107" s="30">
        <f t="shared" si="3"/>
        <v>43515</v>
      </c>
      <c r="C107" s="30" t="s">
        <v>958</v>
      </c>
      <c r="D107" s="54" t="s">
        <v>955</v>
      </c>
      <c r="E107" s="25" t="s">
        <v>231</v>
      </c>
      <c r="F107" s="26" t="s">
        <v>232</v>
      </c>
      <c r="G107" s="25" t="s">
        <v>869</v>
      </c>
      <c r="H107" s="25" t="s">
        <v>871</v>
      </c>
      <c r="I107" s="33">
        <f t="shared" si="2"/>
        <v>44123</v>
      </c>
      <c r="J107" s="29">
        <v>23</v>
      </c>
      <c r="K107" s="31">
        <f>StockInData[[#This Row],[Quantity]]*2.5</f>
        <v>57.5</v>
      </c>
    </row>
    <row r="108" spans="1:11" x14ac:dyDescent="0.25">
      <c r="A108" s="29">
        <v>107</v>
      </c>
      <c r="B108" s="30">
        <f t="shared" si="3"/>
        <v>43516</v>
      </c>
      <c r="C108" s="30" t="s">
        <v>958</v>
      </c>
      <c r="D108" s="54" t="s">
        <v>955</v>
      </c>
      <c r="E108" s="25" t="s">
        <v>233</v>
      </c>
      <c r="F108" s="26" t="s">
        <v>234</v>
      </c>
      <c r="G108" s="25" t="s">
        <v>869</v>
      </c>
      <c r="H108" s="25" t="s">
        <v>871</v>
      </c>
      <c r="I108" s="33">
        <f t="shared" si="2"/>
        <v>44125</v>
      </c>
      <c r="J108" s="29">
        <v>65</v>
      </c>
      <c r="K108" s="31">
        <f>StockInData[[#This Row],[Quantity]]*2.5</f>
        <v>162.5</v>
      </c>
    </row>
    <row r="109" spans="1:11" x14ac:dyDescent="0.25">
      <c r="A109" s="29">
        <v>108</v>
      </c>
      <c r="B109" s="30">
        <f t="shared" si="3"/>
        <v>43517</v>
      </c>
      <c r="C109" s="30" t="s">
        <v>958</v>
      </c>
      <c r="D109" s="54" t="s">
        <v>955</v>
      </c>
      <c r="E109" s="25" t="s">
        <v>235</v>
      </c>
      <c r="F109" s="26" t="s">
        <v>236</v>
      </c>
      <c r="G109" s="25" t="s">
        <v>869</v>
      </c>
      <c r="H109" s="25" t="s">
        <v>871</v>
      </c>
      <c r="I109" s="33">
        <f t="shared" si="2"/>
        <v>44127</v>
      </c>
      <c r="J109" s="29">
        <v>74</v>
      </c>
      <c r="K109" s="31">
        <f>StockInData[[#This Row],[Quantity]]*2.5</f>
        <v>185</v>
      </c>
    </row>
    <row r="110" spans="1:11" x14ac:dyDescent="0.25">
      <c r="A110" s="29">
        <v>109</v>
      </c>
      <c r="B110" s="30">
        <f t="shared" si="3"/>
        <v>43518</v>
      </c>
      <c r="C110" s="30" t="s">
        <v>958</v>
      </c>
      <c r="D110" s="54" t="s">
        <v>955</v>
      </c>
      <c r="E110" s="25" t="s">
        <v>237</v>
      </c>
      <c r="F110" s="26" t="s">
        <v>238</v>
      </c>
      <c r="G110" s="25" t="s">
        <v>869</v>
      </c>
      <c r="H110" s="25" t="s">
        <v>871</v>
      </c>
      <c r="I110" s="33">
        <f t="shared" si="2"/>
        <v>44129</v>
      </c>
      <c r="J110" s="29">
        <v>84</v>
      </c>
      <c r="K110" s="31">
        <f>StockInData[[#This Row],[Quantity]]*2.5</f>
        <v>210</v>
      </c>
    </row>
    <row r="111" spans="1:11" x14ac:dyDescent="0.25">
      <c r="A111" s="29">
        <v>110</v>
      </c>
      <c r="B111" s="30">
        <f t="shared" si="3"/>
        <v>43519</v>
      </c>
      <c r="C111" s="30" t="s">
        <v>958</v>
      </c>
      <c r="D111" s="54" t="s">
        <v>955</v>
      </c>
      <c r="E111" s="25" t="s">
        <v>239</v>
      </c>
      <c r="F111" s="26" t="s">
        <v>240</v>
      </c>
      <c r="G111" s="25" t="s">
        <v>869</v>
      </c>
      <c r="H111" s="25" t="s">
        <v>871</v>
      </c>
      <c r="I111" s="33">
        <f t="shared" si="2"/>
        <v>44131</v>
      </c>
      <c r="J111" s="29">
        <v>99</v>
      </c>
      <c r="K111" s="31">
        <f>StockInData[[#This Row],[Quantity]]*2.5</f>
        <v>247.5</v>
      </c>
    </row>
    <row r="112" spans="1:11" x14ac:dyDescent="0.25">
      <c r="A112" s="29">
        <v>111</v>
      </c>
      <c r="B112" s="30">
        <f t="shared" si="3"/>
        <v>43520</v>
      </c>
      <c r="C112" s="30" t="s">
        <v>958</v>
      </c>
      <c r="D112" s="54" t="s">
        <v>955</v>
      </c>
      <c r="E112" s="25" t="s">
        <v>241</v>
      </c>
      <c r="F112" s="26" t="s">
        <v>242</v>
      </c>
      <c r="G112" s="25" t="s">
        <v>869</v>
      </c>
      <c r="H112" s="25" t="s">
        <v>871</v>
      </c>
      <c r="I112" s="33">
        <f t="shared" si="2"/>
        <v>44133</v>
      </c>
      <c r="J112" s="29">
        <v>101</v>
      </c>
      <c r="K112" s="31">
        <f>StockInData[[#This Row],[Quantity]]*2.5</f>
        <v>252.5</v>
      </c>
    </row>
    <row r="113" spans="1:11" x14ac:dyDescent="0.25">
      <c r="A113" s="29">
        <v>112</v>
      </c>
      <c r="B113" s="30">
        <f t="shared" si="3"/>
        <v>43521</v>
      </c>
      <c r="C113" s="30" t="s">
        <v>958</v>
      </c>
      <c r="D113" s="54" t="s">
        <v>955</v>
      </c>
      <c r="E113" s="25" t="s">
        <v>243</v>
      </c>
      <c r="F113" s="26" t="s">
        <v>244</v>
      </c>
      <c r="G113" s="25" t="s">
        <v>869</v>
      </c>
      <c r="H113" s="25" t="s">
        <v>871</v>
      </c>
      <c r="I113" s="33">
        <f t="shared" si="2"/>
        <v>44135</v>
      </c>
      <c r="J113" s="29">
        <v>60</v>
      </c>
      <c r="K113" s="31">
        <f>StockInData[[#This Row],[Quantity]]*2.5</f>
        <v>150</v>
      </c>
    </row>
    <row r="114" spans="1:11" x14ac:dyDescent="0.25">
      <c r="A114" s="29">
        <v>113</v>
      </c>
      <c r="B114" s="30">
        <f t="shared" si="3"/>
        <v>43522</v>
      </c>
      <c r="C114" s="30" t="s">
        <v>958</v>
      </c>
      <c r="D114" s="54" t="s">
        <v>955</v>
      </c>
      <c r="E114" s="25" t="s">
        <v>245</v>
      </c>
      <c r="F114" s="26" t="s">
        <v>246</v>
      </c>
      <c r="G114" s="25" t="s">
        <v>869</v>
      </c>
      <c r="H114" s="25" t="s">
        <v>871</v>
      </c>
      <c r="I114" s="33">
        <f t="shared" si="2"/>
        <v>44137</v>
      </c>
      <c r="J114" s="29">
        <v>40</v>
      </c>
      <c r="K114" s="31">
        <f>StockInData[[#This Row],[Quantity]]*2.5</f>
        <v>100</v>
      </c>
    </row>
    <row r="115" spans="1:11" x14ac:dyDescent="0.25">
      <c r="A115" s="29">
        <v>114</v>
      </c>
      <c r="B115" s="30">
        <f t="shared" si="3"/>
        <v>43523</v>
      </c>
      <c r="C115" s="30" t="s">
        <v>958</v>
      </c>
      <c r="D115" s="54" t="s">
        <v>955</v>
      </c>
      <c r="E115" s="25" t="s">
        <v>247</v>
      </c>
      <c r="F115" s="26" t="s">
        <v>248</v>
      </c>
      <c r="G115" s="25" t="s">
        <v>869</v>
      </c>
      <c r="H115" s="25" t="s">
        <v>871</v>
      </c>
      <c r="I115" s="33">
        <f t="shared" si="2"/>
        <v>44139</v>
      </c>
      <c r="J115" s="29">
        <v>30</v>
      </c>
      <c r="K115" s="31">
        <f>StockInData[[#This Row],[Quantity]]*2.5</f>
        <v>75</v>
      </c>
    </row>
    <row r="116" spans="1:11" x14ac:dyDescent="0.25">
      <c r="A116" s="29">
        <v>115</v>
      </c>
      <c r="B116" s="30">
        <f t="shared" si="3"/>
        <v>43524</v>
      </c>
      <c r="C116" s="30" t="s">
        <v>958</v>
      </c>
      <c r="D116" s="54" t="s">
        <v>955</v>
      </c>
      <c r="E116" s="25" t="s">
        <v>249</v>
      </c>
      <c r="F116" s="26" t="s">
        <v>250</v>
      </c>
      <c r="G116" s="25" t="s">
        <v>869</v>
      </c>
      <c r="H116" s="25" t="s">
        <v>871</v>
      </c>
      <c r="I116" s="33">
        <f t="shared" si="2"/>
        <v>44141</v>
      </c>
      <c r="J116" s="29">
        <v>25</v>
      </c>
      <c r="K116" s="31">
        <f>StockInData[[#This Row],[Quantity]]*2.5</f>
        <v>62.5</v>
      </c>
    </row>
    <row r="117" spans="1:11" x14ac:dyDescent="0.25">
      <c r="A117" s="29">
        <v>116</v>
      </c>
      <c r="B117" s="30">
        <f t="shared" si="3"/>
        <v>43525</v>
      </c>
      <c r="C117" s="30" t="s">
        <v>958</v>
      </c>
      <c r="D117" s="54" t="s">
        <v>955</v>
      </c>
      <c r="E117" s="25" t="s">
        <v>251</v>
      </c>
      <c r="F117" s="26" t="s">
        <v>252</v>
      </c>
      <c r="G117" s="25" t="s">
        <v>869</v>
      </c>
      <c r="H117" s="25" t="s">
        <v>871</v>
      </c>
      <c r="I117" s="33">
        <f t="shared" si="2"/>
        <v>44143</v>
      </c>
      <c r="J117" s="29">
        <v>20</v>
      </c>
      <c r="K117" s="31">
        <f>StockInData[[#This Row],[Quantity]]*2.5</f>
        <v>50</v>
      </c>
    </row>
    <row r="118" spans="1:11" x14ac:dyDescent="0.25">
      <c r="A118" s="29">
        <v>117</v>
      </c>
      <c r="B118" s="30">
        <f t="shared" si="3"/>
        <v>43526</v>
      </c>
      <c r="C118" s="30" t="s">
        <v>958</v>
      </c>
      <c r="D118" s="54" t="s">
        <v>955</v>
      </c>
      <c r="E118" s="25" t="s">
        <v>253</v>
      </c>
      <c r="F118" s="26" t="s">
        <v>254</v>
      </c>
      <c r="G118" s="25" t="s">
        <v>869</v>
      </c>
      <c r="H118" s="25" t="s">
        <v>871</v>
      </c>
      <c r="I118" s="33">
        <f t="shared" si="2"/>
        <v>44145</v>
      </c>
      <c r="J118" s="29">
        <v>19</v>
      </c>
      <c r="K118" s="31">
        <f>StockInData[[#This Row],[Quantity]]*2.5</f>
        <v>47.5</v>
      </c>
    </row>
    <row r="119" spans="1:11" x14ac:dyDescent="0.25">
      <c r="A119" s="29">
        <v>118</v>
      </c>
      <c r="B119" s="30">
        <f t="shared" si="3"/>
        <v>43527</v>
      </c>
      <c r="C119" s="30" t="s">
        <v>958</v>
      </c>
      <c r="D119" s="54" t="s">
        <v>955</v>
      </c>
      <c r="E119" s="25" t="s">
        <v>255</v>
      </c>
      <c r="F119" s="26" t="s">
        <v>256</v>
      </c>
      <c r="G119" s="25" t="s">
        <v>869</v>
      </c>
      <c r="H119" s="25" t="s">
        <v>871</v>
      </c>
      <c r="I119" s="33">
        <f t="shared" si="2"/>
        <v>44147</v>
      </c>
      <c r="J119" s="29">
        <v>23</v>
      </c>
      <c r="K119" s="31">
        <f>StockInData[[#This Row],[Quantity]]*2.5</f>
        <v>57.5</v>
      </c>
    </row>
    <row r="120" spans="1:11" x14ac:dyDescent="0.25">
      <c r="A120" s="29">
        <v>119</v>
      </c>
      <c r="B120" s="30">
        <f t="shared" si="3"/>
        <v>43528</v>
      </c>
      <c r="C120" s="30" t="s">
        <v>958</v>
      </c>
      <c r="D120" s="54" t="s">
        <v>955</v>
      </c>
      <c r="E120" s="25" t="s">
        <v>257</v>
      </c>
      <c r="F120" s="26" t="s">
        <v>258</v>
      </c>
      <c r="G120" s="25" t="s">
        <v>869</v>
      </c>
      <c r="H120" s="25" t="s">
        <v>871</v>
      </c>
      <c r="I120" s="33">
        <f t="shared" si="2"/>
        <v>44149</v>
      </c>
      <c r="J120" s="29">
        <v>65</v>
      </c>
      <c r="K120" s="31">
        <f>StockInData[[#This Row],[Quantity]]*2.5</f>
        <v>162.5</v>
      </c>
    </row>
    <row r="121" spans="1:11" x14ac:dyDescent="0.25">
      <c r="A121" s="29">
        <v>120</v>
      </c>
      <c r="B121" s="30">
        <f t="shared" si="3"/>
        <v>43529</v>
      </c>
      <c r="C121" s="30" t="s">
        <v>958</v>
      </c>
      <c r="D121" s="54" t="s">
        <v>955</v>
      </c>
      <c r="E121" s="25" t="s">
        <v>259</v>
      </c>
      <c r="F121" s="26" t="s">
        <v>260</v>
      </c>
      <c r="G121" s="25" t="s">
        <v>869</v>
      </c>
      <c r="H121" s="25" t="s">
        <v>871</v>
      </c>
      <c r="I121" s="33">
        <f t="shared" si="2"/>
        <v>44151</v>
      </c>
      <c r="J121" s="29">
        <v>74</v>
      </c>
      <c r="K121" s="31">
        <f>StockInData[[#This Row],[Quantity]]*2.5</f>
        <v>185</v>
      </c>
    </row>
    <row r="122" spans="1:11" x14ac:dyDescent="0.25">
      <c r="A122" s="29">
        <v>121</v>
      </c>
      <c r="B122" s="30">
        <f t="shared" si="3"/>
        <v>43530</v>
      </c>
      <c r="C122" s="30" t="s">
        <v>958</v>
      </c>
      <c r="D122" s="54" t="s">
        <v>955</v>
      </c>
      <c r="E122" s="25" t="s">
        <v>261</v>
      </c>
      <c r="F122" s="26" t="s">
        <v>262</v>
      </c>
      <c r="G122" s="25" t="s">
        <v>869</v>
      </c>
      <c r="H122" s="25" t="s">
        <v>871</v>
      </c>
      <c r="I122" s="33">
        <f t="shared" si="2"/>
        <v>44153</v>
      </c>
      <c r="J122" s="29">
        <v>84</v>
      </c>
      <c r="K122" s="31">
        <f>StockInData[[#This Row],[Quantity]]*2.5</f>
        <v>210</v>
      </c>
    </row>
    <row r="123" spans="1:11" x14ac:dyDescent="0.25">
      <c r="A123" s="29">
        <v>122</v>
      </c>
      <c r="B123" s="30">
        <f t="shared" si="3"/>
        <v>43531</v>
      </c>
      <c r="C123" s="30" t="s">
        <v>958</v>
      </c>
      <c r="D123" s="54" t="s">
        <v>955</v>
      </c>
      <c r="E123" s="25" t="s">
        <v>263</v>
      </c>
      <c r="F123" s="26" t="s">
        <v>264</v>
      </c>
      <c r="G123" s="25" t="s">
        <v>869</v>
      </c>
      <c r="H123" s="25" t="s">
        <v>871</v>
      </c>
      <c r="I123" s="33">
        <f t="shared" si="2"/>
        <v>44155</v>
      </c>
      <c r="J123" s="29">
        <v>99</v>
      </c>
      <c r="K123" s="31">
        <f>StockInData[[#This Row],[Quantity]]*2.5</f>
        <v>247.5</v>
      </c>
    </row>
    <row r="124" spans="1:11" x14ac:dyDescent="0.25">
      <c r="A124" s="29">
        <v>123</v>
      </c>
      <c r="B124" s="30">
        <f t="shared" si="3"/>
        <v>43532</v>
      </c>
      <c r="C124" s="30" t="s">
        <v>959</v>
      </c>
      <c r="D124" s="54" t="s">
        <v>956</v>
      </c>
      <c r="E124" s="25" t="s">
        <v>265</v>
      </c>
      <c r="F124" s="26" t="s">
        <v>266</v>
      </c>
      <c r="G124" s="25" t="s">
        <v>869</v>
      </c>
      <c r="H124" s="25" t="s">
        <v>871</v>
      </c>
      <c r="I124" s="33">
        <f t="shared" si="2"/>
        <v>44157</v>
      </c>
      <c r="J124" s="29">
        <v>101</v>
      </c>
      <c r="K124" s="31">
        <f>StockInData[[#This Row],[Quantity]]*2.5</f>
        <v>252.5</v>
      </c>
    </row>
    <row r="125" spans="1:11" x14ac:dyDescent="0.25">
      <c r="A125" s="29">
        <v>124</v>
      </c>
      <c r="B125" s="30">
        <f t="shared" si="3"/>
        <v>43533</v>
      </c>
      <c r="C125" s="30" t="s">
        <v>959</v>
      </c>
      <c r="D125" s="54" t="s">
        <v>956</v>
      </c>
      <c r="E125" s="25" t="s">
        <v>267</v>
      </c>
      <c r="F125" s="26" t="s">
        <v>268</v>
      </c>
      <c r="G125" s="25" t="s">
        <v>869</v>
      </c>
      <c r="H125" s="25" t="s">
        <v>871</v>
      </c>
      <c r="I125" s="33">
        <f t="shared" si="2"/>
        <v>44159</v>
      </c>
      <c r="J125" s="29">
        <v>60</v>
      </c>
      <c r="K125" s="31">
        <f>StockInData[[#This Row],[Quantity]]*2.5</f>
        <v>150</v>
      </c>
    </row>
    <row r="126" spans="1:11" x14ac:dyDescent="0.25">
      <c r="A126" s="29">
        <v>125</v>
      </c>
      <c r="B126" s="30">
        <f t="shared" si="3"/>
        <v>43534</v>
      </c>
      <c r="C126" s="30" t="s">
        <v>959</v>
      </c>
      <c r="D126" s="54" t="s">
        <v>956</v>
      </c>
      <c r="E126" s="25" t="s">
        <v>269</v>
      </c>
      <c r="F126" s="26" t="s">
        <v>270</v>
      </c>
      <c r="G126" s="25" t="s">
        <v>869</v>
      </c>
      <c r="H126" s="25" t="s">
        <v>871</v>
      </c>
      <c r="I126" s="33">
        <f t="shared" si="2"/>
        <v>44161</v>
      </c>
      <c r="J126" s="29">
        <v>40</v>
      </c>
      <c r="K126" s="31">
        <f>StockInData[[#This Row],[Quantity]]*2.5</f>
        <v>100</v>
      </c>
    </row>
    <row r="127" spans="1:11" x14ac:dyDescent="0.25">
      <c r="A127" s="29">
        <v>126</v>
      </c>
      <c r="B127" s="30">
        <f t="shared" si="3"/>
        <v>43535</v>
      </c>
      <c r="C127" s="30" t="s">
        <v>959</v>
      </c>
      <c r="D127" s="54" t="s">
        <v>956</v>
      </c>
      <c r="E127" s="25" t="s">
        <v>271</v>
      </c>
      <c r="F127" s="26" t="s">
        <v>272</v>
      </c>
      <c r="G127" s="25" t="s">
        <v>869</v>
      </c>
      <c r="H127" s="25" t="s">
        <v>871</v>
      </c>
      <c r="I127" s="33">
        <f t="shared" si="2"/>
        <v>44163</v>
      </c>
      <c r="J127" s="29">
        <v>30</v>
      </c>
      <c r="K127" s="31">
        <f>StockInData[[#This Row],[Quantity]]*2.5</f>
        <v>75</v>
      </c>
    </row>
    <row r="128" spans="1:11" x14ac:dyDescent="0.25">
      <c r="A128" s="29">
        <v>127</v>
      </c>
      <c r="B128" s="30">
        <f t="shared" si="3"/>
        <v>43536</v>
      </c>
      <c r="C128" s="30" t="s">
        <v>959</v>
      </c>
      <c r="D128" s="54" t="s">
        <v>956</v>
      </c>
      <c r="E128" s="25" t="s">
        <v>273</v>
      </c>
      <c r="F128" s="26" t="s">
        <v>274</v>
      </c>
      <c r="G128" s="25" t="s">
        <v>869</v>
      </c>
      <c r="H128" s="25" t="s">
        <v>871</v>
      </c>
      <c r="I128" s="33">
        <f t="shared" si="2"/>
        <v>44165</v>
      </c>
      <c r="J128" s="29">
        <v>25</v>
      </c>
      <c r="K128" s="31">
        <f>StockInData[[#This Row],[Quantity]]*2.5</f>
        <v>62.5</v>
      </c>
    </row>
    <row r="129" spans="1:11" x14ac:dyDescent="0.25">
      <c r="A129" s="29">
        <v>128</v>
      </c>
      <c r="B129" s="30">
        <f t="shared" si="3"/>
        <v>43537</v>
      </c>
      <c r="C129" s="30" t="s">
        <v>959</v>
      </c>
      <c r="D129" s="54" t="s">
        <v>956</v>
      </c>
      <c r="E129" s="25" t="s">
        <v>275</v>
      </c>
      <c r="F129" s="26" t="s">
        <v>276</v>
      </c>
      <c r="G129" s="25" t="s">
        <v>869</v>
      </c>
      <c r="H129" s="25" t="s">
        <v>871</v>
      </c>
      <c r="I129" s="33">
        <f t="shared" si="2"/>
        <v>44167</v>
      </c>
      <c r="J129" s="29">
        <v>20</v>
      </c>
      <c r="K129" s="31">
        <f>StockInData[[#This Row],[Quantity]]*2.5</f>
        <v>50</v>
      </c>
    </row>
    <row r="130" spans="1:11" x14ac:dyDescent="0.25">
      <c r="A130" s="29">
        <v>129</v>
      </c>
      <c r="B130" s="30">
        <f t="shared" si="3"/>
        <v>43538</v>
      </c>
      <c r="C130" s="30" t="s">
        <v>959</v>
      </c>
      <c r="D130" s="54" t="s">
        <v>956</v>
      </c>
      <c r="E130" s="25" t="s">
        <v>277</v>
      </c>
      <c r="F130" s="26" t="s">
        <v>278</v>
      </c>
      <c r="G130" s="25" t="s">
        <v>869</v>
      </c>
      <c r="H130" s="25" t="s">
        <v>871</v>
      </c>
      <c r="I130" s="33">
        <f t="shared" si="2"/>
        <v>44169</v>
      </c>
      <c r="J130" s="29">
        <v>19</v>
      </c>
      <c r="K130" s="31">
        <f>StockInData[[#This Row],[Quantity]]*2.5</f>
        <v>47.5</v>
      </c>
    </row>
    <row r="131" spans="1:11" x14ac:dyDescent="0.25">
      <c r="A131" s="29">
        <v>130</v>
      </c>
      <c r="B131" s="30">
        <f t="shared" si="3"/>
        <v>43539</v>
      </c>
      <c r="C131" s="30" t="s">
        <v>959</v>
      </c>
      <c r="D131" s="54" t="s">
        <v>956</v>
      </c>
      <c r="E131" s="25" t="s">
        <v>279</v>
      </c>
      <c r="F131" s="26" t="s">
        <v>280</v>
      </c>
      <c r="G131" s="25" t="s">
        <v>869</v>
      </c>
      <c r="H131" s="25" t="s">
        <v>871</v>
      </c>
      <c r="I131" s="33">
        <f t="shared" si="2"/>
        <v>44171</v>
      </c>
      <c r="J131" s="29">
        <v>23</v>
      </c>
      <c r="K131" s="31">
        <f>StockInData[[#This Row],[Quantity]]*2.5</f>
        <v>57.5</v>
      </c>
    </row>
    <row r="132" spans="1:11" x14ac:dyDescent="0.25">
      <c r="A132" s="29">
        <v>131</v>
      </c>
      <c r="B132" s="30">
        <f t="shared" si="3"/>
        <v>43540</v>
      </c>
      <c r="C132" s="30" t="s">
        <v>959</v>
      </c>
      <c r="D132" s="54" t="s">
        <v>956</v>
      </c>
      <c r="E132" s="25" t="s">
        <v>281</v>
      </c>
      <c r="F132" s="26" t="s">
        <v>282</v>
      </c>
      <c r="G132" s="25" t="s">
        <v>869</v>
      </c>
      <c r="H132" s="25" t="s">
        <v>871</v>
      </c>
      <c r="I132" s="33">
        <f t="shared" ref="I132:I195" si="4">I131+2</f>
        <v>44173</v>
      </c>
      <c r="J132" s="29">
        <v>65</v>
      </c>
      <c r="K132" s="31">
        <f>StockInData[[#This Row],[Quantity]]*2.5</f>
        <v>162.5</v>
      </c>
    </row>
    <row r="133" spans="1:11" x14ac:dyDescent="0.25">
      <c r="A133" s="29">
        <v>132</v>
      </c>
      <c r="B133" s="30">
        <f t="shared" ref="B133:B196" si="5">B132+1</f>
        <v>43541</v>
      </c>
      <c r="C133" s="30" t="s">
        <v>959</v>
      </c>
      <c r="D133" s="54" t="s">
        <v>956</v>
      </c>
      <c r="E133" s="25" t="s">
        <v>283</v>
      </c>
      <c r="F133" s="26" t="s">
        <v>284</v>
      </c>
      <c r="G133" s="25" t="s">
        <v>869</v>
      </c>
      <c r="H133" s="25" t="s">
        <v>871</v>
      </c>
      <c r="I133" s="33">
        <f t="shared" si="4"/>
        <v>44175</v>
      </c>
      <c r="J133" s="29">
        <v>74</v>
      </c>
      <c r="K133" s="31">
        <f>StockInData[[#This Row],[Quantity]]*2.5</f>
        <v>185</v>
      </c>
    </row>
    <row r="134" spans="1:11" x14ac:dyDescent="0.25">
      <c r="A134" s="29">
        <v>133</v>
      </c>
      <c r="B134" s="30">
        <f t="shared" si="5"/>
        <v>43542</v>
      </c>
      <c r="C134" s="30" t="s">
        <v>959</v>
      </c>
      <c r="D134" s="54" t="s">
        <v>956</v>
      </c>
      <c r="E134" s="25" t="s">
        <v>285</v>
      </c>
      <c r="F134" s="26" t="s">
        <v>286</v>
      </c>
      <c r="G134" s="25" t="s">
        <v>869</v>
      </c>
      <c r="H134" s="25" t="s">
        <v>871</v>
      </c>
      <c r="I134" s="33">
        <f t="shared" si="4"/>
        <v>44177</v>
      </c>
      <c r="J134" s="29">
        <v>84</v>
      </c>
      <c r="K134" s="31">
        <f>StockInData[[#This Row],[Quantity]]*2.5</f>
        <v>210</v>
      </c>
    </row>
    <row r="135" spans="1:11" x14ac:dyDescent="0.25">
      <c r="A135" s="29">
        <v>134</v>
      </c>
      <c r="B135" s="30">
        <f t="shared" si="5"/>
        <v>43543</v>
      </c>
      <c r="C135" s="30" t="s">
        <v>959</v>
      </c>
      <c r="D135" s="54" t="s">
        <v>956</v>
      </c>
      <c r="E135" s="25" t="s">
        <v>287</v>
      </c>
      <c r="F135" s="26" t="s">
        <v>288</v>
      </c>
      <c r="G135" s="25" t="s">
        <v>869</v>
      </c>
      <c r="H135" s="25" t="s">
        <v>871</v>
      </c>
      <c r="I135" s="33">
        <f t="shared" si="4"/>
        <v>44179</v>
      </c>
      <c r="J135" s="29">
        <v>99</v>
      </c>
      <c r="K135" s="31">
        <f>StockInData[[#This Row],[Quantity]]*2.5</f>
        <v>247.5</v>
      </c>
    </row>
    <row r="136" spans="1:11" x14ac:dyDescent="0.25">
      <c r="A136" s="29">
        <v>135</v>
      </c>
      <c r="B136" s="30">
        <f t="shared" si="5"/>
        <v>43544</v>
      </c>
      <c r="C136" s="30" t="s">
        <v>959</v>
      </c>
      <c r="D136" s="54" t="s">
        <v>956</v>
      </c>
      <c r="E136" s="25" t="s">
        <v>289</v>
      </c>
      <c r="F136" s="26" t="s">
        <v>290</v>
      </c>
      <c r="G136" s="25" t="s">
        <v>869</v>
      </c>
      <c r="H136" s="25" t="s">
        <v>871</v>
      </c>
      <c r="I136" s="33">
        <f t="shared" si="4"/>
        <v>44181</v>
      </c>
      <c r="J136" s="29">
        <v>101</v>
      </c>
      <c r="K136" s="31">
        <f>StockInData[[#This Row],[Quantity]]*2.5</f>
        <v>252.5</v>
      </c>
    </row>
    <row r="137" spans="1:11" x14ac:dyDescent="0.25">
      <c r="A137" s="29">
        <v>136</v>
      </c>
      <c r="B137" s="30">
        <f t="shared" si="5"/>
        <v>43545</v>
      </c>
      <c r="C137" s="30" t="s">
        <v>959</v>
      </c>
      <c r="D137" s="54" t="s">
        <v>956</v>
      </c>
      <c r="E137" s="25" t="s">
        <v>291</v>
      </c>
      <c r="F137" s="26" t="s">
        <v>292</v>
      </c>
      <c r="G137" s="25" t="s">
        <v>869</v>
      </c>
      <c r="H137" s="25" t="s">
        <v>871</v>
      </c>
      <c r="I137" s="33">
        <f t="shared" si="4"/>
        <v>44183</v>
      </c>
      <c r="J137" s="29">
        <v>100</v>
      </c>
      <c r="K137" s="31">
        <f>StockInData[[#This Row],[Quantity]]*2.5</f>
        <v>250</v>
      </c>
    </row>
    <row r="138" spans="1:11" x14ac:dyDescent="0.25">
      <c r="A138" s="29">
        <v>137</v>
      </c>
      <c r="B138" s="30">
        <f t="shared" si="5"/>
        <v>43546</v>
      </c>
      <c r="C138" s="30" t="s">
        <v>959</v>
      </c>
      <c r="D138" s="54" t="s">
        <v>956</v>
      </c>
      <c r="E138" s="25" t="s">
        <v>293</v>
      </c>
      <c r="F138" s="26" t="s">
        <v>294</v>
      </c>
      <c r="G138" s="25" t="s">
        <v>869</v>
      </c>
      <c r="H138" s="25" t="s">
        <v>871</v>
      </c>
      <c r="I138" s="33">
        <f t="shared" si="4"/>
        <v>44185</v>
      </c>
      <c r="J138" s="29">
        <v>60</v>
      </c>
      <c r="K138" s="31">
        <f>StockInData[[#This Row],[Quantity]]*2.5</f>
        <v>150</v>
      </c>
    </row>
    <row r="139" spans="1:11" x14ac:dyDescent="0.25">
      <c r="A139" s="29">
        <v>138</v>
      </c>
      <c r="B139" s="30">
        <f t="shared" si="5"/>
        <v>43547</v>
      </c>
      <c r="C139" s="30" t="s">
        <v>959</v>
      </c>
      <c r="D139" s="54" t="s">
        <v>956</v>
      </c>
      <c r="E139" s="25" t="s">
        <v>295</v>
      </c>
      <c r="F139" s="26" t="s">
        <v>296</v>
      </c>
      <c r="G139" s="25" t="s">
        <v>869</v>
      </c>
      <c r="H139" s="25" t="s">
        <v>871</v>
      </c>
      <c r="I139" s="33">
        <f t="shared" si="4"/>
        <v>44187</v>
      </c>
      <c r="J139" s="29">
        <v>40</v>
      </c>
      <c r="K139" s="31">
        <f>StockInData[[#This Row],[Quantity]]*2.5</f>
        <v>100</v>
      </c>
    </row>
    <row r="140" spans="1:11" x14ac:dyDescent="0.25">
      <c r="A140" s="29">
        <v>139</v>
      </c>
      <c r="B140" s="30">
        <f t="shared" si="5"/>
        <v>43548</v>
      </c>
      <c r="C140" s="30" t="s">
        <v>959</v>
      </c>
      <c r="D140" s="54" t="s">
        <v>956</v>
      </c>
      <c r="E140" s="25" t="s">
        <v>297</v>
      </c>
      <c r="F140" s="26" t="s">
        <v>298</v>
      </c>
      <c r="G140" s="25" t="s">
        <v>869</v>
      </c>
      <c r="H140" s="25" t="s">
        <v>871</v>
      </c>
      <c r="I140" s="33">
        <f t="shared" si="4"/>
        <v>44189</v>
      </c>
      <c r="J140" s="29">
        <v>30</v>
      </c>
      <c r="K140" s="31">
        <f>StockInData[[#This Row],[Quantity]]*2.5</f>
        <v>75</v>
      </c>
    </row>
    <row r="141" spans="1:11" x14ac:dyDescent="0.25">
      <c r="A141" s="29">
        <v>140</v>
      </c>
      <c r="B141" s="30">
        <f t="shared" si="5"/>
        <v>43549</v>
      </c>
      <c r="C141" s="30" t="s">
        <v>959</v>
      </c>
      <c r="D141" s="54" t="s">
        <v>956</v>
      </c>
      <c r="E141" s="25" t="s">
        <v>299</v>
      </c>
      <c r="F141" s="26" t="s">
        <v>300</v>
      </c>
      <c r="G141" s="25" t="s">
        <v>869</v>
      </c>
      <c r="H141" s="25" t="s">
        <v>871</v>
      </c>
      <c r="I141" s="33">
        <f t="shared" si="4"/>
        <v>44191</v>
      </c>
      <c r="J141" s="29">
        <v>25</v>
      </c>
      <c r="K141" s="31">
        <f>StockInData[[#This Row],[Quantity]]*2.5</f>
        <v>62.5</v>
      </c>
    </row>
    <row r="142" spans="1:11" x14ac:dyDescent="0.25">
      <c r="A142" s="29">
        <v>141</v>
      </c>
      <c r="B142" s="30">
        <f t="shared" si="5"/>
        <v>43550</v>
      </c>
      <c r="C142" s="30" t="s">
        <v>959</v>
      </c>
      <c r="D142" s="54" t="s">
        <v>956</v>
      </c>
      <c r="E142" s="25" t="s">
        <v>301</v>
      </c>
      <c r="F142" s="26" t="s">
        <v>302</v>
      </c>
      <c r="G142" s="25" t="s">
        <v>869</v>
      </c>
      <c r="H142" s="25" t="s">
        <v>871</v>
      </c>
      <c r="I142" s="33">
        <f t="shared" si="4"/>
        <v>44193</v>
      </c>
      <c r="J142" s="29">
        <v>20</v>
      </c>
      <c r="K142" s="31">
        <f>StockInData[[#This Row],[Quantity]]*2.5</f>
        <v>50</v>
      </c>
    </row>
    <row r="143" spans="1:11" x14ac:dyDescent="0.25">
      <c r="A143" s="29">
        <v>142</v>
      </c>
      <c r="B143" s="30">
        <f t="shared" si="5"/>
        <v>43551</v>
      </c>
      <c r="C143" s="30" t="s">
        <v>959</v>
      </c>
      <c r="D143" s="54" t="s">
        <v>956</v>
      </c>
      <c r="E143" s="25" t="s">
        <v>303</v>
      </c>
      <c r="F143" s="26" t="s">
        <v>304</v>
      </c>
      <c r="G143" s="25" t="s">
        <v>869</v>
      </c>
      <c r="H143" s="25" t="s">
        <v>871</v>
      </c>
      <c r="I143" s="33">
        <f t="shared" si="4"/>
        <v>44195</v>
      </c>
      <c r="J143" s="29">
        <v>19</v>
      </c>
      <c r="K143" s="31">
        <f>StockInData[[#This Row],[Quantity]]*2.5</f>
        <v>47.5</v>
      </c>
    </row>
    <row r="144" spans="1:11" x14ac:dyDescent="0.25">
      <c r="A144" s="29">
        <v>143</v>
      </c>
      <c r="B144" s="30">
        <f t="shared" si="5"/>
        <v>43552</v>
      </c>
      <c r="C144" s="30" t="s">
        <v>959</v>
      </c>
      <c r="D144" s="54" t="s">
        <v>956</v>
      </c>
      <c r="E144" s="25" t="s">
        <v>305</v>
      </c>
      <c r="F144" s="26" t="s">
        <v>306</v>
      </c>
      <c r="G144" s="25" t="s">
        <v>869</v>
      </c>
      <c r="H144" s="25" t="s">
        <v>871</v>
      </c>
      <c r="I144" s="33">
        <f t="shared" si="4"/>
        <v>44197</v>
      </c>
      <c r="J144" s="29">
        <v>23</v>
      </c>
      <c r="K144" s="31">
        <f>StockInData[[#This Row],[Quantity]]*2.5</f>
        <v>57.5</v>
      </c>
    </row>
    <row r="145" spans="1:11" x14ac:dyDescent="0.25">
      <c r="A145" s="29">
        <v>144</v>
      </c>
      <c r="B145" s="30">
        <f t="shared" si="5"/>
        <v>43553</v>
      </c>
      <c r="C145" s="30" t="s">
        <v>959</v>
      </c>
      <c r="D145" s="54" t="s">
        <v>956</v>
      </c>
      <c r="E145" s="25" t="s">
        <v>307</v>
      </c>
      <c r="F145" s="26" t="s">
        <v>308</v>
      </c>
      <c r="G145" s="25" t="s">
        <v>869</v>
      </c>
      <c r="H145" s="25" t="s">
        <v>871</v>
      </c>
      <c r="I145" s="33">
        <f t="shared" si="4"/>
        <v>44199</v>
      </c>
      <c r="J145" s="29">
        <v>65</v>
      </c>
      <c r="K145" s="31">
        <f>StockInData[[#This Row],[Quantity]]*2.5</f>
        <v>162.5</v>
      </c>
    </row>
    <row r="146" spans="1:11" x14ac:dyDescent="0.25">
      <c r="A146" s="29">
        <v>145</v>
      </c>
      <c r="B146" s="30">
        <f t="shared" si="5"/>
        <v>43554</v>
      </c>
      <c r="C146" s="30" t="s">
        <v>959</v>
      </c>
      <c r="D146" s="54" t="s">
        <v>956</v>
      </c>
      <c r="E146" s="25" t="s">
        <v>309</v>
      </c>
      <c r="F146" s="26" t="s">
        <v>310</v>
      </c>
      <c r="G146" s="25" t="s">
        <v>869</v>
      </c>
      <c r="H146" s="25" t="s">
        <v>871</v>
      </c>
      <c r="I146" s="33">
        <f t="shared" si="4"/>
        <v>44201</v>
      </c>
      <c r="J146" s="29">
        <v>74</v>
      </c>
      <c r="K146" s="31">
        <f>StockInData[[#This Row],[Quantity]]*2.5</f>
        <v>185</v>
      </c>
    </row>
    <row r="147" spans="1:11" x14ac:dyDescent="0.25">
      <c r="A147" s="29">
        <v>146</v>
      </c>
      <c r="B147" s="30">
        <f t="shared" si="5"/>
        <v>43555</v>
      </c>
      <c r="C147" s="30" t="s">
        <v>959</v>
      </c>
      <c r="D147" s="54" t="s">
        <v>956</v>
      </c>
      <c r="E147" s="25" t="s">
        <v>311</v>
      </c>
      <c r="F147" s="26" t="s">
        <v>312</v>
      </c>
      <c r="G147" s="25" t="s">
        <v>869</v>
      </c>
      <c r="H147" s="25" t="s">
        <v>871</v>
      </c>
      <c r="I147" s="33">
        <f t="shared" si="4"/>
        <v>44203</v>
      </c>
      <c r="J147" s="29">
        <v>84</v>
      </c>
      <c r="K147" s="31">
        <f>StockInData[[#This Row],[Quantity]]*2.5</f>
        <v>210</v>
      </c>
    </row>
    <row r="148" spans="1:11" x14ac:dyDescent="0.25">
      <c r="A148" s="29">
        <v>147</v>
      </c>
      <c r="B148" s="30">
        <f t="shared" si="5"/>
        <v>43556</v>
      </c>
      <c r="C148" s="30" t="s">
        <v>959</v>
      </c>
      <c r="D148" s="54" t="s">
        <v>956</v>
      </c>
      <c r="E148" s="25" t="s">
        <v>313</v>
      </c>
      <c r="F148" s="26" t="s">
        <v>314</v>
      </c>
      <c r="G148" s="25" t="s">
        <v>869</v>
      </c>
      <c r="H148" s="25" t="s">
        <v>871</v>
      </c>
      <c r="I148" s="33">
        <f t="shared" si="4"/>
        <v>44205</v>
      </c>
      <c r="J148" s="29">
        <v>99</v>
      </c>
      <c r="K148" s="31">
        <f>StockInData[[#This Row],[Quantity]]*2.5</f>
        <v>247.5</v>
      </c>
    </row>
    <row r="149" spans="1:11" x14ac:dyDescent="0.25">
      <c r="A149" s="29">
        <v>148</v>
      </c>
      <c r="B149" s="30">
        <f t="shared" si="5"/>
        <v>43557</v>
      </c>
      <c r="C149" s="30" t="s">
        <v>959</v>
      </c>
      <c r="D149" s="54" t="s">
        <v>956</v>
      </c>
      <c r="E149" s="25" t="s">
        <v>315</v>
      </c>
      <c r="F149" s="26" t="s">
        <v>316</v>
      </c>
      <c r="G149" s="25" t="s">
        <v>869</v>
      </c>
      <c r="H149" s="25" t="s">
        <v>871</v>
      </c>
      <c r="I149" s="33">
        <f t="shared" si="4"/>
        <v>44207</v>
      </c>
      <c r="J149" s="29">
        <v>101</v>
      </c>
      <c r="K149" s="31">
        <f>StockInData[[#This Row],[Quantity]]*2.5</f>
        <v>252.5</v>
      </c>
    </row>
    <row r="150" spans="1:11" x14ac:dyDescent="0.25">
      <c r="A150" s="29">
        <v>149</v>
      </c>
      <c r="B150" s="30">
        <f t="shared" si="5"/>
        <v>43558</v>
      </c>
      <c r="C150" s="30" t="s">
        <v>959</v>
      </c>
      <c r="D150" s="54" t="s">
        <v>956</v>
      </c>
      <c r="E150" s="25" t="s">
        <v>317</v>
      </c>
      <c r="F150" s="26" t="s">
        <v>318</v>
      </c>
      <c r="G150" s="25" t="s">
        <v>869</v>
      </c>
      <c r="H150" s="25" t="s">
        <v>871</v>
      </c>
      <c r="I150" s="33">
        <f t="shared" si="4"/>
        <v>44209</v>
      </c>
      <c r="J150" s="29">
        <v>100</v>
      </c>
      <c r="K150" s="31">
        <f>StockInData[[#This Row],[Quantity]]*2.5</f>
        <v>250</v>
      </c>
    </row>
    <row r="151" spans="1:11" x14ac:dyDescent="0.25">
      <c r="A151" s="29">
        <v>150</v>
      </c>
      <c r="B151" s="30">
        <f t="shared" si="5"/>
        <v>43559</v>
      </c>
      <c r="C151" s="30" t="s">
        <v>959</v>
      </c>
      <c r="D151" s="54" t="s">
        <v>956</v>
      </c>
      <c r="E151" s="25" t="s">
        <v>319</v>
      </c>
      <c r="F151" s="26" t="s">
        <v>320</v>
      </c>
      <c r="G151" s="25" t="s">
        <v>869</v>
      </c>
      <c r="H151" s="25" t="s">
        <v>871</v>
      </c>
      <c r="I151" s="33">
        <f t="shared" si="4"/>
        <v>44211</v>
      </c>
      <c r="J151" s="29">
        <v>100</v>
      </c>
      <c r="K151" s="31">
        <f>StockInData[[#This Row],[Quantity]]*2.5</f>
        <v>250</v>
      </c>
    </row>
    <row r="152" spans="1:11" x14ac:dyDescent="0.25">
      <c r="A152" s="29">
        <v>151</v>
      </c>
      <c r="B152" s="30">
        <f t="shared" si="5"/>
        <v>43560</v>
      </c>
      <c r="C152" s="30" t="s">
        <v>959</v>
      </c>
      <c r="D152" s="54" t="s">
        <v>956</v>
      </c>
      <c r="E152" s="25" t="s">
        <v>321</v>
      </c>
      <c r="F152" s="26" t="s">
        <v>322</v>
      </c>
      <c r="G152" s="25" t="s">
        <v>869</v>
      </c>
      <c r="H152" s="25" t="s">
        <v>871</v>
      </c>
      <c r="I152" s="33">
        <f t="shared" si="4"/>
        <v>44213</v>
      </c>
      <c r="J152" s="29">
        <v>100</v>
      </c>
      <c r="K152" s="31">
        <f>StockInData[[#This Row],[Quantity]]*2.5</f>
        <v>250</v>
      </c>
    </row>
    <row r="153" spans="1:11" x14ac:dyDescent="0.25">
      <c r="A153" s="29">
        <v>152</v>
      </c>
      <c r="B153" s="30">
        <f t="shared" si="5"/>
        <v>43561</v>
      </c>
      <c r="C153" s="30" t="s">
        <v>959</v>
      </c>
      <c r="D153" s="54" t="s">
        <v>956</v>
      </c>
      <c r="E153" s="25" t="s">
        <v>323</v>
      </c>
      <c r="F153" s="26" t="s">
        <v>324</v>
      </c>
      <c r="G153" s="25" t="s">
        <v>869</v>
      </c>
      <c r="H153" s="25" t="s">
        <v>871</v>
      </c>
      <c r="I153" s="33">
        <f t="shared" si="4"/>
        <v>44215</v>
      </c>
      <c r="J153" s="29">
        <v>40</v>
      </c>
      <c r="K153" s="31">
        <f>StockInData[[#This Row],[Quantity]]*2.5</f>
        <v>100</v>
      </c>
    </row>
    <row r="154" spans="1:11" x14ac:dyDescent="0.25">
      <c r="A154" s="29">
        <v>153</v>
      </c>
      <c r="B154" s="30">
        <f t="shared" si="5"/>
        <v>43562</v>
      </c>
      <c r="C154" s="30" t="s">
        <v>959</v>
      </c>
      <c r="D154" s="54" t="s">
        <v>956</v>
      </c>
      <c r="E154" s="25" t="s">
        <v>325</v>
      </c>
      <c r="F154" s="26" t="s">
        <v>326</v>
      </c>
      <c r="G154" s="25" t="s">
        <v>869</v>
      </c>
      <c r="H154" s="25" t="s">
        <v>871</v>
      </c>
      <c r="I154" s="33">
        <f t="shared" si="4"/>
        <v>44217</v>
      </c>
      <c r="J154" s="29">
        <v>30</v>
      </c>
      <c r="K154" s="31">
        <f>StockInData[[#This Row],[Quantity]]*2.5</f>
        <v>75</v>
      </c>
    </row>
    <row r="155" spans="1:11" x14ac:dyDescent="0.25">
      <c r="A155" s="29">
        <v>154</v>
      </c>
      <c r="B155" s="30">
        <f t="shared" si="5"/>
        <v>43563</v>
      </c>
      <c r="C155" s="30" t="s">
        <v>959</v>
      </c>
      <c r="D155" s="54" t="s">
        <v>956</v>
      </c>
      <c r="E155" s="25" t="s">
        <v>327</v>
      </c>
      <c r="F155" s="26" t="s">
        <v>328</v>
      </c>
      <c r="G155" s="25" t="s">
        <v>869</v>
      </c>
      <c r="H155" s="25" t="s">
        <v>871</v>
      </c>
      <c r="I155" s="33">
        <f t="shared" si="4"/>
        <v>44219</v>
      </c>
      <c r="J155" s="29">
        <v>25</v>
      </c>
      <c r="K155" s="31">
        <f>StockInData[[#This Row],[Quantity]]*2.5</f>
        <v>62.5</v>
      </c>
    </row>
    <row r="156" spans="1:11" x14ac:dyDescent="0.25">
      <c r="A156" s="29">
        <v>155</v>
      </c>
      <c r="B156" s="30">
        <f t="shared" si="5"/>
        <v>43564</v>
      </c>
      <c r="C156" s="30" t="s">
        <v>959</v>
      </c>
      <c r="D156" s="54" t="s">
        <v>956</v>
      </c>
      <c r="E156" s="25" t="s">
        <v>329</v>
      </c>
      <c r="F156" s="26" t="s">
        <v>330</v>
      </c>
      <c r="G156" s="25" t="s">
        <v>869</v>
      </c>
      <c r="H156" s="25" t="s">
        <v>871</v>
      </c>
      <c r="I156" s="33">
        <f t="shared" si="4"/>
        <v>44221</v>
      </c>
      <c r="J156" s="29">
        <v>20</v>
      </c>
      <c r="K156" s="31">
        <f>StockInData[[#This Row],[Quantity]]*2.5</f>
        <v>50</v>
      </c>
    </row>
    <row r="157" spans="1:11" x14ac:dyDescent="0.25">
      <c r="A157" s="29">
        <v>156</v>
      </c>
      <c r="B157" s="30">
        <f t="shared" si="5"/>
        <v>43565</v>
      </c>
      <c r="C157" s="30" t="s">
        <v>959</v>
      </c>
      <c r="D157" s="54" t="s">
        <v>956</v>
      </c>
      <c r="E157" s="25" t="s">
        <v>331</v>
      </c>
      <c r="F157" s="26" t="s">
        <v>332</v>
      </c>
      <c r="G157" s="25" t="s">
        <v>869</v>
      </c>
      <c r="H157" s="25" t="s">
        <v>871</v>
      </c>
      <c r="I157" s="33">
        <f t="shared" si="4"/>
        <v>44223</v>
      </c>
      <c r="J157" s="29">
        <v>19</v>
      </c>
      <c r="K157" s="31">
        <f>StockInData[[#This Row],[Quantity]]*2.5</f>
        <v>47.5</v>
      </c>
    </row>
    <row r="158" spans="1:11" x14ac:dyDescent="0.25">
      <c r="A158" s="29">
        <v>157</v>
      </c>
      <c r="B158" s="30">
        <f t="shared" si="5"/>
        <v>43566</v>
      </c>
      <c r="C158" s="30" t="s">
        <v>959</v>
      </c>
      <c r="D158" s="54" t="s">
        <v>956</v>
      </c>
      <c r="E158" s="25" t="s">
        <v>333</v>
      </c>
      <c r="F158" s="26" t="s">
        <v>334</v>
      </c>
      <c r="G158" s="25" t="s">
        <v>869</v>
      </c>
      <c r="H158" s="25" t="s">
        <v>871</v>
      </c>
      <c r="I158" s="33">
        <f t="shared" si="4"/>
        <v>44225</v>
      </c>
      <c r="J158" s="29">
        <v>23</v>
      </c>
      <c r="K158" s="31">
        <f>StockInData[[#This Row],[Quantity]]*2.5</f>
        <v>57.5</v>
      </c>
    </row>
    <row r="159" spans="1:11" x14ac:dyDescent="0.25">
      <c r="A159" s="29">
        <v>158</v>
      </c>
      <c r="B159" s="30">
        <f t="shared" si="5"/>
        <v>43567</v>
      </c>
      <c r="C159" s="30" t="s">
        <v>959</v>
      </c>
      <c r="D159" s="54" t="s">
        <v>956</v>
      </c>
      <c r="E159" s="25" t="s">
        <v>335</v>
      </c>
      <c r="F159" s="26" t="s">
        <v>336</v>
      </c>
      <c r="G159" s="25" t="s">
        <v>869</v>
      </c>
      <c r="H159" s="25" t="s">
        <v>871</v>
      </c>
      <c r="I159" s="33">
        <f t="shared" si="4"/>
        <v>44227</v>
      </c>
      <c r="J159" s="29">
        <v>65</v>
      </c>
      <c r="K159" s="31">
        <f>StockInData[[#This Row],[Quantity]]*2.5</f>
        <v>162.5</v>
      </c>
    </row>
    <row r="160" spans="1:11" x14ac:dyDescent="0.25">
      <c r="A160" s="29">
        <v>159</v>
      </c>
      <c r="B160" s="30">
        <f t="shared" si="5"/>
        <v>43568</v>
      </c>
      <c r="C160" s="30" t="s">
        <v>959</v>
      </c>
      <c r="D160" s="54" t="s">
        <v>956</v>
      </c>
      <c r="E160" s="25" t="s">
        <v>337</v>
      </c>
      <c r="F160" s="26" t="s">
        <v>338</v>
      </c>
      <c r="G160" s="25" t="s">
        <v>869</v>
      </c>
      <c r="H160" s="25" t="s">
        <v>871</v>
      </c>
      <c r="I160" s="33">
        <f t="shared" si="4"/>
        <v>44229</v>
      </c>
      <c r="J160" s="29">
        <v>74</v>
      </c>
      <c r="K160" s="31">
        <f>StockInData[[#This Row],[Quantity]]*2.5</f>
        <v>185</v>
      </c>
    </row>
    <row r="161" spans="1:11" x14ac:dyDescent="0.25">
      <c r="A161" s="29">
        <v>160</v>
      </c>
      <c r="B161" s="30">
        <f t="shared" si="5"/>
        <v>43569</v>
      </c>
      <c r="C161" s="30" t="s">
        <v>959</v>
      </c>
      <c r="D161" s="54" t="s">
        <v>956</v>
      </c>
      <c r="E161" s="25" t="s">
        <v>339</v>
      </c>
      <c r="F161" s="26" t="s">
        <v>340</v>
      </c>
      <c r="G161" s="25" t="s">
        <v>869</v>
      </c>
      <c r="H161" s="25" t="s">
        <v>871</v>
      </c>
      <c r="I161" s="33">
        <f t="shared" si="4"/>
        <v>44231</v>
      </c>
      <c r="J161" s="29">
        <v>84</v>
      </c>
      <c r="K161" s="31">
        <f>StockInData[[#This Row],[Quantity]]*2.5</f>
        <v>210</v>
      </c>
    </row>
    <row r="162" spans="1:11" x14ac:dyDescent="0.25">
      <c r="A162" s="29">
        <v>161</v>
      </c>
      <c r="B162" s="30">
        <f t="shared" si="5"/>
        <v>43570</v>
      </c>
      <c r="C162" s="30" t="s">
        <v>959</v>
      </c>
      <c r="D162" s="54" t="s">
        <v>956</v>
      </c>
      <c r="E162" s="25" t="s">
        <v>341</v>
      </c>
      <c r="F162" s="26" t="s">
        <v>342</v>
      </c>
      <c r="G162" s="25" t="s">
        <v>869</v>
      </c>
      <c r="H162" s="25" t="s">
        <v>871</v>
      </c>
      <c r="I162" s="33">
        <f t="shared" si="4"/>
        <v>44233</v>
      </c>
      <c r="J162" s="29">
        <v>99</v>
      </c>
      <c r="K162" s="31">
        <f>StockInData[[#This Row],[Quantity]]*2.5</f>
        <v>247.5</v>
      </c>
    </row>
    <row r="163" spans="1:11" x14ac:dyDescent="0.25">
      <c r="A163" s="29">
        <v>162</v>
      </c>
      <c r="B163" s="30">
        <f t="shared" si="5"/>
        <v>43571</v>
      </c>
      <c r="C163" s="30" t="s">
        <v>959</v>
      </c>
      <c r="D163" s="54" t="s">
        <v>956</v>
      </c>
      <c r="E163" s="25" t="s">
        <v>343</v>
      </c>
      <c r="F163" s="26" t="s">
        <v>344</v>
      </c>
      <c r="G163" s="25" t="s">
        <v>869</v>
      </c>
      <c r="H163" s="25" t="s">
        <v>871</v>
      </c>
      <c r="I163" s="33">
        <f t="shared" si="4"/>
        <v>44235</v>
      </c>
      <c r="J163" s="29">
        <v>101</v>
      </c>
      <c r="K163" s="31">
        <f>StockInData[[#This Row],[Quantity]]*2.5</f>
        <v>252.5</v>
      </c>
    </row>
    <row r="164" spans="1:11" x14ac:dyDescent="0.25">
      <c r="A164" s="29">
        <v>163</v>
      </c>
      <c r="B164" s="30">
        <f t="shared" si="5"/>
        <v>43572</v>
      </c>
      <c r="C164" s="30" t="s">
        <v>959</v>
      </c>
      <c r="D164" s="54" t="s">
        <v>956</v>
      </c>
      <c r="E164" s="25" t="s">
        <v>345</v>
      </c>
      <c r="F164" s="26" t="s">
        <v>346</v>
      </c>
      <c r="G164" s="25" t="s">
        <v>869</v>
      </c>
      <c r="H164" s="25" t="s">
        <v>871</v>
      </c>
      <c r="I164" s="33">
        <f t="shared" si="4"/>
        <v>44237</v>
      </c>
      <c r="J164" s="29">
        <v>60</v>
      </c>
      <c r="K164" s="31">
        <f>StockInData[[#This Row],[Quantity]]*2.5</f>
        <v>150</v>
      </c>
    </row>
    <row r="165" spans="1:11" x14ac:dyDescent="0.25">
      <c r="A165" s="29">
        <v>164</v>
      </c>
      <c r="B165" s="30">
        <f t="shared" si="5"/>
        <v>43573</v>
      </c>
      <c r="C165" s="30" t="s">
        <v>959</v>
      </c>
      <c r="D165" s="54" t="s">
        <v>956</v>
      </c>
      <c r="E165" s="25" t="s">
        <v>347</v>
      </c>
      <c r="F165" s="26" t="s">
        <v>348</v>
      </c>
      <c r="G165" s="25" t="s">
        <v>869</v>
      </c>
      <c r="H165" s="25" t="s">
        <v>871</v>
      </c>
      <c r="I165" s="33">
        <f t="shared" si="4"/>
        <v>44239</v>
      </c>
      <c r="J165" s="29">
        <v>40</v>
      </c>
      <c r="K165" s="31">
        <f>StockInData[[#This Row],[Quantity]]*2.5</f>
        <v>100</v>
      </c>
    </row>
    <row r="166" spans="1:11" x14ac:dyDescent="0.25">
      <c r="A166" s="29">
        <v>165</v>
      </c>
      <c r="B166" s="30">
        <f t="shared" si="5"/>
        <v>43574</v>
      </c>
      <c r="C166" s="30" t="s">
        <v>959</v>
      </c>
      <c r="D166" s="54" t="s">
        <v>956</v>
      </c>
      <c r="E166" s="25" t="s">
        <v>349</v>
      </c>
      <c r="F166" s="26" t="s">
        <v>350</v>
      </c>
      <c r="G166" s="25" t="s">
        <v>869</v>
      </c>
      <c r="H166" s="25" t="s">
        <v>871</v>
      </c>
      <c r="I166" s="33">
        <f t="shared" si="4"/>
        <v>44241</v>
      </c>
      <c r="J166" s="29">
        <v>30</v>
      </c>
      <c r="K166" s="31">
        <f>StockInData[[#This Row],[Quantity]]*2.5</f>
        <v>75</v>
      </c>
    </row>
    <row r="167" spans="1:11" x14ac:dyDescent="0.25">
      <c r="A167" s="29">
        <v>166</v>
      </c>
      <c r="B167" s="30">
        <f t="shared" si="5"/>
        <v>43575</v>
      </c>
      <c r="C167" s="30" t="s">
        <v>959</v>
      </c>
      <c r="D167" s="54" t="s">
        <v>956</v>
      </c>
      <c r="E167" s="25" t="s">
        <v>351</v>
      </c>
      <c r="F167" s="26" t="s">
        <v>352</v>
      </c>
      <c r="G167" s="25" t="s">
        <v>869</v>
      </c>
      <c r="H167" s="25" t="s">
        <v>871</v>
      </c>
      <c r="I167" s="33">
        <f t="shared" si="4"/>
        <v>44243</v>
      </c>
      <c r="J167" s="29">
        <v>25</v>
      </c>
      <c r="K167" s="31">
        <f>StockInData[[#This Row],[Quantity]]*2.5</f>
        <v>62.5</v>
      </c>
    </row>
    <row r="168" spans="1:11" x14ac:dyDescent="0.25">
      <c r="A168" s="29">
        <v>167</v>
      </c>
      <c r="B168" s="30">
        <f t="shared" si="5"/>
        <v>43576</v>
      </c>
      <c r="C168" s="30" t="s">
        <v>959</v>
      </c>
      <c r="D168" s="54" t="s">
        <v>956</v>
      </c>
      <c r="E168" s="25" t="s">
        <v>353</v>
      </c>
      <c r="F168" s="26" t="s">
        <v>354</v>
      </c>
      <c r="G168" s="25" t="s">
        <v>869</v>
      </c>
      <c r="H168" s="25" t="s">
        <v>871</v>
      </c>
      <c r="I168" s="33">
        <f t="shared" si="4"/>
        <v>44245</v>
      </c>
      <c r="J168" s="29">
        <v>20</v>
      </c>
      <c r="K168" s="31">
        <f>StockInData[[#This Row],[Quantity]]*2.5</f>
        <v>50</v>
      </c>
    </row>
    <row r="169" spans="1:11" x14ac:dyDescent="0.25">
      <c r="A169" s="29">
        <v>168</v>
      </c>
      <c r="B169" s="30">
        <f t="shared" si="5"/>
        <v>43577</v>
      </c>
      <c r="C169" s="30" t="s">
        <v>959</v>
      </c>
      <c r="D169" s="54" t="s">
        <v>956</v>
      </c>
      <c r="E169" s="25" t="s">
        <v>355</v>
      </c>
      <c r="F169" s="26" t="s">
        <v>356</v>
      </c>
      <c r="G169" s="25" t="s">
        <v>869</v>
      </c>
      <c r="H169" s="25" t="s">
        <v>871</v>
      </c>
      <c r="I169" s="33">
        <f t="shared" si="4"/>
        <v>44247</v>
      </c>
      <c r="J169" s="29">
        <v>19</v>
      </c>
      <c r="K169" s="31">
        <f>StockInData[[#This Row],[Quantity]]*2.5</f>
        <v>47.5</v>
      </c>
    </row>
    <row r="170" spans="1:11" x14ac:dyDescent="0.25">
      <c r="A170" s="29">
        <v>169</v>
      </c>
      <c r="B170" s="30">
        <f t="shared" si="5"/>
        <v>43578</v>
      </c>
      <c r="C170" s="30" t="s">
        <v>959</v>
      </c>
      <c r="D170" s="54" t="s">
        <v>956</v>
      </c>
      <c r="E170" s="25" t="s">
        <v>357</v>
      </c>
      <c r="F170" s="26" t="s">
        <v>358</v>
      </c>
      <c r="G170" s="25" t="s">
        <v>869</v>
      </c>
      <c r="H170" s="25" t="s">
        <v>871</v>
      </c>
      <c r="I170" s="33">
        <f t="shared" si="4"/>
        <v>44249</v>
      </c>
      <c r="J170" s="29">
        <v>23</v>
      </c>
      <c r="K170" s="31">
        <f>StockInData[[#This Row],[Quantity]]*2.5</f>
        <v>57.5</v>
      </c>
    </row>
    <row r="171" spans="1:11" x14ac:dyDescent="0.25">
      <c r="A171" s="29">
        <v>170</v>
      </c>
      <c r="B171" s="30">
        <f t="shared" si="5"/>
        <v>43579</v>
      </c>
      <c r="C171" s="30" t="s">
        <v>959</v>
      </c>
      <c r="D171" s="54" t="s">
        <v>956</v>
      </c>
      <c r="E171" s="25" t="s">
        <v>359</v>
      </c>
      <c r="F171" s="26" t="s">
        <v>360</v>
      </c>
      <c r="G171" s="25" t="s">
        <v>869</v>
      </c>
      <c r="H171" s="25" t="s">
        <v>871</v>
      </c>
      <c r="I171" s="33">
        <f t="shared" si="4"/>
        <v>44251</v>
      </c>
      <c r="J171" s="29">
        <v>65</v>
      </c>
      <c r="K171" s="31">
        <f>StockInData[[#This Row],[Quantity]]*2.5</f>
        <v>162.5</v>
      </c>
    </row>
    <row r="172" spans="1:11" x14ac:dyDescent="0.25">
      <c r="A172" s="29">
        <v>171</v>
      </c>
      <c r="B172" s="30">
        <f t="shared" si="5"/>
        <v>43580</v>
      </c>
      <c r="C172" s="30" t="s">
        <v>959</v>
      </c>
      <c r="D172" s="54" t="s">
        <v>956</v>
      </c>
      <c r="E172" s="25" t="s">
        <v>361</v>
      </c>
      <c r="F172" s="26" t="s">
        <v>362</v>
      </c>
      <c r="G172" s="25" t="s">
        <v>869</v>
      </c>
      <c r="H172" s="25" t="s">
        <v>871</v>
      </c>
      <c r="I172" s="33">
        <f t="shared" si="4"/>
        <v>44253</v>
      </c>
      <c r="J172" s="29">
        <v>74</v>
      </c>
      <c r="K172" s="31">
        <f>StockInData[[#This Row],[Quantity]]*2.5</f>
        <v>185</v>
      </c>
    </row>
    <row r="173" spans="1:11" x14ac:dyDescent="0.25">
      <c r="A173" s="29">
        <v>172</v>
      </c>
      <c r="B173" s="30">
        <f t="shared" si="5"/>
        <v>43581</v>
      </c>
      <c r="C173" s="30" t="s">
        <v>959</v>
      </c>
      <c r="D173" s="54" t="s">
        <v>956</v>
      </c>
      <c r="E173" s="25" t="s">
        <v>363</v>
      </c>
      <c r="F173" s="26" t="s">
        <v>364</v>
      </c>
      <c r="G173" s="25" t="s">
        <v>869</v>
      </c>
      <c r="H173" s="25" t="s">
        <v>871</v>
      </c>
      <c r="I173" s="33">
        <f t="shared" si="4"/>
        <v>44255</v>
      </c>
      <c r="J173" s="29">
        <v>84</v>
      </c>
      <c r="K173" s="31">
        <f>StockInData[[#This Row],[Quantity]]*2.5</f>
        <v>210</v>
      </c>
    </row>
    <row r="174" spans="1:11" x14ac:dyDescent="0.25">
      <c r="A174" s="29">
        <v>173</v>
      </c>
      <c r="B174" s="30">
        <f t="shared" si="5"/>
        <v>43582</v>
      </c>
      <c r="C174" s="30" t="s">
        <v>959</v>
      </c>
      <c r="D174" s="54" t="s">
        <v>956</v>
      </c>
      <c r="E174" s="25" t="s">
        <v>365</v>
      </c>
      <c r="F174" s="26" t="s">
        <v>366</v>
      </c>
      <c r="G174" s="25" t="s">
        <v>869</v>
      </c>
      <c r="H174" s="25" t="s">
        <v>871</v>
      </c>
      <c r="I174" s="33">
        <f t="shared" si="4"/>
        <v>44257</v>
      </c>
      <c r="J174" s="29">
        <v>99</v>
      </c>
      <c r="K174" s="31">
        <f>StockInData[[#This Row],[Quantity]]*2.5</f>
        <v>247.5</v>
      </c>
    </row>
    <row r="175" spans="1:11" x14ac:dyDescent="0.25">
      <c r="A175" s="29">
        <v>174</v>
      </c>
      <c r="B175" s="30">
        <f t="shared" si="5"/>
        <v>43583</v>
      </c>
      <c r="C175" s="30" t="s">
        <v>959</v>
      </c>
      <c r="D175" s="54" t="s">
        <v>956</v>
      </c>
      <c r="E175" s="25" t="s">
        <v>367</v>
      </c>
      <c r="F175" s="26" t="s">
        <v>368</v>
      </c>
      <c r="G175" s="25" t="s">
        <v>869</v>
      </c>
      <c r="H175" s="25" t="s">
        <v>871</v>
      </c>
      <c r="I175" s="33">
        <f t="shared" si="4"/>
        <v>44259</v>
      </c>
      <c r="J175" s="29">
        <v>101</v>
      </c>
      <c r="K175" s="31">
        <f>StockInData[[#This Row],[Quantity]]*2.5</f>
        <v>252.5</v>
      </c>
    </row>
    <row r="176" spans="1:11" x14ac:dyDescent="0.25">
      <c r="A176" s="29">
        <v>175</v>
      </c>
      <c r="B176" s="30">
        <f t="shared" si="5"/>
        <v>43584</v>
      </c>
      <c r="C176" s="30" t="s">
        <v>959</v>
      </c>
      <c r="D176" s="54" t="s">
        <v>956</v>
      </c>
      <c r="E176" s="25" t="s">
        <v>369</v>
      </c>
      <c r="F176" s="26" t="s">
        <v>370</v>
      </c>
      <c r="G176" s="25" t="s">
        <v>869</v>
      </c>
      <c r="H176" s="25" t="s">
        <v>871</v>
      </c>
      <c r="I176" s="33">
        <f t="shared" si="4"/>
        <v>44261</v>
      </c>
      <c r="J176" s="29">
        <v>60</v>
      </c>
      <c r="K176" s="31">
        <f>StockInData[[#This Row],[Quantity]]*2.5</f>
        <v>150</v>
      </c>
    </row>
    <row r="177" spans="1:11" x14ac:dyDescent="0.25">
      <c r="A177" s="29">
        <v>176</v>
      </c>
      <c r="B177" s="30">
        <f t="shared" si="5"/>
        <v>43585</v>
      </c>
      <c r="C177" s="30" t="s">
        <v>959</v>
      </c>
      <c r="D177" s="54" t="s">
        <v>956</v>
      </c>
      <c r="E177" s="25" t="s">
        <v>371</v>
      </c>
      <c r="F177" s="26" t="s">
        <v>372</v>
      </c>
      <c r="G177" s="25" t="s">
        <v>869</v>
      </c>
      <c r="H177" s="25" t="s">
        <v>871</v>
      </c>
      <c r="I177" s="33">
        <f t="shared" si="4"/>
        <v>44263</v>
      </c>
      <c r="J177" s="29">
        <v>40</v>
      </c>
      <c r="K177" s="31">
        <f>StockInData[[#This Row],[Quantity]]*2.5</f>
        <v>100</v>
      </c>
    </row>
    <row r="178" spans="1:11" x14ac:dyDescent="0.25">
      <c r="A178" s="29">
        <v>177</v>
      </c>
      <c r="B178" s="30">
        <f t="shared" si="5"/>
        <v>43586</v>
      </c>
      <c r="C178" s="30" t="s">
        <v>959</v>
      </c>
      <c r="D178" s="54" t="s">
        <v>956</v>
      </c>
      <c r="E178" s="25" t="s">
        <v>373</v>
      </c>
      <c r="F178" s="26" t="s">
        <v>374</v>
      </c>
      <c r="G178" s="25" t="s">
        <v>869</v>
      </c>
      <c r="H178" s="25" t="s">
        <v>871</v>
      </c>
      <c r="I178" s="33">
        <f t="shared" si="4"/>
        <v>44265</v>
      </c>
      <c r="J178" s="29">
        <v>30</v>
      </c>
      <c r="K178" s="31">
        <f>StockInData[[#This Row],[Quantity]]*2.5</f>
        <v>75</v>
      </c>
    </row>
    <row r="179" spans="1:11" x14ac:dyDescent="0.25">
      <c r="A179" s="29">
        <v>178</v>
      </c>
      <c r="B179" s="30">
        <f t="shared" si="5"/>
        <v>43587</v>
      </c>
      <c r="C179" s="30" t="s">
        <v>959</v>
      </c>
      <c r="D179" s="54" t="s">
        <v>956</v>
      </c>
      <c r="E179" s="25" t="s">
        <v>375</v>
      </c>
      <c r="F179" s="26" t="s">
        <v>376</v>
      </c>
      <c r="G179" s="25" t="s">
        <v>869</v>
      </c>
      <c r="H179" s="25" t="s">
        <v>871</v>
      </c>
      <c r="I179" s="33">
        <f t="shared" si="4"/>
        <v>44267</v>
      </c>
      <c r="J179" s="29">
        <v>25</v>
      </c>
      <c r="K179" s="31">
        <f>StockInData[[#This Row],[Quantity]]*2.5</f>
        <v>62.5</v>
      </c>
    </row>
    <row r="180" spans="1:11" x14ac:dyDescent="0.25">
      <c r="A180" s="29">
        <v>179</v>
      </c>
      <c r="B180" s="30">
        <f t="shared" si="5"/>
        <v>43588</v>
      </c>
      <c r="C180" s="30" t="s">
        <v>959</v>
      </c>
      <c r="D180" s="54" t="s">
        <v>956</v>
      </c>
      <c r="E180" s="25" t="s">
        <v>377</v>
      </c>
      <c r="F180" s="26" t="s">
        <v>378</v>
      </c>
      <c r="G180" s="25" t="s">
        <v>869</v>
      </c>
      <c r="H180" s="25" t="s">
        <v>871</v>
      </c>
      <c r="I180" s="33">
        <f t="shared" si="4"/>
        <v>44269</v>
      </c>
      <c r="J180" s="29">
        <v>20</v>
      </c>
      <c r="K180" s="31">
        <f>StockInData[[#This Row],[Quantity]]*2.5</f>
        <v>50</v>
      </c>
    </row>
    <row r="181" spans="1:11" x14ac:dyDescent="0.25">
      <c r="A181" s="29">
        <v>180</v>
      </c>
      <c r="B181" s="30">
        <f t="shared" si="5"/>
        <v>43589</v>
      </c>
      <c r="C181" s="30" t="s">
        <v>959</v>
      </c>
      <c r="D181" s="54" t="s">
        <v>956</v>
      </c>
      <c r="E181" s="25" t="s">
        <v>379</v>
      </c>
      <c r="F181" s="26" t="s">
        <v>380</v>
      </c>
      <c r="G181" s="25" t="s">
        <v>869</v>
      </c>
      <c r="H181" s="25" t="s">
        <v>871</v>
      </c>
      <c r="I181" s="33">
        <f t="shared" si="4"/>
        <v>44271</v>
      </c>
      <c r="J181" s="29">
        <v>19</v>
      </c>
      <c r="K181" s="31">
        <f>StockInData[[#This Row],[Quantity]]*2.5</f>
        <v>47.5</v>
      </c>
    </row>
    <row r="182" spans="1:11" x14ac:dyDescent="0.25">
      <c r="A182" s="29">
        <v>181</v>
      </c>
      <c r="B182" s="30">
        <f t="shared" si="5"/>
        <v>43590</v>
      </c>
      <c r="C182" s="30" t="s">
        <v>959</v>
      </c>
      <c r="D182" s="54" t="s">
        <v>956</v>
      </c>
      <c r="E182" s="25" t="s">
        <v>381</v>
      </c>
      <c r="F182" s="26" t="s">
        <v>382</v>
      </c>
      <c r="G182" s="25" t="s">
        <v>869</v>
      </c>
      <c r="H182" s="25" t="s">
        <v>871</v>
      </c>
      <c r="I182" s="33">
        <f t="shared" si="4"/>
        <v>44273</v>
      </c>
      <c r="J182" s="29">
        <v>23</v>
      </c>
      <c r="K182" s="31">
        <f>StockInData[[#This Row],[Quantity]]*2.5</f>
        <v>57.5</v>
      </c>
    </row>
    <row r="183" spans="1:11" x14ac:dyDescent="0.25">
      <c r="A183" s="29">
        <v>182</v>
      </c>
      <c r="B183" s="30">
        <f t="shared" si="5"/>
        <v>43591</v>
      </c>
      <c r="C183" s="30" t="s">
        <v>959</v>
      </c>
      <c r="D183" s="54" t="s">
        <v>956</v>
      </c>
      <c r="E183" s="25" t="s">
        <v>383</v>
      </c>
      <c r="F183" s="26" t="s">
        <v>384</v>
      </c>
      <c r="G183" s="25" t="s">
        <v>869</v>
      </c>
      <c r="H183" s="25" t="s">
        <v>871</v>
      </c>
      <c r="I183" s="33">
        <f t="shared" si="4"/>
        <v>44275</v>
      </c>
      <c r="J183" s="29">
        <v>65</v>
      </c>
      <c r="K183" s="31">
        <f>StockInData[[#This Row],[Quantity]]*2.5</f>
        <v>162.5</v>
      </c>
    </row>
    <row r="184" spans="1:11" x14ac:dyDescent="0.25">
      <c r="A184" s="29">
        <v>183</v>
      </c>
      <c r="B184" s="30">
        <f t="shared" si="5"/>
        <v>43592</v>
      </c>
      <c r="C184" s="30" t="s">
        <v>959</v>
      </c>
      <c r="D184" s="54" t="s">
        <v>956</v>
      </c>
      <c r="E184" s="25" t="s">
        <v>385</v>
      </c>
      <c r="F184" s="26" t="s">
        <v>386</v>
      </c>
      <c r="G184" s="25" t="s">
        <v>869</v>
      </c>
      <c r="H184" s="25" t="s">
        <v>871</v>
      </c>
      <c r="I184" s="33">
        <f t="shared" si="4"/>
        <v>44277</v>
      </c>
      <c r="J184" s="29">
        <v>74</v>
      </c>
      <c r="K184" s="31">
        <f>StockInData[[#This Row],[Quantity]]*2.5</f>
        <v>185</v>
      </c>
    </row>
    <row r="185" spans="1:11" x14ac:dyDescent="0.25">
      <c r="A185" s="29">
        <v>184</v>
      </c>
      <c r="B185" s="30">
        <f t="shared" si="5"/>
        <v>43593</v>
      </c>
      <c r="C185" s="30" t="s">
        <v>959</v>
      </c>
      <c r="D185" s="54" t="s">
        <v>956</v>
      </c>
      <c r="E185" s="25" t="s">
        <v>387</v>
      </c>
      <c r="F185" s="26" t="s">
        <v>388</v>
      </c>
      <c r="G185" s="25" t="s">
        <v>869</v>
      </c>
      <c r="H185" s="25" t="s">
        <v>871</v>
      </c>
      <c r="I185" s="33">
        <f t="shared" si="4"/>
        <v>44279</v>
      </c>
      <c r="J185" s="29">
        <v>84</v>
      </c>
      <c r="K185" s="31">
        <f>StockInData[[#This Row],[Quantity]]*2.5</f>
        <v>210</v>
      </c>
    </row>
    <row r="186" spans="1:11" x14ac:dyDescent="0.25">
      <c r="A186" s="29">
        <v>185</v>
      </c>
      <c r="B186" s="30">
        <f t="shared" si="5"/>
        <v>43594</v>
      </c>
      <c r="C186" s="30" t="s">
        <v>959</v>
      </c>
      <c r="D186" s="54" t="s">
        <v>956</v>
      </c>
      <c r="E186" s="25" t="s">
        <v>389</v>
      </c>
      <c r="F186" s="26" t="s">
        <v>390</v>
      </c>
      <c r="G186" s="25" t="s">
        <v>869</v>
      </c>
      <c r="H186" s="25" t="s">
        <v>871</v>
      </c>
      <c r="I186" s="33">
        <f t="shared" si="4"/>
        <v>44281</v>
      </c>
      <c r="J186" s="29">
        <v>99</v>
      </c>
      <c r="K186" s="31">
        <f>StockInData[[#This Row],[Quantity]]*2.5</f>
        <v>247.5</v>
      </c>
    </row>
    <row r="187" spans="1:11" x14ac:dyDescent="0.25">
      <c r="A187" s="29">
        <v>186</v>
      </c>
      <c r="B187" s="30">
        <f t="shared" si="5"/>
        <v>43595</v>
      </c>
      <c r="C187" s="30" t="s">
        <v>959</v>
      </c>
      <c r="D187" s="54" t="s">
        <v>956</v>
      </c>
      <c r="E187" s="25" t="s">
        <v>391</v>
      </c>
      <c r="F187" s="26" t="s">
        <v>392</v>
      </c>
      <c r="G187" s="25" t="s">
        <v>869</v>
      </c>
      <c r="H187" s="25" t="s">
        <v>871</v>
      </c>
      <c r="I187" s="33">
        <f t="shared" si="4"/>
        <v>44283</v>
      </c>
      <c r="J187" s="29">
        <v>101</v>
      </c>
      <c r="K187" s="31">
        <f>StockInData[[#This Row],[Quantity]]*2.5</f>
        <v>252.5</v>
      </c>
    </row>
    <row r="188" spans="1:11" x14ac:dyDescent="0.25">
      <c r="A188" s="29">
        <v>187</v>
      </c>
      <c r="B188" s="30">
        <f t="shared" si="5"/>
        <v>43596</v>
      </c>
      <c r="C188" s="30" t="s">
        <v>959</v>
      </c>
      <c r="D188" s="54" t="s">
        <v>956</v>
      </c>
      <c r="E188" s="25" t="s">
        <v>393</v>
      </c>
      <c r="F188" s="26" t="s">
        <v>394</v>
      </c>
      <c r="G188" s="25" t="s">
        <v>869</v>
      </c>
      <c r="H188" s="25" t="s">
        <v>871</v>
      </c>
      <c r="I188" s="33">
        <f t="shared" si="4"/>
        <v>44285</v>
      </c>
      <c r="J188" s="29">
        <v>100</v>
      </c>
      <c r="K188" s="31">
        <f>StockInData[[#This Row],[Quantity]]*2.5</f>
        <v>250</v>
      </c>
    </row>
    <row r="189" spans="1:11" x14ac:dyDescent="0.25">
      <c r="A189" s="29">
        <v>188</v>
      </c>
      <c r="B189" s="30">
        <f t="shared" si="5"/>
        <v>43597</v>
      </c>
      <c r="C189" s="30" t="s">
        <v>959</v>
      </c>
      <c r="D189" s="54" t="s">
        <v>956</v>
      </c>
      <c r="E189" s="25" t="s">
        <v>395</v>
      </c>
      <c r="F189" s="26" t="s">
        <v>396</v>
      </c>
      <c r="G189" s="25" t="s">
        <v>869</v>
      </c>
      <c r="H189" s="25" t="s">
        <v>871</v>
      </c>
      <c r="I189" s="33">
        <f t="shared" si="4"/>
        <v>44287</v>
      </c>
      <c r="J189" s="29">
        <v>60</v>
      </c>
      <c r="K189" s="31">
        <f>StockInData[[#This Row],[Quantity]]*2.5</f>
        <v>150</v>
      </c>
    </row>
    <row r="190" spans="1:11" x14ac:dyDescent="0.25">
      <c r="A190" s="29">
        <v>189</v>
      </c>
      <c r="B190" s="30">
        <f t="shared" si="5"/>
        <v>43598</v>
      </c>
      <c r="C190" s="30" t="s">
        <v>959</v>
      </c>
      <c r="D190" s="54" t="s">
        <v>956</v>
      </c>
      <c r="E190" s="25" t="s">
        <v>397</v>
      </c>
      <c r="F190" s="26" t="s">
        <v>398</v>
      </c>
      <c r="G190" s="25" t="s">
        <v>869</v>
      </c>
      <c r="H190" s="25" t="s">
        <v>871</v>
      </c>
      <c r="I190" s="33">
        <f t="shared" si="4"/>
        <v>44289</v>
      </c>
      <c r="J190" s="29">
        <v>40</v>
      </c>
      <c r="K190" s="31">
        <f>StockInData[[#This Row],[Quantity]]*2.5</f>
        <v>100</v>
      </c>
    </row>
    <row r="191" spans="1:11" x14ac:dyDescent="0.25">
      <c r="A191" s="29">
        <v>190</v>
      </c>
      <c r="B191" s="30">
        <f t="shared" si="5"/>
        <v>43599</v>
      </c>
      <c r="C191" s="30" t="s">
        <v>959</v>
      </c>
      <c r="D191" s="54" t="s">
        <v>956</v>
      </c>
      <c r="E191" s="25" t="s">
        <v>399</v>
      </c>
      <c r="F191" s="26" t="s">
        <v>400</v>
      </c>
      <c r="G191" s="25" t="s">
        <v>869</v>
      </c>
      <c r="H191" s="25" t="s">
        <v>871</v>
      </c>
      <c r="I191" s="33">
        <f t="shared" si="4"/>
        <v>44291</v>
      </c>
      <c r="J191" s="29">
        <v>30</v>
      </c>
      <c r="K191" s="31">
        <f>StockInData[[#This Row],[Quantity]]*2.5</f>
        <v>75</v>
      </c>
    </row>
    <row r="192" spans="1:11" x14ac:dyDescent="0.25">
      <c r="A192" s="29">
        <v>191</v>
      </c>
      <c r="B192" s="30">
        <f t="shared" si="5"/>
        <v>43600</v>
      </c>
      <c r="C192" s="30" t="s">
        <v>959</v>
      </c>
      <c r="D192" s="54" t="s">
        <v>956</v>
      </c>
      <c r="E192" s="25" t="s">
        <v>401</v>
      </c>
      <c r="F192" s="26" t="s">
        <v>402</v>
      </c>
      <c r="G192" s="25" t="s">
        <v>869</v>
      </c>
      <c r="H192" s="25" t="s">
        <v>871</v>
      </c>
      <c r="I192" s="33">
        <f t="shared" si="4"/>
        <v>44293</v>
      </c>
      <c r="J192" s="29">
        <v>25</v>
      </c>
      <c r="K192" s="31">
        <f>StockInData[[#This Row],[Quantity]]*2.5</f>
        <v>62.5</v>
      </c>
    </row>
    <row r="193" spans="1:11" x14ac:dyDescent="0.25">
      <c r="A193" s="29">
        <v>192</v>
      </c>
      <c r="B193" s="30">
        <f t="shared" si="5"/>
        <v>43601</v>
      </c>
      <c r="C193" s="30" t="s">
        <v>959</v>
      </c>
      <c r="D193" s="54" t="s">
        <v>956</v>
      </c>
      <c r="E193" s="25" t="s">
        <v>403</v>
      </c>
      <c r="F193" s="26" t="s">
        <v>404</v>
      </c>
      <c r="G193" s="25" t="s">
        <v>869</v>
      </c>
      <c r="H193" s="25" t="s">
        <v>871</v>
      </c>
      <c r="I193" s="33">
        <f t="shared" si="4"/>
        <v>44295</v>
      </c>
      <c r="J193" s="29">
        <v>20</v>
      </c>
      <c r="K193" s="31">
        <f>StockInData[[#This Row],[Quantity]]*2.5</f>
        <v>50</v>
      </c>
    </row>
    <row r="194" spans="1:11" x14ac:dyDescent="0.25">
      <c r="A194" s="29">
        <v>193</v>
      </c>
      <c r="B194" s="30">
        <f t="shared" si="5"/>
        <v>43602</v>
      </c>
      <c r="C194" s="30" t="s">
        <v>959</v>
      </c>
      <c r="D194" s="54" t="s">
        <v>956</v>
      </c>
      <c r="E194" s="25" t="s">
        <v>405</v>
      </c>
      <c r="F194" s="26" t="s">
        <v>406</v>
      </c>
      <c r="G194" s="25" t="s">
        <v>869</v>
      </c>
      <c r="H194" s="25" t="s">
        <v>871</v>
      </c>
      <c r="I194" s="33">
        <f t="shared" si="4"/>
        <v>44297</v>
      </c>
      <c r="J194" s="29">
        <v>19</v>
      </c>
      <c r="K194" s="31">
        <f>StockInData[[#This Row],[Quantity]]*2.5</f>
        <v>47.5</v>
      </c>
    </row>
    <row r="195" spans="1:11" x14ac:dyDescent="0.25">
      <c r="A195" s="29">
        <v>194</v>
      </c>
      <c r="B195" s="30">
        <f t="shared" si="5"/>
        <v>43603</v>
      </c>
      <c r="C195" s="30" t="s">
        <v>959</v>
      </c>
      <c r="D195" s="54" t="s">
        <v>956</v>
      </c>
      <c r="E195" s="25" t="s">
        <v>407</v>
      </c>
      <c r="F195" s="26" t="s">
        <v>408</v>
      </c>
      <c r="G195" s="25" t="s">
        <v>869</v>
      </c>
      <c r="H195" s="25" t="s">
        <v>871</v>
      </c>
      <c r="I195" s="33">
        <f t="shared" si="4"/>
        <v>44299</v>
      </c>
      <c r="J195" s="29">
        <v>23</v>
      </c>
      <c r="K195" s="31">
        <f>StockInData[[#This Row],[Quantity]]*2.5</f>
        <v>57.5</v>
      </c>
    </row>
    <row r="196" spans="1:11" x14ac:dyDescent="0.25">
      <c r="A196" s="29">
        <v>195</v>
      </c>
      <c r="B196" s="30">
        <f t="shared" si="5"/>
        <v>43604</v>
      </c>
      <c r="C196" s="30" t="s">
        <v>959</v>
      </c>
      <c r="D196" s="54" t="s">
        <v>956</v>
      </c>
      <c r="E196" s="25" t="s">
        <v>409</v>
      </c>
      <c r="F196" s="26" t="s">
        <v>410</v>
      </c>
      <c r="G196" s="25" t="s">
        <v>869</v>
      </c>
      <c r="H196" s="25" t="s">
        <v>871</v>
      </c>
      <c r="I196" s="33">
        <f t="shared" ref="I196:I259" si="6">I195+2</f>
        <v>44301</v>
      </c>
      <c r="J196" s="29">
        <v>65</v>
      </c>
      <c r="K196" s="31">
        <f>StockInData[[#This Row],[Quantity]]*2.5</f>
        <v>162.5</v>
      </c>
    </row>
    <row r="197" spans="1:11" x14ac:dyDescent="0.25">
      <c r="A197" s="29">
        <v>196</v>
      </c>
      <c r="B197" s="30">
        <f t="shared" ref="B197:B260" si="7">B196+1</f>
        <v>43605</v>
      </c>
      <c r="C197" s="30" t="s">
        <v>959</v>
      </c>
      <c r="D197" s="54" t="s">
        <v>956</v>
      </c>
      <c r="E197" s="25" t="s">
        <v>411</v>
      </c>
      <c r="F197" s="26" t="s">
        <v>412</v>
      </c>
      <c r="G197" s="25" t="s">
        <v>869</v>
      </c>
      <c r="H197" s="25" t="s">
        <v>871</v>
      </c>
      <c r="I197" s="33">
        <f t="shared" si="6"/>
        <v>44303</v>
      </c>
      <c r="J197" s="29">
        <v>74</v>
      </c>
      <c r="K197" s="31">
        <f>StockInData[[#This Row],[Quantity]]*2.5</f>
        <v>185</v>
      </c>
    </row>
    <row r="198" spans="1:11" x14ac:dyDescent="0.25">
      <c r="A198" s="29">
        <v>197</v>
      </c>
      <c r="B198" s="30">
        <f t="shared" si="7"/>
        <v>43606</v>
      </c>
      <c r="C198" s="30" t="s">
        <v>959</v>
      </c>
      <c r="D198" s="54" t="s">
        <v>956</v>
      </c>
      <c r="E198" s="25" t="s">
        <v>413</v>
      </c>
      <c r="F198" s="26" t="s">
        <v>414</v>
      </c>
      <c r="G198" s="25" t="s">
        <v>869</v>
      </c>
      <c r="H198" s="25" t="s">
        <v>871</v>
      </c>
      <c r="I198" s="33">
        <f t="shared" si="6"/>
        <v>44305</v>
      </c>
      <c r="J198" s="29">
        <v>84</v>
      </c>
      <c r="K198" s="31">
        <f>StockInData[[#This Row],[Quantity]]*2.5</f>
        <v>210</v>
      </c>
    </row>
    <row r="199" spans="1:11" x14ac:dyDescent="0.25">
      <c r="A199" s="29">
        <v>198</v>
      </c>
      <c r="B199" s="30">
        <f t="shared" si="7"/>
        <v>43607</v>
      </c>
      <c r="C199" s="30" t="s">
        <v>959</v>
      </c>
      <c r="D199" s="54" t="s">
        <v>956</v>
      </c>
      <c r="E199" s="25" t="s">
        <v>415</v>
      </c>
      <c r="F199" s="26" t="s">
        <v>416</v>
      </c>
      <c r="G199" s="25" t="s">
        <v>869</v>
      </c>
      <c r="H199" s="25" t="s">
        <v>871</v>
      </c>
      <c r="I199" s="33">
        <f t="shared" si="6"/>
        <v>44307</v>
      </c>
      <c r="J199" s="29">
        <v>99</v>
      </c>
      <c r="K199" s="31">
        <f>StockInData[[#This Row],[Quantity]]*2.5</f>
        <v>247.5</v>
      </c>
    </row>
    <row r="200" spans="1:11" x14ac:dyDescent="0.25">
      <c r="A200" s="29">
        <v>199</v>
      </c>
      <c r="B200" s="30">
        <f t="shared" si="7"/>
        <v>43608</v>
      </c>
      <c r="C200" s="30" t="s">
        <v>959</v>
      </c>
      <c r="D200" s="54" t="s">
        <v>956</v>
      </c>
      <c r="E200" s="25" t="s">
        <v>417</v>
      </c>
      <c r="F200" s="26" t="s">
        <v>418</v>
      </c>
      <c r="G200" s="25" t="s">
        <v>869</v>
      </c>
      <c r="H200" s="25" t="s">
        <v>871</v>
      </c>
      <c r="I200" s="33">
        <f t="shared" si="6"/>
        <v>44309</v>
      </c>
      <c r="J200" s="29">
        <v>101</v>
      </c>
      <c r="K200" s="31">
        <f>StockInData[[#This Row],[Quantity]]*2.5</f>
        <v>252.5</v>
      </c>
    </row>
    <row r="201" spans="1:11" x14ac:dyDescent="0.25">
      <c r="A201" s="29">
        <v>200</v>
      </c>
      <c r="B201" s="30">
        <f t="shared" si="7"/>
        <v>43609</v>
      </c>
      <c r="C201" s="30" t="s">
        <v>959</v>
      </c>
      <c r="D201" s="54" t="s">
        <v>956</v>
      </c>
      <c r="E201" s="25" t="s">
        <v>419</v>
      </c>
      <c r="F201" s="26" t="s">
        <v>420</v>
      </c>
      <c r="G201" s="25" t="s">
        <v>869</v>
      </c>
      <c r="H201" s="25" t="s">
        <v>871</v>
      </c>
      <c r="I201" s="33">
        <f t="shared" si="6"/>
        <v>44311</v>
      </c>
      <c r="J201" s="29">
        <v>100</v>
      </c>
      <c r="K201" s="31">
        <f>StockInData[[#This Row],[Quantity]]*2.5</f>
        <v>250</v>
      </c>
    </row>
    <row r="202" spans="1:11" x14ac:dyDescent="0.25">
      <c r="A202" s="29">
        <v>201</v>
      </c>
      <c r="B202" s="30">
        <f t="shared" si="7"/>
        <v>43610</v>
      </c>
      <c r="C202" s="30" t="s">
        <v>959</v>
      </c>
      <c r="D202" s="54" t="s">
        <v>956</v>
      </c>
      <c r="E202" s="25" t="s">
        <v>421</v>
      </c>
      <c r="F202" s="26" t="s">
        <v>422</v>
      </c>
      <c r="G202" s="25" t="s">
        <v>869</v>
      </c>
      <c r="H202" s="25" t="s">
        <v>871</v>
      </c>
      <c r="I202" s="33">
        <f t="shared" si="6"/>
        <v>44313</v>
      </c>
      <c r="J202" s="29">
        <v>100</v>
      </c>
      <c r="K202" s="31">
        <f>StockInData[[#This Row],[Quantity]]*2.5</f>
        <v>250</v>
      </c>
    </row>
    <row r="203" spans="1:11" x14ac:dyDescent="0.25">
      <c r="A203" s="29">
        <v>202</v>
      </c>
      <c r="B203" s="30">
        <f t="shared" si="7"/>
        <v>43611</v>
      </c>
      <c r="C203" s="30" t="s">
        <v>959</v>
      </c>
      <c r="D203" s="54" t="s">
        <v>956</v>
      </c>
      <c r="E203" s="25" t="s">
        <v>423</v>
      </c>
      <c r="F203" s="26" t="s">
        <v>424</v>
      </c>
      <c r="G203" s="25" t="s">
        <v>869</v>
      </c>
      <c r="H203" s="25" t="s">
        <v>871</v>
      </c>
      <c r="I203" s="33">
        <f t="shared" si="6"/>
        <v>44315</v>
      </c>
      <c r="J203" s="29">
        <v>100</v>
      </c>
      <c r="K203" s="31">
        <f>StockInData[[#This Row],[Quantity]]*2.5</f>
        <v>250</v>
      </c>
    </row>
    <row r="204" spans="1:11" x14ac:dyDescent="0.25">
      <c r="A204" s="29">
        <v>203</v>
      </c>
      <c r="B204" s="30">
        <f t="shared" si="7"/>
        <v>43612</v>
      </c>
      <c r="C204" s="30" t="s">
        <v>959</v>
      </c>
      <c r="D204" s="54" t="s">
        <v>956</v>
      </c>
      <c r="E204" s="25" t="s">
        <v>425</v>
      </c>
      <c r="F204" s="26" t="s">
        <v>426</v>
      </c>
      <c r="G204" s="25" t="s">
        <v>869</v>
      </c>
      <c r="H204" s="25" t="s">
        <v>871</v>
      </c>
      <c r="I204" s="33">
        <f t="shared" si="6"/>
        <v>44317</v>
      </c>
      <c r="J204" s="29">
        <v>100</v>
      </c>
      <c r="K204" s="31">
        <f>StockInData[[#This Row],[Quantity]]*2.5</f>
        <v>250</v>
      </c>
    </row>
    <row r="205" spans="1:11" x14ac:dyDescent="0.25">
      <c r="A205" s="29">
        <v>204</v>
      </c>
      <c r="B205" s="30">
        <f t="shared" si="7"/>
        <v>43613</v>
      </c>
      <c r="C205" s="30" t="s">
        <v>959</v>
      </c>
      <c r="D205" s="54" t="s">
        <v>956</v>
      </c>
      <c r="E205" s="25" t="s">
        <v>427</v>
      </c>
      <c r="F205" s="26" t="s">
        <v>428</v>
      </c>
      <c r="G205" s="25" t="s">
        <v>869</v>
      </c>
      <c r="H205" s="25" t="s">
        <v>871</v>
      </c>
      <c r="I205" s="33">
        <f t="shared" si="6"/>
        <v>44319</v>
      </c>
      <c r="J205" s="29">
        <v>40</v>
      </c>
      <c r="K205" s="31">
        <f>StockInData[[#This Row],[Quantity]]*2.5</f>
        <v>100</v>
      </c>
    </row>
    <row r="206" spans="1:11" x14ac:dyDescent="0.25">
      <c r="A206" s="29">
        <v>205</v>
      </c>
      <c r="B206" s="30">
        <f t="shared" si="7"/>
        <v>43614</v>
      </c>
      <c r="C206" s="30" t="s">
        <v>960</v>
      </c>
      <c r="D206" s="54" t="s">
        <v>957</v>
      </c>
      <c r="E206" s="25" t="s">
        <v>429</v>
      </c>
      <c r="F206" s="26" t="s">
        <v>430</v>
      </c>
      <c r="G206" s="25" t="s">
        <v>869</v>
      </c>
      <c r="H206" s="25" t="s">
        <v>871</v>
      </c>
      <c r="I206" s="33">
        <f t="shared" si="6"/>
        <v>44321</v>
      </c>
      <c r="J206" s="29">
        <v>30</v>
      </c>
      <c r="K206" s="31">
        <f>StockInData[[#This Row],[Quantity]]*2.5</f>
        <v>75</v>
      </c>
    </row>
    <row r="207" spans="1:11" x14ac:dyDescent="0.25">
      <c r="A207" s="29">
        <v>206</v>
      </c>
      <c r="B207" s="30">
        <f t="shared" si="7"/>
        <v>43615</v>
      </c>
      <c r="C207" s="30" t="s">
        <v>960</v>
      </c>
      <c r="D207" s="54" t="s">
        <v>957</v>
      </c>
      <c r="E207" s="25" t="s">
        <v>431</v>
      </c>
      <c r="F207" s="26" t="s">
        <v>432</v>
      </c>
      <c r="G207" s="25" t="s">
        <v>869</v>
      </c>
      <c r="H207" s="25" t="s">
        <v>871</v>
      </c>
      <c r="I207" s="33">
        <f t="shared" si="6"/>
        <v>44323</v>
      </c>
      <c r="J207" s="29">
        <v>25</v>
      </c>
      <c r="K207" s="31">
        <f>StockInData[[#This Row],[Quantity]]*2.5</f>
        <v>62.5</v>
      </c>
    </row>
    <row r="208" spans="1:11" x14ac:dyDescent="0.25">
      <c r="A208" s="29">
        <v>207</v>
      </c>
      <c r="B208" s="30">
        <f t="shared" si="7"/>
        <v>43616</v>
      </c>
      <c r="C208" s="30" t="s">
        <v>960</v>
      </c>
      <c r="D208" s="54" t="s">
        <v>957</v>
      </c>
      <c r="E208" s="25" t="s">
        <v>433</v>
      </c>
      <c r="F208" s="26" t="s">
        <v>434</v>
      </c>
      <c r="G208" s="25" t="s">
        <v>869</v>
      </c>
      <c r="H208" s="25" t="s">
        <v>871</v>
      </c>
      <c r="I208" s="33">
        <f t="shared" si="6"/>
        <v>44325</v>
      </c>
      <c r="J208" s="29">
        <v>20</v>
      </c>
      <c r="K208" s="31">
        <f>StockInData[[#This Row],[Quantity]]*2.5</f>
        <v>50</v>
      </c>
    </row>
    <row r="209" spans="1:11" x14ac:dyDescent="0.25">
      <c r="A209" s="29">
        <v>208</v>
      </c>
      <c r="B209" s="30">
        <f t="shared" si="7"/>
        <v>43617</v>
      </c>
      <c r="C209" s="30" t="s">
        <v>960</v>
      </c>
      <c r="D209" s="54" t="s">
        <v>957</v>
      </c>
      <c r="E209" s="25" t="s">
        <v>435</v>
      </c>
      <c r="F209" s="26" t="s">
        <v>436</v>
      </c>
      <c r="G209" s="25" t="s">
        <v>869</v>
      </c>
      <c r="H209" s="25" t="s">
        <v>871</v>
      </c>
      <c r="I209" s="33">
        <f t="shared" si="6"/>
        <v>44327</v>
      </c>
      <c r="J209" s="29">
        <v>19</v>
      </c>
      <c r="K209" s="31">
        <f>StockInData[[#This Row],[Quantity]]*2.5</f>
        <v>47.5</v>
      </c>
    </row>
    <row r="210" spans="1:11" x14ac:dyDescent="0.25">
      <c r="A210" s="29">
        <v>209</v>
      </c>
      <c r="B210" s="30">
        <f t="shared" si="7"/>
        <v>43618</v>
      </c>
      <c r="C210" s="30" t="s">
        <v>960</v>
      </c>
      <c r="D210" s="54" t="s">
        <v>957</v>
      </c>
      <c r="E210" s="25" t="s">
        <v>437</v>
      </c>
      <c r="F210" s="26" t="s">
        <v>438</v>
      </c>
      <c r="G210" s="25" t="s">
        <v>869</v>
      </c>
      <c r="H210" s="25" t="s">
        <v>871</v>
      </c>
      <c r="I210" s="33">
        <f t="shared" si="6"/>
        <v>44329</v>
      </c>
      <c r="J210" s="29">
        <v>23</v>
      </c>
      <c r="K210" s="31">
        <f>StockInData[[#This Row],[Quantity]]*2.5</f>
        <v>57.5</v>
      </c>
    </row>
    <row r="211" spans="1:11" x14ac:dyDescent="0.25">
      <c r="A211" s="29">
        <v>210</v>
      </c>
      <c r="B211" s="30">
        <f t="shared" si="7"/>
        <v>43619</v>
      </c>
      <c r="C211" s="30" t="s">
        <v>960</v>
      </c>
      <c r="D211" s="54" t="s">
        <v>957</v>
      </c>
      <c r="E211" s="25" t="s">
        <v>439</v>
      </c>
      <c r="F211" s="26" t="s">
        <v>440</v>
      </c>
      <c r="G211" s="25" t="s">
        <v>869</v>
      </c>
      <c r="H211" s="25" t="s">
        <v>875</v>
      </c>
      <c r="I211" s="33">
        <f t="shared" si="6"/>
        <v>44331</v>
      </c>
      <c r="J211" s="29">
        <v>65</v>
      </c>
      <c r="K211" s="31">
        <f>StockInData[[#This Row],[Quantity]]*2.5</f>
        <v>162.5</v>
      </c>
    </row>
    <row r="212" spans="1:11" x14ac:dyDescent="0.25">
      <c r="A212" s="29">
        <v>211</v>
      </c>
      <c r="B212" s="30">
        <f t="shared" si="7"/>
        <v>43620</v>
      </c>
      <c r="C212" s="30" t="s">
        <v>960</v>
      </c>
      <c r="D212" s="54" t="s">
        <v>957</v>
      </c>
      <c r="E212" s="25" t="s">
        <v>441</v>
      </c>
      <c r="F212" s="26" t="s">
        <v>442</v>
      </c>
      <c r="G212" s="25" t="s">
        <v>869</v>
      </c>
      <c r="H212" s="25" t="s">
        <v>875</v>
      </c>
      <c r="I212" s="33">
        <f t="shared" si="6"/>
        <v>44333</v>
      </c>
      <c r="J212" s="29">
        <v>74</v>
      </c>
      <c r="K212" s="31">
        <f>StockInData[[#This Row],[Quantity]]*2.5</f>
        <v>185</v>
      </c>
    </row>
    <row r="213" spans="1:11" x14ac:dyDescent="0.25">
      <c r="A213" s="29">
        <v>212</v>
      </c>
      <c r="B213" s="30">
        <f t="shared" si="7"/>
        <v>43621</v>
      </c>
      <c r="C213" s="30" t="s">
        <v>960</v>
      </c>
      <c r="D213" s="54" t="s">
        <v>957</v>
      </c>
      <c r="E213" s="25" t="s">
        <v>443</v>
      </c>
      <c r="F213" s="26" t="s">
        <v>444</v>
      </c>
      <c r="G213" s="25" t="s">
        <v>869</v>
      </c>
      <c r="H213" s="25" t="s">
        <v>875</v>
      </c>
      <c r="I213" s="33">
        <f t="shared" si="6"/>
        <v>44335</v>
      </c>
      <c r="J213" s="29">
        <v>84</v>
      </c>
      <c r="K213" s="31">
        <f>StockInData[[#This Row],[Quantity]]*2.5</f>
        <v>210</v>
      </c>
    </row>
    <row r="214" spans="1:11" x14ac:dyDescent="0.25">
      <c r="A214" s="29">
        <v>213</v>
      </c>
      <c r="B214" s="30">
        <f t="shared" si="7"/>
        <v>43622</v>
      </c>
      <c r="C214" s="30" t="s">
        <v>960</v>
      </c>
      <c r="D214" s="54" t="s">
        <v>957</v>
      </c>
      <c r="E214" s="25" t="s">
        <v>445</v>
      </c>
      <c r="F214" s="26" t="s">
        <v>446</v>
      </c>
      <c r="G214" s="25" t="s">
        <v>869</v>
      </c>
      <c r="H214" s="25" t="s">
        <v>875</v>
      </c>
      <c r="I214" s="33">
        <f t="shared" si="6"/>
        <v>44337</v>
      </c>
      <c r="J214" s="29">
        <v>99</v>
      </c>
      <c r="K214" s="31">
        <f>StockInData[[#This Row],[Quantity]]*2.5</f>
        <v>247.5</v>
      </c>
    </row>
    <row r="215" spans="1:11" x14ac:dyDescent="0.25">
      <c r="A215" s="29">
        <v>214</v>
      </c>
      <c r="B215" s="30">
        <f t="shared" si="7"/>
        <v>43623</v>
      </c>
      <c r="C215" s="30" t="s">
        <v>960</v>
      </c>
      <c r="D215" s="54" t="s">
        <v>957</v>
      </c>
      <c r="E215" s="25" t="s">
        <v>447</v>
      </c>
      <c r="F215" s="26" t="s">
        <v>448</v>
      </c>
      <c r="G215" s="25" t="s">
        <v>869</v>
      </c>
      <c r="H215" s="25" t="s">
        <v>875</v>
      </c>
      <c r="I215" s="33">
        <f t="shared" si="6"/>
        <v>44339</v>
      </c>
      <c r="J215" s="29">
        <v>101</v>
      </c>
      <c r="K215" s="31">
        <f>StockInData[[#This Row],[Quantity]]*2.5</f>
        <v>252.5</v>
      </c>
    </row>
    <row r="216" spans="1:11" x14ac:dyDescent="0.25">
      <c r="A216" s="29">
        <v>215</v>
      </c>
      <c r="B216" s="30">
        <f t="shared" si="7"/>
        <v>43624</v>
      </c>
      <c r="C216" s="30" t="s">
        <v>960</v>
      </c>
      <c r="D216" s="54" t="s">
        <v>957</v>
      </c>
      <c r="E216" s="25" t="s">
        <v>449</v>
      </c>
      <c r="F216" s="26" t="s">
        <v>450</v>
      </c>
      <c r="G216" s="25" t="s">
        <v>869</v>
      </c>
      <c r="H216" s="25" t="s">
        <v>875</v>
      </c>
      <c r="I216" s="33">
        <f t="shared" si="6"/>
        <v>44341</v>
      </c>
      <c r="J216" s="29">
        <v>60</v>
      </c>
      <c r="K216" s="31">
        <f>StockInData[[#This Row],[Quantity]]*2.5</f>
        <v>150</v>
      </c>
    </row>
    <row r="217" spans="1:11" x14ac:dyDescent="0.25">
      <c r="A217" s="29">
        <v>216</v>
      </c>
      <c r="B217" s="30">
        <f t="shared" si="7"/>
        <v>43625</v>
      </c>
      <c r="C217" s="30" t="s">
        <v>960</v>
      </c>
      <c r="D217" s="54" t="s">
        <v>957</v>
      </c>
      <c r="E217" s="25" t="s">
        <v>451</v>
      </c>
      <c r="F217" s="26" t="s">
        <v>452</v>
      </c>
      <c r="G217" s="25" t="s">
        <v>869</v>
      </c>
      <c r="H217" s="25" t="s">
        <v>875</v>
      </c>
      <c r="I217" s="33">
        <f t="shared" si="6"/>
        <v>44343</v>
      </c>
      <c r="J217" s="29">
        <v>40</v>
      </c>
      <c r="K217" s="31">
        <f>StockInData[[#This Row],[Quantity]]*2.5</f>
        <v>100</v>
      </c>
    </row>
    <row r="218" spans="1:11" x14ac:dyDescent="0.25">
      <c r="A218" s="29">
        <v>217</v>
      </c>
      <c r="B218" s="30">
        <f t="shared" si="7"/>
        <v>43626</v>
      </c>
      <c r="C218" s="30" t="s">
        <v>960</v>
      </c>
      <c r="D218" s="54" t="s">
        <v>957</v>
      </c>
      <c r="E218" s="25" t="s">
        <v>453</v>
      </c>
      <c r="F218" s="26" t="s">
        <v>454</v>
      </c>
      <c r="G218" s="25" t="s">
        <v>869</v>
      </c>
      <c r="H218" s="25" t="s">
        <v>875</v>
      </c>
      <c r="I218" s="33">
        <f t="shared" si="6"/>
        <v>44345</v>
      </c>
      <c r="J218" s="29">
        <v>30</v>
      </c>
      <c r="K218" s="31">
        <f>StockInData[[#This Row],[Quantity]]*2.5</f>
        <v>75</v>
      </c>
    </row>
    <row r="219" spans="1:11" x14ac:dyDescent="0.25">
      <c r="A219" s="29">
        <v>218</v>
      </c>
      <c r="B219" s="30">
        <f t="shared" si="7"/>
        <v>43627</v>
      </c>
      <c r="C219" s="30" t="s">
        <v>960</v>
      </c>
      <c r="D219" s="54" t="s">
        <v>957</v>
      </c>
      <c r="E219" s="25" t="s">
        <v>455</v>
      </c>
      <c r="F219" s="26" t="s">
        <v>456</v>
      </c>
      <c r="G219" s="25" t="s">
        <v>869</v>
      </c>
      <c r="H219" s="25" t="s">
        <v>875</v>
      </c>
      <c r="I219" s="33">
        <f t="shared" si="6"/>
        <v>44347</v>
      </c>
      <c r="J219" s="29">
        <v>25</v>
      </c>
      <c r="K219" s="31">
        <f>StockInData[[#This Row],[Quantity]]*2.5</f>
        <v>62.5</v>
      </c>
    </row>
    <row r="220" spans="1:11" x14ac:dyDescent="0.25">
      <c r="A220" s="29">
        <v>219</v>
      </c>
      <c r="B220" s="30">
        <f t="shared" si="7"/>
        <v>43628</v>
      </c>
      <c r="C220" s="30" t="s">
        <v>960</v>
      </c>
      <c r="D220" s="54" t="s">
        <v>957</v>
      </c>
      <c r="E220" s="25" t="s">
        <v>457</v>
      </c>
      <c r="F220" s="26" t="s">
        <v>458</v>
      </c>
      <c r="G220" s="25" t="s">
        <v>869</v>
      </c>
      <c r="H220" s="25" t="s">
        <v>875</v>
      </c>
      <c r="I220" s="33">
        <f t="shared" si="6"/>
        <v>44349</v>
      </c>
      <c r="J220" s="29">
        <v>20</v>
      </c>
      <c r="K220" s="31">
        <f>StockInData[[#This Row],[Quantity]]*2.5</f>
        <v>50</v>
      </c>
    </row>
    <row r="221" spans="1:11" x14ac:dyDescent="0.25">
      <c r="A221" s="29">
        <v>220</v>
      </c>
      <c r="B221" s="30">
        <f t="shared" si="7"/>
        <v>43629</v>
      </c>
      <c r="C221" s="30" t="s">
        <v>960</v>
      </c>
      <c r="D221" s="54" t="s">
        <v>957</v>
      </c>
      <c r="E221" s="25" t="s">
        <v>459</v>
      </c>
      <c r="F221" s="26" t="s">
        <v>460</v>
      </c>
      <c r="G221" s="25" t="s">
        <v>869</v>
      </c>
      <c r="H221" s="25" t="s">
        <v>875</v>
      </c>
      <c r="I221" s="33">
        <f t="shared" si="6"/>
        <v>44351</v>
      </c>
      <c r="J221" s="29">
        <v>19</v>
      </c>
      <c r="K221" s="31">
        <f>StockInData[[#This Row],[Quantity]]*2.5</f>
        <v>47.5</v>
      </c>
    </row>
    <row r="222" spans="1:11" x14ac:dyDescent="0.25">
      <c r="A222" s="29">
        <v>221</v>
      </c>
      <c r="B222" s="30">
        <f t="shared" si="7"/>
        <v>43630</v>
      </c>
      <c r="C222" s="30" t="s">
        <v>960</v>
      </c>
      <c r="D222" s="54" t="s">
        <v>957</v>
      </c>
      <c r="E222" s="25" t="s">
        <v>461</v>
      </c>
      <c r="F222" s="26" t="s">
        <v>462</v>
      </c>
      <c r="G222" s="25" t="s">
        <v>869</v>
      </c>
      <c r="H222" s="25" t="s">
        <v>875</v>
      </c>
      <c r="I222" s="33">
        <f t="shared" si="6"/>
        <v>44353</v>
      </c>
      <c r="J222" s="29">
        <v>23</v>
      </c>
      <c r="K222" s="31">
        <f>StockInData[[#This Row],[Quantity]]*2.5</f>
        <v>57.5</v>
      </c>
    </row>
    <row r="223" spans="1:11" x14ac:dyDescent="0.25">
      <c r="A223" s="29">
        <v>222</v>
      </c>
      <c r="B223" s="30">
        <f t="shared" si="7"/>
        <v>43631</v>
      </c>
      <c r="C223" s="30" t="s">
        <v>960</v>
      </c>
      <c r="D223" s="54" t="s">
        <v>957</v>
      </c>
      <c r="E223" s="25" t="s">
        <v>463</v>
      </c>
      <c r="F223" s="26" t="s">
        <v>464</v>
      </c>
      <c r="G223" s="25" t="s">
        <v>869</v>
      </c>
      <c r="H223" s="25" t="s">
        <v>875</v>
      </c>
      <c r="I223" s="33">
        <f t="shared" si="6"/>
        <v>44355</v>
      </c>
      <c r="J223" s="29">
        <v>65</v>
      </c>
      <c r="K223" s="31">
        <f>StockInData[[#This Row],[Quantity]]*2.5</f>
        <v>162.5</v>
      </c>
    </row>
    <row r="224" spans="1:11" x14ac:dyDescent="0.25">
      <c r="A224" s="29">
        <v>223</v>
      </c>
      <c r="B224" s="30">
        <f t="shared" si="7"/>
        <v>43632</v>
      </c>
      <c r="C224" s="30" t="s">
        <v>960</v>
      </c>
      <c r="D224" s="54" t="s">
        <v>957</v>
      </c>
      <c r="E224" s="25" t="s">
        <v>465</v>
      </c>
      <c r="F224" s="26" t="s">
        <v>466</v>
      </c>
      <c r="G224" s="25" t="s">
        <v>869</v>
      </c>
      <c r="H224" s="25" t="s">
        <v>875</v>
      </c>
      <c r="I224" s="33">
        <f t="shared" si="6"/>
        <v>44357</v>
      </c>
      <c r="J224" s="29">
        <v>74</v>
      </c>
      <c r="K224" s="31">
        <f>StockInData[[#This Row],[Quantity]]*2.5</f>
        <v>185</v>
      </c>
    </row>
    <row r="225" spans="1:11" x14ac:dyDescent="0.25">
      <c r="A225" s="29">
        <v>224</v>
      </c>
      <c r="B225" s="30">
        <f t="shared" si="7"/>
        <v>43633</v>
      </c>
      <c r="C225" s="30" t="s">
        <v>960</v>
      </c>
      <c r="D225" s="54" t="s">
        <v>957</v>
      </c>
      <c r="E225" s="25" t="s">
        <v>467</v>
      </c>
      <c r="F225" s="26" t="s">
        <v>468</v>
      </c>
      <c r="G225" s="25" t="s">
        <v>869</v>
      </c>
      <c r="H225" s="25" t="s">
        <v>875</v>
      </c>
      <c r="I225" s="33">
        <f t="shared" si="6"/>
        <v>44359</v>
      </c>
      <c r="J225" s="29">
        <v>84</v>
      </c>
      <c r="K225" s="31">
        <f>StockInData[[#This Row],[Quantity]]*2.5</f>
        <v>210</v>
      </c>
    </row>
    <row r="226" spans="1:11" x14ac:dyDescent="0.25">
      <c r="A226" s="29">
        <v>225</v>
      </c>
      <c r="B226" s="30">
        <f t="shared" si="7"/>
        <v>43634</v>
      </c>
      <c r="C226" s="30" t="s">
        <v>960</v>
      </c>
      <c r="D226" s="54" t="s">
        <v>957</v>
      </c>
      <c r="E226" s="25" t="s">
        <v>469</v>
      </c>
      <c r="F226" s="26" t="s">
        <v>470</v>
      </c>
      <c r="G226" s="25" t="s">
        <v>869</v>
      </c>
      <c r="H226" s="25" t="s">
        <v>875</v>
      </c>
      <c r="I226" s="33">
        <f t="shared" si="6"/>
        <v>44361</v>
      </c>
      <c r="J226" s="29">
        <v>99</v>
      </c>
      <c r="K226" s="31">
        <f>StockInData[[#This Row],[Quantity]]*2.5</f>
        <v>247.5</v>
      </c>
    </row>
    <row r="227" spans="1:11" x14ac:dyDescent="0.25">
      <c r="A227" s="29">
        <v>226</v>
      </c>
      <c r="B227" s="30">
        <f t="shared" si="7"/>
        <v>43635</v>
      </c>
      <c r="C227" s="30" t="s">
        <v>960</v>
      </c>
      <c r="D227" s="54" t="s">
        <v>957</v>
      </c>
      <c r="E227" s="25" t="s">
        <v>471</v>
      </c>
      <c r="F227" s="26" t="s">
        <v>472</v>
      </c>
      <c r="G227" s="25" t="s">
        <v>869</v>
      </c>
      <c r="H227" s="25" t="s">
        <v>875</v>
      </c>
      <c r="I227" s="33">
        <f t="shared" si="6"/>
        <v>44363</v>
      </c>
      <c r="J227" s="29">
        <v>101</v>
      </c>
      <c r="K227" s="31">
        <f>StockInData[[#This Row],[Quantity]]*2.5</f>
        <v>252.5</v>
      </c>
    </row>
    <row r="228" spans="1:11" x14ac:dyDescent="0.25">
      <c r="A228" s="29">
        <v>227</v>
      </c>
      <c r="B228" s="30">
        <f t="shared" si="7"/>
        <v>43636</v>
      </c>
      <c r="C228" s="30" t="s">
        <v>960</v>
      </c>
      <c r="D228" s="54" t="s">
        <v>957</v>
      </c>
      <c r="E228" s="25" t="s">
        <v>473</v>
      </c>
      <c r="F228" s="26" t="s">
        <v>474</v>
      </c>
      <c r="G228" s="25" t="s">
        <v>869</v>
      </c>
      <c r="H228" s="25" t="s">
        <v>875</v>
      </c>
      <c r="I228" s="33">
        <f t="shared" si="6"/>
        <v>44365</v>
      </c>
      <c r="J228" s="29">
        <v>60</v>
      </c>
      <c r="K228" s="31">
        <f>StockInData[[#This Row],[Quantity]]*2.5</f>
        <v>150</v>
      </c>
    </row>
    <row r="229" spans="1:11" x14ac:dyDescent="0.25">
      <c r="A229" s="29">
        <v>228</v>
      </c>
      <c r="B229" s="30">
        <f t="shared" si="7"/>
        <v>43637</v>
      </c>
      <c r="C229" s="30" t="s">
        <v>960</v>
      </c>
      <c r="D229" s="54" t="s">
        <v>957</v>
      </c>
      <c r="E229" s="25" t="s">
        <v>475</v>
      </c>
      <c r="F229" s="26" t="s">
        <v>476</v>
      </c>
      <c r="G229" s="25" t="s">
        <v>869</v>
      </c>
      <c r="H229" s="25" t="s">
        <v>875</v>
      </c>
      <c r="I229" s="33">
        <f t="shared" si="6"/>
        <v>44367</v>
      </c>
      <c r="J229" s="29">
        <v>40</v>
      </c>
      <c r="K229" s="31">
        <f>StockInData[[#This Row],[Quantity]]*2.5</f>
        <v>100</v>
      </c>
    </row>
    <row r="230" spans="1:11" x14ac:dyDescent="0.25">
      <c r="A230" s="29">
        <v>229</v>
      </c>
      <c r="B230" s="30">
        <f t="shared" si="7"/>
        <v>43638</v>
      </c>
      <c r="C230" s="30" t="s">
        <v>960</v>
      </c>
      <c r="D230" s="54" t="s">
        <v>957</v>
      </c>
      <c r="E230" s="25" t="s">
        <v>477</v>
      </c>
      <c r="F230" s="26" t="s">
        <v>478</v>
      </c>
      <c r="G230" s="25" t="s">
        <v>869</v>
      </c>
      <c r="H230" s="25" t="s">
        <v>875</v>
      </c>
      <c r="I230" s="33">
        <f t="shared" si="6"/>
        <v>44369</v>
      </c>
      <c r="J230" s="29">
        <v>30</v>
      </c>
      <c r="K230" s="31">
        <f>StockInData[[#This Row],[Quantity]]*2.5</f>
        <v>75</v>
      </c>
    </row>
    <row r="231" spans="1:11" x14ac:dyDescent="0.25">
      <c r="A231" s="29">
        <v>230</v>
      </c>
      <c r="B231" s="30">
        <f t="shared" si="7"/>
        <v>43639</v>
      </c>
      <c r="C231" s="30" t="s">
        <v>960</v>
      </c>
      <c r="D231" s="54" t="s">
        <v>957</v>
      </c>
      <c r="E231" s="25" t="s">
        <v>479</v>
      </c>
      <c r="F231" s="26" t="s">
        <v>480</v>
      </c>
      <c r="G231" s="25" t="s">
        <v>869</v>
      </c>
      <c r="H231" s="25" t="s">
        <v>875</v>
      </c>
      <c r="I231" s="33">
        <f t="shared" si="6"/>
        <v>44371</v>
      </c>
      <c r="J231" s="29">
        <v>25</v>
      </c>
      <c r="K231" s="31">
        <f>StockInData[[#This Row],[Quantity]]*2.5</f>
        <v>62.5</v>
      </c>
    </row>
    <row r="232" spans="1:11" x14ac:dyDescent="0.25">
      <c r="A232" s="29">
        <v>231</v>
      </c>
      <c r="B232" s="30">
        <f t="shared" si="7"/>
        <v>43640</v>
      </c>
      <c r="C232" s="30" t="s">
        <v>960</v>
      </c>
      <c r="D232" s="54" t="s">
        <v>957</v>
      </c>
      <c r="E232" s="25" t="s">
        <v>481</v>
      </c>
      <c r="F232" s="26" t="s">
        <v>482</v>
      </c>
      <c r="G232" s="25" t="s">
        <v>869</v>
      </c>
      <c r="H232" s="25" t="s">
        <v>875</v>
      </c>
      <c r="I232" s="33">
        <f t="shared" si="6"/>
        <v>44373</v>
      </c>
      <c r="J232" s="29">
        <v>20</v>
      </c>
      <c r="K232" s="31">
        <f>StockInData[[#This Row],[Quantity]]*2.5</f>
        <v>50</v>
      </c>
    </row>
    <row r="233" spans="1:11" x14ac:dyDescent="0.25">
      <c r="A233" s="29">
        <v>232</v>
      </c>
      <c r="B233" s="30">
        <f t="shared" si="7"/>
        <v>43641</v>
      </c>
      <c r="C233" s="30" t="s">
        <v>960</v>
      </c>
      <c r="D233" s="54" t="s">
        <v>957</v>
      </c>
      <c r="E233" s="25" t="s">
        <v>483</v>
      </c>
      <c r="F233" s="26" t="s">
        <v>484</v>
      </c>
      <c r="G233" s="25" t="s">
        <v>869</v>
      </c>
      <c r="H233" s="25" t="s">
        <v>875</v>
      </c>
      <c r="I233" s="33">
        <f t="shared" si="6"/>
        <v>44375</v>
      </c>
      <c r="J233" s="29">
        <v>19</v>
      </c>
      <c r="K233" s="31">
        <f>StockInData[[#This Row],[Quantity]]*2.5</f>
        <v>47.5</v>
      </c>
    </row>
    <row r="234" spans="1:11" x14ac:dyDescent="0.25">
      <c r="A234" s="29">
        <v>233</v>
      </c>
      <c r="B234" s="30">
        <f t="shared" si="7"/>
        <v>43642</v>
      </c>
      <c r="C234" s="30" t="s">
        <v>960</v>
      </c>
      <c r="D234" s="54" t="s">
        <v>957</v>
      </c>
      <c r="E234" s="25" t="s">
        <v>485</v>
      </c>
      <c r="F234" s="26" t="s">
        <v>486</v>
      </c>
      <c r="G234" s="25" t="s">
        <v>869</v>
      </c>
      <c r="H234" s="25" t="s">
        <v>875</v>
      </c>
      <c r="I234" s="33">
        <f t="shared" si="6"/>
        <v>44377</v>
      </c>
      <c r="J234" s="29">
        <v>23</v>
      </c>
      <c r="K234" s="31">
        <f>StockInData[[#This Row],[Quantity]]*2.5</f>
        <v>57.5</v>
      </c>
    </row>
    <row r="235" spans="1:11" x14ac:dyDescent="0.25">
      <c r="A235" s="29">
        <v>234</v>
      </c>
      <c r="B235" s="30">
        <f t="shared" si="7"/>
        <v>43643</v>
      </c>
      <c r="C235" s="30" t="s">
        <v>960</v>
      </c>
      <c r="D235" s="54" t="s">
        <v>957</v>
      </c>
      <c r="E235" s="25" t="s">
        <v>487</v>
      </c>
      <c r="F235" s="26" t="s">
        <v>488</v>
      </c>
      <c r="G235" s="25" t="s">
        <v>869</v>
      </c>
      <c r="H235" s="25" t="s">
        <v>875</v>
      </c>
      <c r="I235" s="33">
        <f t="shared" si="6"/>
        <v>44379</v>
      </c>
      <c r="J235" s="29">
        <v>65</v>
      </c>
      <c r="K235" s="31">
        <f>StockInData[[#This Row],[Quantity]]*2.5</f>
        <v>162.5</v>
      </c>
    </row>
    <row r="236" spans="1:11" x14ac:dyDescent="0.25">
      <c r="A236" s="29">
        <v>235</v>
      </c>
      <c r="B236" s="30">
        <f t="shared" si="7"/>
        <v>43644</v>
      </c>
      <c r="C236" s="30" t="s">
        <v>960</v>
      </c>
      <c r="D236" s="54" t="s">
        <v>957</v>
      </c>
      <c r="E236" s="25" t="s">
        <v>489</v>
      </c>
      <c r="F236" s="26" t="s">
        <v>490</v>
      </c>
      <c r="G236" s="25" t="s">
        <v>869</v>
      </c>
      <c r="H236" s="25" t="s">
        <v>875</v>
      </c>
      <c r="I236" s="33">
        <f t="shared" si="6"/>
        <v>44381</v>
      </c>
      <c r="J236" s="29">
        <v>74</v>
      </c>
      <c r="K236" s="31">
        <f>StockInData[[#This Row],[Quantity]]*2.5</f>
        <v>185</v>
      </c>
    </row>
    <row r="237" spans="1:11" x14ac:dyDescent="0.25">
      <c r="A237" s="29">
        <v>236</v>
      </c>
      <c r="B237" s="30">
        <f t="shared" si="7"/>
        <v>43645</v>
      </c>
      <c r="C237" s="30" t="s">
        <v>960</v>
      </c>
      <c r="D237" s="54" t="s">
        <v>957</v>
      </c>
      <c r="E237" s="25" t="s">
        <v>491</v>
      </c>
      <c r="F237" s="26" t="s">
        <v>492</v>
      </c>
      <c r="G237" s="25" t="s">
        <v>869</v>
      </c>
      <c r="H237" s="25" t="s">
        <v>875</v>
      </c>
      <c r="I237" s="33">
        <f t="shared" si="6"/>
        <v>44383</v>
      </c>
      <c r="J237" s="29">
        <v>84</v>
      </c>
      <c r="K237" s="31">
        <f>StockInData[[#This Row],[Quantity]]*2.5</f>
        <v>210</v>
      </c>
    </row>
    <row r="238" spans="1:11" x14ac:dyDescent="0.25">
      <c r="A238" s="29">
        <v>237</v>
      </c>
      <c r="B238" s="30">
        <f t="shared" si="7"/>
        <v>43646</v>
      </c>
      <c r="C238" s="30" t="s">
        <v>960</v>
      </c>
      <c r="D238" s="54" t="s">
        <v>957</v>
      </c>
      <c r="E238" s="25" t="s">
        <v>493</v>
      </c>
      <c r="F238" s="26" t="s">
        <v>494</v>
      </c>
      <c r="G238" s="25" t="s">
        <v>869</v>
      </c>
      <c r="H238" s="25" t="s">
        <v>875</v>
      </c>
      <c r="I238" s="33">
        <f t="shared" si="6"/>
        <v>44385</v>
      </c>
      <c r="J238" s="29">
        <v>99</v>
      </c>
      <c r="K238" s="31">
        <f>StockInData[[#This Row],[Quantity]]*2.5</f>
        <v>247.5</v>
      </c>
    </row>
    <row r="239" spans="1:11" x14ac:dyDescent="0.25">
      <c r="A239" s="29">
        <v>238</v>
      </c>
      <c r="B239" s="30">
        <f t="shared" si="7"/>
        <v>43647</v>
      </c>
      <c r="C239" s="30" t="s">
        <v>960</v>
      </c>
      <c r="D239" s="54" t="s">
        <v>957</v>
      </c>
      <c r="E239" s="25" t="s">
        <v>495</v>
      </c>
      <c r="F239" s="26" t="s">
        <v>496</v>
      </c>
      <c r="G239" s="25" t="s">
        <v>869</v>
      </c>
      <c r="H239" s="25" t="s">
        <v>875</v>
      </c>
      <c r="I239" s="33">
        <f t="shared" si="6"/>
        <v>44387</v>
      </c>
      <c r="J239" s="29">
        <v>101</v>
      </c>
      <c r="K239" s="31">
        <f>StockInData[[#This Row],[Quantity]]*2.5</f>
        <v>252.5</v>
      </c>
    </row>
    <row r="240" spans="1:11" x14ac:dyDescent="0.25">
      <c r="A240" s="29">
        <v>239</v>
      </c>
      <c r="B240" s="30">
        <f t="shared" si="7"/>
        <v>43648</v>
      </c>
      <c r="C240" s="30" t="s">
        <v>960</v>
      </c>
      <c r="D240" s="54" t="s">
        <v>957</v>
      </c>
      <c r="E240" s="25" t="s">
        <v>497</v>
      </c>
      <c r="F240" s="26" t="s">
        <v>498</v>
      </c>
      <c r="G240" s="25" t="s">
        <v>869</v>
      </c>
      <c r="H240" s="25" t="s">
        <v>875</v>
      </c>
      <c r="I240" s="33">
        <f t="shared" si="6"/>
        <v>44389</v>
      </c>
      <c r="J240" s="29">
        <v>100</v>
      </c>
      <c r="K240" s="31">
        <f>StockInData[[#This Row],[Quantity]]*2.5</f>
        <v>250</v>
      </c>
    </row>
    <row r="241" spans="1:11" x14ac:dyDescent="0.25">
      <c r="A241" s="29">
        <v>240</v>
      </c>
      <c r="B241" s="30">
        <f t="shared" si="7"/>
        <v>43649</v>
      </c>
      <c r="C241" s="30" t="s">
        <v>960</v>
      </c>
      <c r="D241" s="54" t="s">
        <v>957</v>
      </c>
      <c r="E241" s="25" t="s">
        <v>499</v>
      </c>
      <c r="F241" s="26" t="s">
        <v>500</v>
      </c>
      <c r="G241" s="25" t="s">
        <v>869</v>
      </c>
      <c r="H241" s="25" t="s">
        <v>875</v>
      </c>
      <c r="I241" s="33">
        <f t="shared" si="6"/>
        <v>44391</v>
      </c>
      <c r="J241" s="29">
        <v>60</v>
      </c>
      <c r="K241" s="31">
        <f>StockInData[[#This Row],[Quantity]]*2.5</f>
        <v>150</v>
      </c>
    </row>
    <row r="242" spans="1:11" x14ac:dyDescent="0.25">
      <c r="A242" s="29">
        <v>241</v>
      </c>
      <c r="B242" s="30">
        <f t="shared" si="7"/>
        <v>43650</v>
      </c>
      <c r="C242" s="30" t="s">
        <v>960</v>
      </c>
      <c r="D242" s="54" t="s">
        <v>957</v>
      </c>
      <c r="E242" s="25" t="s">
        <v>501</v>
      </c>
      <c r="F242" s="26" t="s">
        <v>502</v>
      </c>
      <c r="G242" s="25" t="s">
        <v>869</v>
      </c>
      <c r="H242" s="25" t="s">
        <v>875</v>
      </c>
      <c r="I242" s="33">
        <f t="shared" si="6"/>
        <v>44393</v>
      </c>
      <c r="J242" s="29">
        <v>40</v>
      </c>
      <c r="K242" s="31">
        <f>StockInData[[#This Row],[Quantity]]*2.5</f>
        <v>100</v>
      </c>
    </row>
    <row r="243" spans="1:11" x14ac:dyDescent="0.25">
      <c r="A243" s="29">
        <v>242</v>
      </c>
      <c r="B243" s="30">
        <f t="shared" si="7"/>
        <v>43651</v>
      </c>
      <c r="C243" s="30" t="s">
        <v>960</v>
      </c>
      <c r="D243" s="54" t="s">
        <v>957</v>
      </c>
      <c r="E243" s="25" t="s">
        <v>503</v>
      </c>
      <c r="F243" s="26" t="s">
        <v>504</v>
      </c>
      <c r="G243" s="25" t="s">
        <v>869</v>
      </c>
      <c r="H243" s="25" t="s">
        <v>875</v>
      </c>
      <c r="I243" s="33">
        <f t="shared" si="6"/>
        <v>44395</v>
      </c>
      <c r="J243" s="29">
        <v>30</v>
      </c>
      <c r="K243" s="31">
        <f>StockInData[[#This Row],[Quantity]]*2.5</f>
        <v>75</v>
      </c>
    </row>
    <row r="244" spans="1:11" x14ac:dyDescent="0.25">
      <c r="A244" s="29">
        <v>243</v>
      </c>
      <c r="B244" s="30">
        <f t="shared" si="7"/>
        <v>43652</v>
      </c>
      <c r="C244" s="30" t="s">
        <v>960</v>
      </c>
      <c r="D244" s="54" t="s">
        <v>957</v>
      </c>
      <c r="E244" s="25" t="s">
        <v>505</v>
      </c>
      <c r="F244" s="26" t="s">
        <v>506</v>
      </c>
      <c r="G244" s="25" t="s">
        <v>869</v>
      </c>
      <c r="H244" s="25" t="s">
        <v>875</v>
      </c>
      <c r="I244" s="33">
        <f t="shared" si="6"/>
        <v>44397</v>
      </c>
      <c r="J244" s="29">
        <v>25</v>
      </c>
      <c r="K244" s="31">
        <f>StockInData[[#This Row],[Quantity]]*2.5</f>
        <v>62.5</v>
      </c>
    </row>
    <row r="245" spans="1:11" x14ac:dyDescent="0.25">
      <c r="A245" s="29">
        <v>244</v>
      </c>
      <c r="B245" s="30">
        <f t="shared" si="7"/>
        <v>43653</v>
      </c>
      <c r="C245" s="30" t="s">
        <v>960</v>
      </c>
      <c r="D245" s="54" t="s">
        <v>957</v>
      </c>
      <c r="E245" s="25" t="s">
        <v>507</v>
      </c>
      <c r="F245" s="26" t="s">
        <v>508</v>
      </c>
      <c r="G245" s="25" t="s">
        <v>869</v>
      </c>
      <c r="H245" s="25" t="s">
        <v>875</v>
      </c>
      <c r="I245" s="33">
        <f t="shared" si="6"/>
        <v>44399</v>
      </c>
      <c r="J245" s="29">
        <v>20</v>
      </c>
      <c r="K245" s="31">
        <f>StockInData[[#This Row],[Quantity]]*2.5</f>
        <v>50</v>
      </c>
    </row>
    <row r="246" spans="1:11" x14ac:dyDescent="0.25">
      <c r="A246" s="29">
        <v>245</v>
      </c>
      <c r="B246" s="30">
        <f t="shared" si="7"/>
        <v>43654</v>
      </c>
      <c r="C246" s="30" t="s">
        <v>960</v>
      </c>
      <c r="D246" s="54" t="s">
        <v>957</v>
      </c>
      <c r="E246" s="25" t="s">
        <v>509</v>
      </c>
      <c r="F246" s="26" t="s">
        <v>510</v>
      </c>
      <c r="G246" s="25" t="s">
        <v>869</v>
      </c>
      <c r="H246" s="25" t="s">
        <v>875</v>
      </c>
      <c r="I246" s="33">
        <f t="shared" si="6"/>
        <v>44401</v>
      </c>
      <c r="J246" s="29">
        <v>19</v>
      </c>
      <c r="K246" s="31">
        <f>StockInData[[#This Row],[Quantity]]*2.5</f>
        <v>47.5</v>
      </c>
    </row>
    <row r="247" spans="1:11" x14ac:dyDescent="0.25">
      <c r="A247" s="29">
        <v>246</v>
      </c>
      <c r="B247" s="30">
        <f t="shared" si="7"/>
        <v>43655</v>
      </c>
      <c r="C247" s="30" t="s">
        <v>960</v>
      </c>
      <c r="D247" s="54" t="s">
        <v>957</v>
      </c>
      <c r="E247" s="25" t="s">
        <v>511</v>
      </c>
      <c r="F247" s="26" t="s">
        <v>512</v>
      </c>
      <c r="G247" s="25" t="s">
        <v>869</v>
      </c>
      <c r="H247" s="25" t="s">
        <v>875</v>
      </c>
      <c r="I247" s="33">
        <f t="shared" si="6"/>
        <v>44403</v>
      </c>
      <c r="J247" s="29">
        <v>23</v>
      </c>
      <c r="K247" s="31">
        <f>StockInData[[#This Row],[Quantity]]*2.5</f>
        <v>57.5</v>
      </c>
    </row>
    <row r="248" spans="1:11" x14ac:dyDescent="0.25">
      <c r="A248" s="29">
        <v>247</v>
      </c>
      <c r="B248" s="30">
        <f t="shared" si="7"/>
        <v>43656</v>
      </c>
      <c r="C248" s="30" t="s">
        <v>960</v>
      </c>
      <c r="D248" s="54" t="s">
        <v>957</v>
      </c>
      <c r="E248" s="25" t="s">
        <v>513</v>
      </c>
      <c r="F248" s="26" t="s">
        <v>514</v>
      </c>
      <c r="G248" s="25" t="s">
        <v>869</v>
      </c>
      <c r="H248" s="25" t="s">
        <v>875</v>
      </c>
      <c r="I248" s="33">
        <f t="shared" si="6"/>
        <v>44405</v>
      </c>
      <c r="J248" s="29">
        <v>65</v>
      </c>
      <c r="K248" s="31">
        <f>StockInData[[#This Row],[Quantity]]*2.5</f>
        <v>162.5</v>
      </c>
    </row>
    <row r="249" spans="1:11" x14ac:dyDescent="0.25">
      <c r="A249" s="29">
        <v>248</v>
      </c>
      <c r="B249" s="30">
        <f t="shared" si="7"/>
        <v>43657</v>
      </c>
      <c r="C249" s="30" t="s">
        <v>960</v>
      </c>
      <c r="D249" s="54" t="s">
        <v>957</v>
      </c>
      <c r="E249" s="25" t="s">
        <v>515</v>
      </c>
      <c r="F249" s="26" t="s">
        <v>516</v>
      </c>
      <c r="G249" s="25" t="s">
        <v>869</v>
      </c>
      <c r="H249" s="25" t="s">
        <v>875</v>
      </c>
      <c r="I249" s="33">
        <f t="shared" si="6"/>
        <v>44407</v>
      </c>
      <c r="J249" s="29">
        <v>74</v>
      </c>
      <c r="K249" s="31">
        <f>StockInData[[#This Row],[Quantity]]*2.5</f>
        <v>185</v>
      </c>
    </row>
    <row r="250" spans="1:11" x14ac:dyDescent="0.25">
      <c r="A250" s="29">
        <v>249</v>
      </c>
      <c r="B250" s="30">
        <f t="shared" si="7"/>
        <v>43658</v>
      </c>
      <c r="C250" s="30" t="s">
        <v>960</v>
      </c>
      <c r="D250" s="54" t="s">
        <v>957</v>
      </c>
      <c r="E250" s="25" t="s">
        <v>517</v>
      </c>
      <c r="F250" s="26" t="s">
        <v>518</v>
      </c>
      <c r="G250" s="25" t="s">
        <v>869</v>
      </c>
      <c r="H250" s="25" t="s">
        <v>875</v>
      </c>
      <c r="I250" s="33">
        <f t="shared" si="6"/>
        <v>44409</v>
      </c>
      <c r="J250" s="29">
        <v>84</v>
      </c>
      <c r="K250" s="31">
        <f>StockInData[[#This Row],[Quantity]]*2.5</f>
        <v>210</v>
      </c>
    </row>
    <row r="251" spans="1:11" x14ac:dyDescent="0.25">
      <c r="A251" s="29">
        <v>250</v>
      </c>
      <c r="B251" s="30">
        <f t="shared" si="7"/>
        <v>43659</v>
      </c>
      <c r="C251" s="30" t="s">
        <v>960</v>
      </c>
      <c r="D251" s="54" t="s">
        <v>957</v>
      </c>
      <c r="E251" s="25" t="s">
        <v>519</v>
      </c>
      <c r="F251" s="26" t="s">
        <v>520</v>
      </c>
      <c r="G251" s="25" t="s">
        <v>869</v>
      </c>
      <c r="H251" s="25" t="s">
        <v>875</v>
      </c>
      <c r="I251" s="33">
        <f t="shared" si="6"/>
        <v>44411</v>
      </c>
      <c r="J251" s="29">
        <v>99</v>
      </c>
      <c r="K251" s="31">
        <f>StockInData[[#This Row],[Quantity]]*2.5</f>
        <v>247.5</v>
      </c>
    </row>
    <row r="252" spans="1:11" x14ac:dyDescent="0.25">
      <c r="A252" s="29">
        <v>251</v>
      </c>
      <c r="B252" s="30">
        <f t="shared" si="7"/>
        <v>43660</v>
      </c>
      <c r="C252" s="30" t="s">
        <v>960</v>
      </c>
      <c r="D252" s="54" t="s">
        <v>957</v>
      </c>
      <c r="E252" s="25" t="s">
        <v>521</v>
      </c>
      <c r="F252" s="26" t="s">
        <v>522</v>
      </c>
      <c r="G252" s="25" t="s">
        <v>869</v>
      </c>
      <c r="H252" s="25" t="s">
        <v>875</v>
      </c>
      <c r="I252" s="33">
        <f t="shared" si="6"/>
        <v>44413</v>
      </c>
      <c r="J252" s="29">
        <v>101</v>
      </c>
      <c r="K252" s="31">
        <f>StockInData[[#This Row],[Quantity]]*2.5</f>
        <v>252.5</v>
      </c>
    </row>
    <row r="253" spans="1:11" x14ac:dyDescent="0.25">
      <c r="A253" s="29">
        <v>252</v>
      </c>
      <c r="B253" s="30">
        <f t="shared" si="7"/>
        <v>43661</v>
      </c>
      <c r="C253" s="30" t="s">
        <v>960</v>
      </c>
      <c r="D253" s="54" t="s">
        <v>957</v>
      </c>
      <c r="E253" s="25" t="s">
        <v>523</v>
      </c>
      <c r="F253" s="26" t="s">
        <v>524</v>
      </c>
      <c r="G253" s="25" t="s">
        <v>869</v>
      </c>
      <c r="H253" s="25" t="s">
        <v>875</v>
      </c>
      <c r="I253" s="33">
        <f t="shared" si="6"/>
        <v>44415</v>
      </c>
      <c r="J253" s="29">
        <v>100</v>
      </c>
      <c r="K253" s="31">
        <f>StockInData[[#This Row],[Quantity]]*2.5</f>
        <v>250</v>
      </c>
    </row>
    <row r="254" spans="1:11" x14ac:dyDescent="0.25">
      <c r="A254" s="29">
        <v>253</v>
      </c>
      <c r="B254" s="30">
        <f t="shared" si="7"/>
        <v>43662</v>
      </c>
      <c r="C254" s="30" t="s">
        <v>960</v>
      </c>
      <c r="D254" s="54" t="s">
        <v>957</v>
      </c>
      <c r="E254" s="25" t="s">
        <v>525</v>
      </c>
      <c r="F254" s="26" t="s">
        <v>526</v>
      </c>
      <c r="G254" s="25" t="s">
        <v>869</v>
      </c>
      <c r="H254" s="25" t="s">
        <v>875</v>
      </c>
      <c r="I254" s="33">
        <f t="shared" si="6"/>
        <v>44417</v>
      </c>
      <c r="J254" s="29">
        <v>100</v>
      </c>
      <c r="K254" s="31">
        <f>StockInData[[#This Row],[Quantity]]*2.5</f>
        <v>250</v>
      </c>
    </row>
    <row r="255" spans="1:11" x14ac:dyDescent="0.25">
      <c r="A255" s="29">
        <v>254</v>
      </c>
      <c r="B255" s="30">
        <f t="shared" si="7"/>
        <v>43663</v>
      </c>
      <c r="C255" s="30" t="s">
        <v>960</v>
      </c>
      <c r="D255" s="54" t="s">
        <v>957</v>
      </c>
      <c r="E255" s="25" t="s">
        <v>527</v>
      </c>
      <c r="F255" s="26" t="s">
        <v>528</v>
      </c>
      <c r="G255" s="25" t="s">
        <v>869</v>
      </c>
      <c r="H255" s="25" t="s">
        <v>875</v>
      </c>
      <c r="I255" s="33">
        <f t="shared" si="6"/>
        <v>44419</v>
      </c>
      <c r="J255" s="29">
        <v>100</v>
      </c>
      <c r="K255" s="31">
        <f>StockInData[[#This Row],[Quantity]]*2.5</f>
        <v>250</v>
      </c>
    </row>
    <row r="256" spans="1:11" x14ac:dyDescent="0.25">
      <c r="A256" s="29">
        <v>255</v>
      </c>
      <c r="B256" s="30">
        <f t="shared" si="7"/>
        <v>43664</v>
      </c>
      <c r="C256" s="30" t="s">
        <v>960</v>
      </c>
      <c r="D256" s="54" t="s">
        <v>957</v>
      </c>
      <c r="E256" s="25" t="s">
        <v>529</v>
      </c>
      <c r="F256" s="26" t="s">
        <v>530</v>
      </c>
      <c r="G256" s="25" t="s">
        <v>869</v>
      </c>
      <c r="H256" s="25" t="s">
        <v>875</v>
      </c>
      <c r="I256" s="33">
        <f t="shared" si="6"/>
        <v>44421</v>
      </c>
      <c r="J256" s="29">
        <v>100</v>
      </c>
      <c r="K256" s="31">
        <f>StockInData[[#This Row],[Quantity]]*2.5</f>
        <v>250</v>
      </c>
    </row>
    <row r="257" spans="1:11" x14ac:dyDescent="0.25">
      <c r="A257" s="29">
        <v>256</v>
      </c>
      <c r="B257" s="30">
        <f t="shared" si="7"/>
        <v>43665</v>
      </c>
      <c r="C257" s="30" t="s">
        <v>960</v>
      </c>
      <c r="D257" s="54" t="s">
        <v>957</v>
      </c>
      <c r="E257" s="25" t="s">
        <v>531</v>
      </c>
      <c r="F257" s="26" t="s">
        <v>532</v>
      </c>
      <c r="G257" s="25" t="s">
        <v>869</v>
      </c>
      <c r="H257" s="25" t="s">
        <v>875</v>
      </c>
      <c r="I257" s="33">
        <f t="shared" si="6"/>
        <v>44423</v>
      </c>
      <c r="J257" s="29">
        <v>100</v>
      </c>
      <c r="K257" s="31">
        <f>StockInData[[#This Row],[Quantity]]*2.5</f>
        <v>250</v>
      </c>
    </row>
    <row r="258" spans="1:11" x14ac:dyDescent="0.25">
      <c r="A258" s="29">
        <v>257</v>
      </c>
      <c r="B258" s="30">
        <f t="shared" si="7"/>
        <v>43666</v>
      </c>
      <c r="C258" s="30" t="s">
        <v>960</v>
      </c>
      <c r="D258" s="54" t="s">
        <v>957</v>
      </c>
      <c r="E258" s="25" t="s">
        <v>533</v>
      </c>
      <c r="F258" s="26" t="s">
        <v>534</v>
      </c>
      <c r="G258" s="25" t="s">
        <v>869</v>
      </c>
      <c r="H258" s="25" t="s">
        <v>875</v>
      </c>
      <c r="I258" s="33">
        <f t="shared" si="6"/>
        <v>44425</v>
      </c>
      <c r="J258" s="29">
        <v>100</v>
      </c>
      <c r="K258" s="31">
        <f>StockInData[[#This Row],[Quantity]]*2.5</f>
        <v>250</v>
      </c>
    </row>
    <row r="259" spans="1:11" x14ac:dyDescent="0.25">
      <c r="A259" s="29">
        <v>258</v>
      </c>
      <c r="B259" s="30">
        <f t="shared" si="7"/>
        <v>43667</v>
      </c>
      <c r="C259" s="30" t="s">
        <v>960</v>
      </c>
      <c r="D259" s="54" t="s">
        <v>957</v>
      </c>
      <c r="E259" s="25" t="s">
        <v>535</v>
      </c>
      <c r="F259" s="26" t="s">
        <v>536</v>
      </c>
      <c r="G259" s="25" t="s">
        <v>869</v>
      </c>
      <c r="H259" s="25" t="s">
        <v>875</v>
      </c>
      <c r="I259" s="33">
        <f t="shared" si="6"/>
        <v>44427</v>
      </c>
      <c r="J259" s="29">
        <v>40</v>
      </c>
      <c r="K259" s="31">
        <f>StockInData[[#This Row],[Quantity]]*2.5</f>
        <v>100</v>
      </c>
    </row>
    <row r="260" spans="1:11" x14ac:dyDescent="0.25">
      <c r="A260" s="29">
        <v>259</v>
      </c>
      <c r="B260" s="30">
        <f t="shared" si="7"/>
        <v>43668</v>
      </c>
      <c r="C260" s="30" t="s">
        <v>960</v>
      </c>
      <c r="D260" s="54" t="s">
        <v>957</v>
      </c>
      <c r="E260" s="25" t="s">
        <v>537</v>
      </c>
      <c r="F260" s="26" t="s">
        <v>538</v>
      </c>
      <c r="G260" s="25" t="s">
        <v>869</v>
      </c>
      <c r="H260" s="25" t="s">
        <v>875</v>
      </c>
      <c r="I260" s="33">
        <f t="shared" ref="I260:I323" si="8">I259+2</f>
        <v>44429</v>
      </c>
      <c r="J260" s="29">
        <v>30</v>
      </c>
      <c r="K260" s="31">
        <f>StockInData[[#This Row],[Quantity]]*2.5</f>
        <v>75</v>
      </c>
    </row>
    <row r="261" spans="1:11" x14ac:dyDescent="0.25">
      <c r="A261" s="29">
        <v>260</v>
      </c>
      <c r="B261" s="30">
        <f t="shared" ref="B261:B324" si="9">B260+1</f>
        <v>43669</v>
      </c>
      <c r="C261" s="30" t="s">
        <v>960</v>
      </c>
      <c r="D261" s="54" t="s">
        <v>957</v>
      </c>
      <c r="E261" s="25" t="s">
        <v>539</v>
      </c>
      <c r="F261" s="26" t="s">
        <v>540</v>
      </c>
      <c r="G261" s="25" t="s">
        <v>869</v>
      </c>
      <c r="H261" s="25" t="s">
        <v>875</v>
      </c>
      <c r="I261" s="33">
        <f t="shared" si="8"/>
        <v>44431</v>
      </c>
      <c r="J261" s="29">
        <v>25</v>
      </c>
      <c r="K261" s="31">
        <f>StockInData[[#This Row],[Quantity]]*2.5</f>
        <v>62.5</v>
      </c>
    </row>
    <row r="262" spans="1:11" x14ac:dyDescent="0.25">
      <c r="A262" s="29">
        <v>261</v>
      </c>
      <c r="B262" s="30">
        <f t="shared" si="9"/>
        <v>43670</v>
      </c>
      <c r="C262" s="30" t="s">
        <v>960</v>
      </c>
      <c r="D262" s="54" t="s">
        <v>957</v>
      </c>
      <c r="E262" s="25" t="s">
        <v>541</v>
      </c>
      <c r="F262" s="26" t="s">
        <v>542</v>
      </c>
      <c r="G262" s="25" t="s">
        <v>869</v>
      </c>
      <c r="H262" s="25" t="s">
        <v>875</v>
      </c>
      <c r="I262" s="33">
        <f t="shared" si="8"/>
        <v>44433</v>
      </c>
      <c r="J262" s="29">
        <v>20</v>
      </c>
      <c r="K262" s="31">
        <f>StockInData[[#This Row],[Quantity]]*2.5</f>
        <v>50</v>
      </c>
    </row>
    <row r="263" spans="1:11" x14ac:dyDescent="0.25">
      <c r="A263" s="29">
        <v>262</v>
      </c>
      <c r="B263" s="30">
        <f t="shared" si="9"/>
        <v>43671</v>
      </c>
      <c r="C263" s="30" t="s">
        <v>960</v>
      </c>
      <c r="D263" s="54" t="s">
        <v>957</v>
      </c>
      <c r="E263" s="25" t="s">
        <v>543</v>
      </c>
      <c r="F263" s="26" t="s">
        <v>544</v>
      </c>
      <c r="G263" s="25" t="s">
        <v>869</v>
      </c>
      <c r="H263" s="25" t="s">
        <v>875</v>
      </c>
      <c r="I263" s="33">
        <f t="shared" si="8"/>
        <v>44435</v>
      </c>
      <c r="J263" s="29">
        <v>19</v>
      </c>
      <c r="K263" s="31">
        <f>StockInData[[#This Row],[Quantity]]*2.5</f>
        <v>47.5</v>
      </c>
    </row>
    <row r="264" spans="1:11" x14ac:dyDescent="0.25">
      <c r="A264" s="29">
        <v>263</v>
      </c>
      <c r="B264" s="30">
        <f t="shared" si="9"/>
        <v>43672</v>
      </c>
      <c r="C264" s="30" t="s">
        <v>960</v>
      </c>
      <c r="D264" s="54" t="s">
        <v>957</v>
      </c>
      <c r="E264" s="25" t="s">
        <v>545</v>
      </c>
      <c r="F264" s="26" t="s">
        <v>546</v>
      </c>
      <c r="G264" s="25" t="s">
        <v>869</v>
      </c>
      <c r="H264" s="25" t="s">
        <v>875</v>
      </c>
      <c r="I264" s="33">
        <f t="shared" si="8"/>
        <v>44437</v>
      </c>
      <c r="J264" s="29">
        <v>23</v>
      </c>
      <c r="K264" s="31">
        <f>StockInData[[#This Row],[Quantity]]*2.5</f>
        <v>57.5</v>
      </c>
    </row>
    <row r="265" spans="1:11" x14ac:dyDescent="0.25">
      <c r="A265" s="29">
        <v>264</v>
      </c>
      <c r="B265" s="30">
        <f t="shared" si="9"/>
        <v>43673</v>
      </c>
      <c r="C265" s="30" t="s">
        <v>960</v>
      </c>
      <c r="D265" s="54" t="s">
        <v>957</v>
      </c>
      <c r="E265" s="25" t="s">
        <v>547</v>
      </c>
      <c r="F265" s="26" t="s">
        <v>548</v>
      </c>
      <c r="G265" s="25" t="s">
        <v>869</v>
      </c>
      <c r="H265" s="25" t="s">
        <v>875</v>
      </c>
      <c r="I265" s="33">
        <f t="shared" si="8"/>
        <v>44439</v>
      </c>
      <c r="J265" s="29">
        <v>65</v>
      </c>
      <c r="K265" s="31">
        <f>StockInData[[#This Row],[Quantity]]*2.5</f>
        <v>162.5</v>
      </c>
    </row>
    <row r="266" spans="1:11" x14ac:dyDescent="0.25">
      <c r="A266" s="29">
        <v>265</v>
      </c>
      <c r="B266" s="30">
        <f t="shared" si="9"/>
        <v>43674</v>
      </c>
      <c r="C266" s="30" t="s">
        <v>960</v>
      </c>
      <c r="D266" s="54" t="s">
        <v>957</v>
      </c>
      <c r="E266" s="25" t="s">
        <v>549</v>
      </c>
      <c r="F266" s="26" t="s">
        <v>550</v>
      </c>
      <c r="G266" s="25" t="s">
        <v>869</v>
      </c>
      <c r="H266" s="25" t="s">
        <v>875</v>
      </c>
      <c r="I266" s="33">
        <f t="shared" si="8"/>
        <v>44441</v>
      </c>
      <c r="J266" s="29">
        <v>74</v>
      </c>
      <c r="K266" s="31">
        <f>StockInData[[#This Row],[Quantity]]*2.5</f>
        <v>185</v>
      </c>
    </row>
    <row r="267" spans="1:11" x14ac:dyDescent="0.25">
      <c r="A267" s="29">
        <v>266</v>
      </c>
      <c r="B267" s="30">
        <f t="shared" si="9"/>
        <v>43675</v>
      </c>
      <c r="C267" s="30" t="s">
        <v>960</v>
      </c>
      <c r="D267" s="54" t="s">
        <v>957</v>
      </c>
      <c r="E267" s="25" t="s">
        <v>551</v>
      </c>
      <c r="F267" s="26" t="s">
        <v>552</v>
      </c>
      <c r="G267" s="25" t="s">
        <v>869</v>
      </c>
      <c r="H267" s="25" t="s">
        <v>875</v>
      </c>
      <c r="I267" s="33">
        <f t="shared" si="8"/>
        <v>44443</v>
      </c>
      <c r="J267" s="29">
        <v>84</v>
      </c>
      <c r="K267" s="31">
        <f>StockInData[[#This Row],[Quantity]]*2.5</f>
        <v>210</v>
      </c>
    </row>
    <row r="268" spans="1:11" x14ac:dyDescent="0.25">
      <c r="A268" s="29">
        <v>267</v>
      </c>
      <c r="B268" s="30">
        <f t="shared" si="9"/>
        <v>43676</v>
      </c>
      <c r="C268" s="30" t="s">
        <v>960</v>
      </c>
      <c r="D268" s="54" t="s">
        <v>957</v>
      </c>
      <c r="E268" s="25" t="s">
        <v>553</v>
      </c>
      <c r="F268" s="26" t="s">
        <v>554</v>
      </c>
      <c r="G268" s="25" t="s">
        <v>869</v>
      </c>
      <c r="H268" s="25" t="s">
        <v>875</v>
      </c>
      <c r="I268" s="33">
        <f t="shared" si="8"/>
        <v>44445</v>
      </c>
      <c r="J268" s="29">
        <v>99</v>
      </c>
      <c r="K268" s="31">
        <f>StockInData[[#This Row],[Quantity]]*2.5</f>
        <v>247.5</v>
      </c>
    </row>
    <row r="269" spans="1:11" x14ac:dyDescent="0.25">
      <c r="A269" s="29">
        <v>268</v>
      </c>
      <c r="B269" s="30">
        <f t="shared" si="9"/>
        <v>43677</v>
      </c>
      <c r="C269" s="30" t="s">
        <v>960</v>
      </c>
      <c r="D269" s="54" t="s">
        <v>957</v>
      </c>
      <c r="E269" s="25" t="s">
        <v>555</v>
      </c>
      <c r="F269" s="26" t="s">
        <v>556</v>
      </c>
      <c r="G269" s="25" t="s">
        <v>869</v>
      </c>
      <c r="H269" s="25" t="s">
        <v>875</v>
      </c>
      <c r="I269" s="33">
        <f t="shared" si="8"/>
        <v>44447</v>
      </c>
      <c r="J269" s="29">
        <v>101</v>
      </c>
      <c r="K269" s="31">
        <f>StockInData[[#This Row],[Quantity]]*2.5</f>
        <v>252.5</v>
      </c>
    </row>
    <row r="270" spans="1:11" x14ac:dyDescent="0.25">
      <c r="A270" s="29">
        <v>269</v>
      </c>
      <c r="B270" s="30">
        <f t="shared" si="9"/>
        <v>43678</v>
      </c>
      <c r="C270" s="30" t="s">
        <v>960</v>
      </c>
      <c r="D270" s="54" t="s">
        <v>957</v>
      </c>
      <c r="E270" s="25" t="s">
        <v>557</v>
      </c>
      <c r="F270" s="26" t="s">
        <v>558</v>
      </c>
      <c r="G270" s="25" t="s">
        <v>869</v>
      </c>
      <c r="H270" s="25" t="s">
        <v>875</v>
      </c>
      <c r="I270" s="33">
        <f t="shared" si="8"/>
        <v>44449</v>
      </c>
      <c r="J270" s="29">
        <v>60</v>
      </c>
      <c r="K270" s="31">
        <f>StockInData[[#This Row],[Quantity]]*2.5</f>
        <v>150</v>
      </c>
    </row>
    <row r="271" spans="1:11" x14ac:dyDescent="0.25">
      <c r="A271" s="29">
        <v>270</v>
      </c>
      <c r="B271" s="30">
        <f t="shared" si="9"/>
        <v>43679</v>
      </c>
      <c r="C271" s="30" t="s">
        <v>960</v>
      </c>
      <c r="D271" s="54" t="s">
        <v>957</v>
      </c>
      <c r="E271" s="25" t="s">
        <v>559</v>
      </c>
      <c r="F271" s="26" t="s">
        <v>560</v>
      </c>
      <c r="G271" s="25" t="s">
        <v>869</v>
      </c>
      <c r="H271" s="25" t="s">
        <v>875</v>
      </c>
      <c r="I271" s="33">
        <f t="shared" si="8"/>
        <v>44451</v>
      </c>
      <c r="J271" s="29">
        <v>40</v>
      </c>
      <c r="K271" s="31">
        <f>StockInData[[#This Row],[Quantity]]*2.5</f>
        <v>100</v>
      </c>
    </row>
    <row r="272" spans="1:11" x14ac:dyDescent="0.25">
      <c r="A272" s="29">
        <v>271</v>
      </c>
      <c r="B272" s="30">
        <f t="shared" si="9"/>
        <v>43680</v>
      </c>
      <c r="C272" s="30" t="s">
        <v>960</v>
      </c>
      <c r="D272" s="54" t="s">
        <v>957</v>
      </c>
      <c r="E272" s="25" t="s">
        <v>561</v>
      </c>
      <c r="F272" s="26" t="s">
        <v>562</v>
      </c>
      <c r="G272" s="25" t="s">
        <v>869</v>
      </c>
      <c r="H272" s="25" t="s">
        <v>875</v>
      </c>
      <c r="I272" s="33">
        <f t="shared" si="8"/>
        <v>44453</v>
      </c>
      <c r="J272" s="29">
        <v>30</v>
      </c>
      <c r="K272" s="31">
        <f>StockInData[[#This Row],[Quantity]]*2.5</f>
        <v>75</v>
      </c>
    </row>
    <row r="273" spans="1:11" x14ac:dyDescent="0.25">
      <c r="A273" s="29">
        <v>272</v>
      </c>
      <c r="B273" s="30">
        <f t="shared" si="9"/>
        <v>43681</v>
      </c>
      <c r="C273" s="30" t="s">
        <v>960</v>
      </c>
      <c r="D273" s="54" t="s">
        <v>957</v>
      </c>
      <c r="E273" s="25" t="s">
        <v>563</v>
      </c>
      <c r="F273" s="26" t="s">
        <v>564</v>
      </c>
      <c r="G273" s="25" t="s">
        <v>869</v>
      </c>
      <c r="H273" s="25" t="s">
        <v>875</v>
      </c>
      <c r="I273" s="33">
        <f t="shared" si="8"/>
        <v>44455</v>
      </c>
      <c r="J273" s="29">
        <v>25</v>
      </c>
      <c r="K273" s="31">
        <f>StockInData[[#This Row],[Quantity]]*2.5</f>
        <v>62.5</v>
      </c>
    </row>
    <row r="274" spans="1:11" x14ac:dyDescent="0.25">
      <c r="A274" s="29">
        <v>273</v>
      </c>
      <c r="B274" s="30">
        <f t="shared" si="9"/>
        <v>43682</v>
      </c>
      <c r="C274" s="30" t="s">
        <v>960</v>
      </c>
      <c r="D274" s="54" t="s">
        <v>957</v>
      </c>
      <c r="E274" s="25" t="s">
        <v>565</v>
      </c>
      <c r="F274" s="26" t="s">
        <v>566</v>
      </c>
      <c r="G274" s="25" t="s">
        <v>869</v>
      </c>
      <c r="H274" s="25" t="s">
        <v>875</v>
      </c>
      <c r="I274" s="33">
        <f t="shared" si="8"/>
        <v>44457</v>
      </c>
      <c r="J274" s="29">
        <v>20</v>
      </c>
      <c r="K274" s="31">
        <f>StockInData[[#This Row],[Quantity]]*2.5</f>
        <v>50</v>
      </c>
    </row>
    <row r="275" spans="1:11" x14ac:dyDescent="0.25">
      <c r="A275" s="29">
        <v>274</v>
      </c>
      <c r="B275" s="30">
        <f t="shared" si="9"/>
        <v>43683</v>
      </c>
      <c r="C275" s="30" t="s">
        <v>960</v>
      </c>
      <c r="D275" s="54" t="s">
        <v>957</v>
      </c>
      <c r="E275" s="25" t="s">
        <v>567</v>
      </c>
      <c r="F275" s="26" t="s">
        <v>568</v>
      </c>
      <c r="G275" s="25" t="s">
        <v>869</v>
      </c>
      <c r="H275" s="25" t="s">
        <v>875</v>
      </c>
      <c r="I275" s="33">
        <f t="shared" si="8"/>
        <v>44459</v>
      </c>
      <c r="J275" s="29">
        <v>19</v>
      </c>
      <c r="K275" s="31">
        <f>StockInData[[#This Row],[Quantity]]*2.5</f>
        <v>47.5</v>
      </c>
    </row>
    <row r="276" spans="1:11" x14ac:dyDescent="0.25">
      <c r="A276" s="29">
        <v>275</v>
      </c>
      <c r="B276" s="30">
        <f t="shared" si="9"/>
        <v>43684</v>
      </c>
      <c r="C276" s="30" t="s">
        <v>960</v>
      </c>
      <c r="D276" s="54" t="s">
        <v>957</v>
      </c>
      <c r="E276" s="25" t="s">
        <v>569</v>
      </c>
      <c r="F276" s="26" t="s">
        <v>570</v>
      </c>
      <c r="G276" s="25" t="s">
        <v>869</v>
      </c>
      <c r="H276" s="25" t="s">
        <v>875</v>
      </c>
      <c r="I276" s="33">
        <f t="shared" si="8"/>
        <v>44461</v>
      </c>
      <c r="J276" s="29">
        <v>23</v>
      </c>
      <c r="K276" s="31">
        <f>StockInData[[#This Row],[Quantity]]*2.5</f>
        <v>57.5</v>
      </c>
    </row>
    <row r="277" spans="1:11" x14ac:dyDescent="0.25">
      <c r="A277" s="29">
        <v>276</v>
      </c>
      <c r="B277" s="30">
        <f t="shared" si="9"/>
        <v>43685</v>
      </c>
      <c r="C277" s="30" t="s">
        <v>960</v>
      </c>
      <c r="D277" s="54" t="s">
        <v>957</v>
      </c>
      <c r="E277" s="25" t="s">
        <v>571</v>
      </c>
      <c r="F277" s="26" t="s">
        <v>572</v>
      </c>
      <c r="G277" s="25" t="s">
        <v>869</v>
      </c>
      <c r="H277" s="25" t="s">
        <v>875</v>
      </c>
      <c r="I277" s="33">
        <f t="shared" si="8"/>
        <v>44463</v>
      </c>
      <c r="J277" s="29">
        <v>65</v>
      </c>
      <c r="K277" s="31">
        <f>StockInData[[#This Row],[Quantity]]*2.5</f>
        <v>162.5</v>
      </c>
    </row>
    <row r="278" spans="1:11" x14ac:dyDescent="0.25">
      <c r="A278" s="29">
        <v>277</v>
      </c>
      <c r="B278" s="30">
        <f t="shared" si="9"/>
        <v>43686</v>
      </c>
      <c r="C278" s="30" t="s">
        <v>960</v>
      </c>
      <c r="D278" s="54" t="s">
        <v>957</v>
      </c>
      <c r="E278" s="25" t="s">
        <v>573</v>
      </c>
      <c r="F278" s="26" t="s">
        <v>574</v>
      </c>
      <c r="G278" s="25" t="s">
        <v>869</v>
      </c>
      <c r="H278" s="25" t="s">
        <v>875</v>
      </c>
      <c r="I278" s="33">
        <f t="shared" si="8"/>
        <v>44465</v>
      </c>
      <c r="J278" s="29">
        <v>74</v>
      </c>
      <c r="K278" s="31">
        <f>StockInData[[#This Row],[Quantity]]*2.5</f>
        <v>185</v>
      </c>
    </row>
    <row r="279" spans="1:11" x14ac:dyDescent="0.25">
      <c r="A279" s="29">
        <v>278</v>
      </c>
      <c r="B279" s="30">
        <f t="shared" si="9"/>
        <v>43687</v>
      </c>
      <c r="C279" s="30" t="s">
        <v>960</v>
      </c>
      <c r="D279" s="54" t="s">
        <v>957</v>
      </c>
      <c r="E279" s="25" t="s">
        <v>575</v>
      </c>
      <c r="F279" s="26" t="s">
        <v>576</v>
      </c>
      <c r="G279" s="25" t="s">
        <v>869</v>
      </c>
      <c r="H279" s="25" t="s">
        <v>875</v>
      </c>
      <c r="I279" s="33">
        <f t="shared" si="8"/>
        <v>44467</v>
      </c>
      <c r="J279" s="29">
        <v>84</v>
      </c>
      <c r="K279" s="31">
        <f>StockInData[[#This Row],[Quantity]]*2.5</f>
        <v>210</v>
      </c>
    </row>
    <row r="280" spans="1:11" x14ac:dyDescent="0.25">
      <c r="A280" s="29">
        <v>279</v>
      </c>
      <c r="B280" s="30">
        <f t="shared" si="9"/>
        <v>43688</v>
      </c>
      <c r="C280" s="30" t="s">
        <v>960</v>
      </c>
      <c r="D280" s="54" t="s">
        <v>957</v>
      </c>
      <c r="E280" s="25" t="s">
        <v>577</v>
      </c>
      <c r="F280" s="26" t="s">
        <v>578</v>
      </c>
      <c r="G280" s="25" t="s">
        <v>869</v>
      </c>
      <c r="H280" s="25" t="s">
        <v>875</v>
      </c>
      <c r="I280" s="33">
        <f t="shared" si="8"/>
        <v>44469</v>
      </c>
      <c r="J280" s="29">
        <v>99</v>
      </c>
      <c r="K280" s="31">
        <f>StockInData[[#This Row],[Quantity]]*2.5</f>
        <v>247.5</v>
      </c>
    </row>
    <row r="281" spans="1:11" x14ac:dyDescent="0.25">
      <c r="A281" s="29">
        <v>280</v>
      </c>
      <c r="B281" s="30">
        <f t="shared" si="9"/>
        <v>43689</v>
      </c>
      <c r="C281" s="30" t="s">
        <v>960</v>
      </c>
      <c r="D281" s="54" t="s">
        <v>957</v>
      </c>
      <c r="E281" s="25" t="s">
        <v>579</v>
      </c>
      <c r="F281" s="26" t="s">
        <v>580</v>
      </c>
      <c r="G281" s="25" t="s">
        <v>869</v>
      </c>
      <c r="H281" s="25" t="s">
        <v>875</v>
      </c>
      <c r="I281" s="33">
        <f t="shared" si="8"/>
        <v>44471</v>
      </c>
      <c r="J281" s="29">
        <v>101</v>
      </c>
      <c r="K281" s="31">
        <f>StockInData[[#This Row],[Quantity]]*2.5</f>
        <v>252.5</v>
      </c>
    </row>
    <row r="282" spans="1:11" x14ac:dyDescent="0.25">
      <c r="A282" s="29">
        <v>281</v>
      </c>
      <c r="B282" s="30">
        <f t="shared" si="9"/>
        <v>43690</v>
      </c>
      <c r="C282" s="30" t="s">
        <v>960</v>
      </c>
      <c r="D282" s="54" t="s">
        <v>957</v>
      </c>
      <c r="E282" s="25" t="s">
        <v>581</v>
      </c>
      <c r="F282" s="26" t="s">
        <v>582</v>
      </c>
      <c r="G282" s="25" t="s">
        <v>869</v>
      </c>
      <c r="H282" s="25" t="s">
        <v>875</v>
      </c>
      <c r="I282" s="33">
        <f t="shared" si="8"/>
        <v>44473</v>
      </c>
      <c r="J282" s="29">
        <v>60</v>
      </c>
      <c r="K282" s="31">
        <f>StockInData[[#This Row],[Quantity]]*2.5</f>
        <v>150</v>
      </c>
    </row>
    <row r="283" spans="1:11" x14ac:dyDescent="0.25">
      <c r="A283" s="29">
        <v>282</v>
      </c>
      <c r="B283" s="30">
        <f t="shared" si="9"/>
        <v>43691</v>
      </c>
      <c r="C283" s="30" t="s">
        <v>960</v>
      </c>
      <c r="D283" s="54" t="s">
        <v>957</v>
      </c>
      <c r="E283" s="25" t="s">
        <v>583</v>
      </c>
      <c r="F283" s="26" t="s">
        <v>584</v>
      </c>
      <c r="G283" s="25" t="s">
        <v>869</v>
      </c>
      <c r="H283" s="25" t="s">
        <v>875</v>
      </c>
      <c r="I283" s="33">
        <f t="shared" si="8"/>
        <v>44475</v>
      </c>
      <c r="J283" s="29">
        <v>40</v>
      </c>
      <c r="K283" s="31">
        <f>StockInData[[#This Row],[Quantity]]*2.5</f>
        <v>100</v>
      </c>
    </row>
    <row r="284" spans="1:11" x14ac:dyDescent="0.25">
      <c r="A284" s="29">
        <v>283</v>
      </c>
      <c r="B284" s="30">
        <f t="shared" si="9"/>
        <v>43692</v>
      </c>
      <c r="C284" s="30" t="s">
        <v>960</v>
      </c>
      <c r="D284" s="54" t="s">
        <v>957</v>
      </c>
      <c r="E284" s="25" t="s">
        <v>585</v>
      </c>
      <c r="F284" s="26" t="s">
        <v>586</v>
      </c>
      <c r="G284" s="25" t="s">
        <v>869</v>
      </c>
      <c r="H284" s="25" t="s">
        <v>875</v>
      </c>
      <c r="I284" s="33">
        <f t="shared" si="8"/>
        <v>44477</v>
      </c>
      <c r="J284" s="29">
        <v>30</v>
      </c>
      <c r="K284" s="31">
        <f>StockInData[[#This Row],[Quantity]]*2.5</f>
        <v>75</v>
      </c>
    </row>
    <row r="285" spans="1:11" x14ac:dyDescent="0.25">
      <c r="A285" s="29">
        <v>284</v>
      </c>
      <c r="B285" s="30">
        <f t="shared" si="9"/>
        <v>43693</v>
      </c>
      <c r="C285" s="30" t="s">
        <v>960</v>
      </c>
      <c r="D285" s="54" t="s">
        <v>957</v>
      </c>
      <c r="E285" s="25" t="s">
        <v>587</v>
      </c>
      <c r="F285" s="26" t="s">
        <v>588</v>
      </c>
      <c r="G285" s="25" t="s">
        <v>869</v>
      </c>
      <c r="H285" s="25" t="s">
        <v>875</v>
      </c>
      <c r="I285" s="33">
        <f t="shared" si="8"/>
        <v>44479</v>
      </c>
      <c r="J285" s="29">
        <v>25</v>
      </c>
      <c r="K285" s="31">
        <f>StockInData[[#This Row],[Quantity]]*2.5</f>
        <v>62.5</v>
      </c>
    </row>
    <row r="286" spans="1:11" x14ac:dyDescent="0.25">
      <c r="A286" s="29">
        <v>285</v>
      </c>
      <c r="B286" s="30">
        <f t="shared" si="9"/>
        <v>43694</v>
      </c>
      <c r="C286" s="30" t="s">
        <v>960</v>
      </c>
      <c r="D286" s="54" t="s">
        <v>957</v>
      </c>
      <c r="E286" s="25" t="s">
        <v>589</v>
      </c>
      <c r="F286" s="26" t="s">
        <v>590</v>
      </c>
      <c r="G286" s="25" t="s">
        <v>869</v>
      </c>
      <c r="H286" s="25" t="s">
        <v>875</v>
      </c>
      <c r="I286" s="33">
        <f t="shared" si="8"/>
        <v>44481</v>
      </c>
      <c r="J286" s="29">
        <v>20</v>
      </c>
      <c r="K286" s="31">
        <f>StockInData[[#This Row],[Quantity]]*2.5</f>
        <v>50</v>
      </c>
    </row>
    <row r="287" spans="1:11" x14ac:dyDescent="0.25">
      <c r="A287" s="29">
        <v>286</v>
      </c>
      <c r="B287" s="30">
        <f t="shared" si="9"/>
        <v>43695</v>
      </c>
      <c r="C287" s="30" t="s">
        <v>960</v>
      </c>
      <c r="D287" s="54" t="s">
        <v>957</v>
      </c>
      <c r="E287" s="25" t="s">
        <v>591</v>
      </c>
      <c r="F287" s="26" t="s">
        <v>592</v>
      </c>
      <c r="G287" s="25" t="s">
        <v>869</v>
      </c>
      <c r="H287" s="25" t="s">
        <v>875</v>
      </c>
      <c r="I287" s="33">
        <f t="shared" si="8"/>
        <v>44483</v>
      </c>
      <c r="J287" s="29">
        <v>19</v>
      </c>
      <c r="K287" s="31">
        <f>StockInData[[#This Row],[Quantity]]*2.5</f>
        <v>47.5</v>
      </c>
    </row>
    <row r="288" spans="1:11" x14ac:dyDescent="0.25">
      <c r="A288" s="29">
        <v>287</v>
      </c>
      <c r="B288" s="30">
        <f t="shared" si="9"/>
        <v>43696</v>
      </c>
      <c r="C288" s="30" t="s">
        <v>960</v>
      </c>
      <c r="D288" s="54" t="s">
        <v>957</v>
      </c>
      <c r="E288" s="25" t="s">
        <v>593</v>
      </c>
      <c r="F288" s="26" t="s">
        <v>594</v>
      </c>
      <c r="G288" s="25" t="s">
        <v>869</v>
      </c>
      <c r="H288" s="25" t="s">
        <v>875</v>
      </c>
      <c r="I288" s="33">
        <f t="shared" si="8"/>
        <v>44485</v>
      </c>
      <c r="J288" s="29">
        <v>23</v>
      </c>
      <c r="K288" s="31">
        <f>StockInData[[#This Row],[Quantity]]*2.5</f>
        <v>57.5</v>
      </c>
    </row>
    <row r="289" spans="1:11" x14ac:dyDescent="0.25">
      <c r="A289" s="29">
        <v>288</v>
      </c>
      <c r="B289" s="30">
        <f t="shared" si="9"/>
        <v>43697</v>
      </c>
      <c r="C289" s="30" t="s">
        <v>960</v>
      </c>
      <c r="D289" s="54" t="s">
        <v>957</v>
      </c>
      <c r="E289" s="25" t="s">
        <v>595</v>
      </c>
      <c r="F289" s="26" t="s">
        <v>596</v>
      </c>
      <c r="G289" s="25" t="s">
        <v>869</v>
      </c>
      <c r="H289" s="25" t="s">
        <v>875</v>
      </c>
      <c r="I289" s="33">
        <f t="shared" si="8"/>
        <v>44487</v>
      </c>
      <c r="J289" s="29">
        <v>65</v>
      </c>
      <c r="K289" s="31">
        <f>StockInData[[#This Row],[Quantity]]*2.5</f>
        <v>162.5</v>
      </c>
    </row>
    <row r="290" spans="1:11" x14ac:dyDescent="0.25">
      <c r="A290" s="29">
        <v>289</v>
      </c>
      <c r="B290" s="30">
        <f t="shared" si="9"/>
        <v>43698</v>
      </c>
      <c r="C290" s="30" t="s">
        <v>960</v>
      </c>
      <c r="D290" s="54" t="s">
        <v>957</v>
      </c>
      <c r="E290" s="25" t="s">
        <v>597</v>
      </c>
      <c r="F290" s="26" t="s">
        <v>598</v>
      </c>
      <c r="G290" s="25" t="s">
        <v>869</v>
      </c>
      <c r="H290" s="25" t="s">
        <v>875</v>
      </c>
      <c r="I290" s="33">
        <f t="shared" si="8"/>
        <v>44489</v>
      </c>
      <c r="J290" s="29">
        <v>74</v>
      </c>
      <c r="K290" s="31">
        <f>StockInData[[#This Row],[Quantity]]*2.5</f>
        <v>185</v>
      </c>
    </row>
    <row r="291" spans="1:11" x14ac:dyDescent="0.25">
      <c r="A291" s="29">
        <v>290</v>
      </c>
      <c r="B291" s="30">
        <f t="shared" si="9"/>
        <v>43699</v>
      </c>
      <c r="C291" s="30" t="s">
        <v>960</v>
      </c>
      <c r="D291" s="54" t="s">
        <v>957</v>
      </c>
      <c r="E291" s="25" t="s">
        <v>599</v>
      </c>
      <c r="F291" s="26" t="s">
        <v>600</v>
      </c>
      <c r="G291" s="25" t="s">
        <v>869</v>
      </c>
      <c r="H291" s="25" t="s">
        <v>875</v>
      </c>
      <c r="I291" s="33">
        <f t="shared" si="8"/>
        <v>44491</v>
      </c>
      <c r="J291" s="29">
        <v>84</v>
      </c>
      <c r="K291" s="31">
        <f>StockInData[[#This Row],[Quantity]]*2.5</f>
        <v>210</v>
      </c>
    </row>
    <row r="292" spans="1:11" x14ac:dyDescent="0.25">
      <c r="A292" s="29">
        <v>291</v>
      </c>
      <c r="B292" s="30">
        <f t="shared" si="9"/>
        <v>43700</v>
      </c>
      <c r="C292" s="30" t="s">
        <v>960</v>
      </c>
      <c r="D292" s="54" t="s">
        <v>957</v>
      </c>
      <c r="E292" s="25" t="s">
        <v>601</v>
      </c>
      <c r="F292" s="26" t="s">
        <v>602</v>
      </c>
      <c r="G292" s="25" t="s">
        <v>869</v>
      </c>
      <c r="H292" s="25" t="s">
        <v>875</v>
      </c>
      <c r="I292" s="33">
        <f t="shared" si="8"/>
        <v>44493</v>
      </c>
      <c r="J292" s="29">
        <v>99</v>
      </c>
      <c r="K292" s="31">
        <f>StockInData[[#This Row],[Quantity]]*2.5</f>
        <v>247.5</v>
      </c>
    </row>
    <row r="293" spans="1:11" x14ac:dyDescent="0.25">
      <c r="A293" s="29">
        <v>292</v>
      </c>
      <c r="B293" s="30">
        <f t="shared" si="9"/>
        <v>43701</v>
      </c>
      <c r="C293" s="30" t="s">
        <v>960</v>
      </c>
      <c r="D293" s="54" t="s">
        <v>957</v>
      </c>
      <c r="E293" s="27" t="s">
        <v>603</v>
      </c>
      <c r="F293" s="28" t="s">
        <v>604</v>
      </c>
      <c r="G293" s="25" t="s">
        <v>869</v>
      </c>
      <c r="H293" s="25" t="s">
        <v>875</v>
      </c>
      <c r="I293" s="33">
        <f t="shared" si="8"/>
        <v>44495</v>
      </c>
      <c r="J293" s="29">
        <v>101</v>
      </c>
      <c r="K293" s="31">
        <f>StockInData[[#This Row],[Quantity]]*2.5</f>
        <v>252.5</v>
      </c>
    </row>
    <row r="294" spans="1:11" x14ac:dyDescent="0.25">
      <c r="A294" s="29">
        <v>293</v>
      </c>
      <c r="B294" s="30">
        <f t="shared" si="9"/>
        <v>43702</v>
      </c>
      <c r="C294" s="30" t="s">
        <v>960</v>
      </c>
      <c r="D294" s="54" t="s">
        <v>957</v>
      </c>
      <c r="E294" s="27" t="s">
        <v>605</v>
      </c>
      <c r="F294" s="28" t="s">
        <v>606</v>
      </c>
      <c r="G294" s="25" t="s">
        <v>869</v>
      </c>
      <c r="H294" s="25" t="s">
        <v>875</v>
      </c>
      <c r="I294" s="33">
        <f t="shared" si="8"/>
        <v>44497</v>
      </c>
      <c r="J294" s="29">
        <v>100</v>
      </c>
      <c r="K294" s="31">
        <f>StockInData[[#This Row],[Quantity]]*2.5</f>
        <v>250</v>
      </c>
    </row>
    <row r="295" spans="1:11" x14ac:dyDescent="0.25">
      <c r="A295" s="29">
        <v>294</v>
      </c>
      <c r="B295" s="30">
        <f t="shared" si="9"/>
        <v>43703</v>
      </c>
      <c r="C295" s="30" t="s">
        <v>960</v>
      </c>
      <c r="D295" s="54" t="s">
        <v>957</v>
      </c>
      <c r="E295" s="27" t="s">
        <v>607</v>
      </c>
      <c r="F295" s="28" t="s">
        <v>608</v>
      </c>
      <c r="G295" s="25" t="s">
        <v>869</v>
      </c>
      <c r="H295" s="25" t="s">
        <v>875</v>
      </c>
      <c r="I295" s="33">
        <f t="shared" si="8"/>
        <v>44499</v>
      </c>
      <c r="J295" s="29">
        <v>60</v>
      </c>
      <c r="K295" s="31">
        <f>StockInData[[#This Row],[Quantity]]*2.5</f>
        <v>150</v>
      </c>
    </row>
    <row r="296" spans="1:11" x14ac:dyDescent="0.25">
      <c r="A296" s="29">
        <v>295</v>
      </c>
      <c r="B296" s="30">
        <f t="shared" si="9"/>
        <v>43704</v>
      </c>
      <c r="C296" s="30" t="s">
        <v>960</v>
      </c>
      <c r="D296" s="54" t="s">
        <v>957</v>
      </c>
      <c r="E296" s="27" t="s">
        <v>609</v>
      </c>
      <c r="F296" s="28" t="s">
        <v>610</v>
      </c>
      <c r="G296" s="25" t="s">
        <v>869</v>
      </c>
      <c r="H296" s="25" t="s">
        <v>875</v>
      </c>
      <c r="I296" s="33">
        <f t="shared" si="8"/>
        <v>44501</v>
      </c>
      <c r="J296" s="29">
        <v>40</v>
      </c>
      <c r="K296" s="31">
        <f>StockInData[[#This Row],[Quantity]]*2.5</f>
        <v>100</v>
      </c>
    </row>
    <row r="297" spans="1:11" x14ac:dyDescent="0.25">
      <c r="A297" s="29">
        <v>296</v>
      </c>
      <c r="B297" s="30">
        <f t="shared" si="9"/>
        <v>43705</v>
      </c>
      <c r="C297" s="30" t="s">
        <v>960</v>
      </c>
      <c r="D297" s="54" t="s">
        <v>957</v>
      </c>
      <c r="E297" s="27" t="s">
        <v>611</v>
      </c>
      <c r="F297" s="28" t="s">
        <v>612</v>
      </c>
      <c r="G297" s="25" t="s">
        <v>869</v>
      </c>
      <c r="H297" s="25" t="s">
        <v>875</v>
      </c>
      <c r="I297" s="33">
        <f t="shared" si="8"/>
        <v>44503</v>
      </c>
      <c r="J297" s="29">
        <v>30</v>
      </c>
      <c r="K297" s="31">
        <f>StockInData[[#This Row],[Quantity]]*2.5</f>
        <v>75</v>
      </c>
    </row>
    <row r="298" spans="1:11" x14ac:dyDescent="0.25">
      <c r="A298" s="29">
        <v>297</v>
      </c>
      <c r="B298" s="30">
        <f t="shared" si="9"/>
        <v>43706</v>
      </c>
      <c r="C298" s="30" t="s">
        <v>960</v>
      </c>
      <c r="D298" s="54" t="s">
        <v>957</v>
      </c>
      <c r="E298" s="27" t="s">
        <v>613</v>
      </c>
      <c r="F298" s="28" t="s">
        <v>614</v>
      </c>
      <c r="G298" s="25" t="s">
        <v>869</v>
      </c>
      <c r="H298" s="25" t="s">
        <v>875</v>
      </c>
      <c r="I298" s="33">
        <f t="shared" si="8"/>
        <v>44505</v>
      </c>
      <c r="J298" s="29">
        <v>25</v>
      </c>
      <c r="K298" s="31">
        <f>StockInData[[#This Row],[Quantity]]*2.5</f>
        <v>62.5</v>
      </c>
    </row>
    <row r="299" spans="1:11" x14ac:dyDescent="0.25">
      <c r="A299" s="29">
        <v>298</v>
      </c>
      <c r="B299" s="30">
        <f t="shared" si="9"/>
        <v>43707</v>
      </c>
      <c r="C299" s="30" t="s">
        <v>960</v>
      </c>
      <c r="D299" s="54" t="s">
        <v>957</v>
      </c>
      <c r="E299" s="27" t="s">
        <v>615</v>
      </c>
      <c r="F299" s="28" t="s">
        <v>616</v>
      </c>
      <c r="G299" s="25" t="s">
        <v>869</v>
      </c>
      <c r="H299" s="25" t="s">
        <v>875</v>
      </c>
      <c r="I299" s="33">
        <f t="shared" si="8"/>
        <v>44507</v>
      </c>
      <c r="J299" s="29">
        <v>20</v>
      </c>
      <c r="K299" s="31">
        <f>StockInData[[#This Row],[Quantity]]*2.5</f>
        <v>50</v>
      </c>
    </row>
    <row r="300" spans="1:11" x14ac:dyDescent="0.25">
      <c r="A300" s="29">
        <v>299</v>
      </c>
      <c r="B300" s="30">
        <f t="shared" si="9"/>
        <v>43708</v>
      </c>
      <c r="C300" s="30" t="s">
        <v>960</v>
      </c>
      <c r="D300" s="54" t="s">
        <v>957</v>
      </c>
      <c r="E300" s="27" t="s">
        <v>617</v>
      </c>
      <c r="F300" s="28" t="s">
        <v>618</v>
      </c>
      <c r="G300" s="25" t="s">
        <v>869</v>
      </c>
      <c r="H300" s="25" t="s">
        <v>875</v>
      </c>
      <c r="I300" s="33">
        <f t="shared" si="8"/>
        <v>44509</v>
      </c>
      <c r="J300" s="29">
        <v>19</v>
      </c>
      <c r="K300" s="31">
        <f>StockInData[[#This Row],[Quantity]]*2.5</f>
        <v>47.5</v>
      </c>
    </row>
    <row r="301" spans="1:11" x14ac:dyDescent="0.25">
      <c r="A301" s="29">
        <v>300</v>
      </c>
      <c r="B301" s="30">
        <f t="shared" si="9"/>
        <v>43709</v>
      </c>
      <c r="C301" s="30" t="s">
        <v>960</v>
      </c>
      <c r="D301" s="54" t="s">
        <v>957</v>
      </c>
      <c r="E301" s="27" t="s">
        <v>619</v>
      </c>
      <c r="F301" s="28" t="s">
        <v>620</v>
      </c>
      <c r="G301" s="25" t="s">
        <v>869</v>
      </c>
      <c r="H301" s="25" t="s">
        <v>875</v>
      </c>
      <c r="I301" s="33">
        <f t="shared" si="8"/>
        <v>44511</v>
      </c>
      <c r="J301" s="29">
        <v>23</v>
      </c>
      <c r="K301" s="31">
        <f>StockInData[[#This Row],[Quantity]]*2.5</f>
        <v>57.5</v>
      </c>
    </row>
    <row r="302" spans="1:11" x14ac:dyDescent="0.25">
      <c r="A302" s="29">
        <v>301</v>
      </c>
      <c r="B302" s="30">
        <f t="shared" si="9"/>
        <v>43710</v>
      </c>
      <c r="C302" s="30" t="s">
        <v>960</v>
      </c>
      <c r="D302" s="54" t="s">
        <v>957</v>
      </c>
      <c r="E302" s="27" t="s">
        <v>621</v>
      </c>
      <c r="F302" s="28" t="s">
        <v>622</v>
      </c>
      <c r="G302" s="25" t="s">
        <v>869</v>
      </c>
      <c r="H302" s="25" t="s">
        <v>875</v>
      </c>
      <c r="I302" s="33">
        <f t="shared" si="8"/>
        <v>44513</v>
      </c>
      <c r="J302" s="29">
        <v>65</v>
      </c>
      <c r="K302" s="31">
        <f>StockInData[[#This Row],[Quantity]]*2.5</f>
        <v>162.5</v>
      </c>
    </row>
    <row r="303" spans="1:11" x14ac:dyDescent="0.25">
      <c r="A303" s="29">
        <v>302</v>
      </c>
      <c r="B303" s="30">
        <f t="shared" si="9"/>
        <v>43711</v>
      </c>
      <c r="C303" s="30" t="s">
        <v>960</v>
      </c>
      <c r="D303" s="54" t="s">
        <v>957</v>
      </c>
      <c r="E303" s="27" t="s">
        <v>623</v>
      </c>
      <c r="F303" s="28" t="s">
        <v>624</v>
      </c>
      <c r="G303" s="25" t="s">
        <v>869</v>
      </c>
      <c r="H303" s="25" t="s">
        <v>875</v>
      </c>
      <c r="I303" s="33">
        <f t="shared" si="8"/>
        <v>44515</v>
      </c>
      <c r="J303" s="29">
        <v>74</v>
      </c>
      <c r="K303" s="31">
        <f>StockInData[[#This Row],[Quantity]]*2.5</f>
        <v>185</v>
      </c>
    </row>
    <row r="304" spans="1:11" x14ac:dyDescent="0.25">
      <c r="A304" s="29">
        <v>303</v>
      </c>
      <c r="B304" s="30">
        <f t="shared" si="9"/>
        <v>43712</v>
      </c>
      <c r="C304" s="30" t="s">
        <v>960</v>
      </c>
      <c r="D304" s="54" t="s">
        <v>957</v>
      </c>
      <c r="E304" s="27" t="s">
        <v>625</v>
      </c>
      <c r="F304" s="28" t="s">
        <v>626</v>
      </c>
      <c r="G304" s="25" t="s">
        <v>869</v>
      </c>
      <c r="H304" s="25" t="s">
        <v>875</v>
      </c>
      <c r="I304" s="33">
        <f t="shared" si="8"/>
        <v>44517</v>
      </c>
      <c r="J304" s="29">
        <v>84</v>
      </c>
      <c r="K304" s="31">
        <f>StockInData[[#This Row],[Quantity]]*2.5</f>
        <v>210</v>
      </c>
    </row>
    <row r="305" spans="1:11" x14ac:dyDescent="0.25">
      <c r="A305" s="29">
        <v>304</v>
      </c>
      <c r="B305" s="30">
        <f t="shared" si="9"/>
        <v>43713</v>
      </c>
      <c r="C305" s="30" t="s">
        <v>960</v>
      </c>
      <c r="D305" s="54" t="s">
        <v>957</v>
      </c>
      <c r="E305" s="27" t="s">
        <v>627</v>
      </c>
      <c r="F305" s="28" t="s">
        <v>628</v>
      </c>
      <c r="G305" s="25" t="s">
        <v>869</v>
      </c>
      <c r="H305" s="25" t="s">
        <v>875</v>
      </c>
      <c r="I305" s="33">
        <f t="shared" si="8"/>
        <v>44519</v>
      </c>
      <c r="J305" s="29">
        <v>99</v>
      </c>
      <c r="K305" s="31">
        <f>StockInData[[#This Row],[Quantity]]*2.5</f>
        <v>247.5</v>
      </c>
    </row>
    <row r="306" spans="1:11" x14ac:dyDescent="0.25">
      <c r="A306" s="29">
        <v>305</v>
      </c>
      <c r="B306" s="30">
        <f t="shared" si="9"/>
        <v>43714</v>
      </c>
      <c r="C306" s="30" t="s">
        <v>960</v>
      </c>
      <c r="D306" s="54" t="s">
        <v>957</v>
      </c>
      <c r="E306" s="27" t="s">
        <v>629</v>
      </c>
      <c r="F306" s="28" t="s">
        <v>630</v>
      </c>
      <c r="G306" s="25" t="s">
        <v>869</v>
      </c>
      <c r="H306" s="25" t="s">
        <v>875</v>
      </c>
      <c r="I306" s="33">
        <f t="shared" si="8"/>
        <v>44521</v>
      </c>
      <c r="J306" s="29">
        <v>101</v>
      </c>
      <c r="K306" s="31">
        <f>StockInData[[#This Row],[Quantity]]*2.5</f>
        <v>252.5</v>
      </c>
    </row>
    <row r="307" spans="1:11" x14ac:dyDescent="0.25">
      <c r="A307" s="29">
        <v>306</v>
      </c>
      <c r="B307" s="30">
        <f t="shared" si="9"/>
        <v>43715</v>
      </c>
      <c r="C307" s="30" t="s">
        <v>960</v>
      </c>
      <c r="D307" s="54" t="s">
        <v>957</v>
      </c>
      <c r="E307" s="27" t="s">
        <v>631</v>
      </c>
      <c r="F307" s="28" t="s">
        <v>632</v>
      </c>
      <c r="G307" s="25" t="s">
        <v>869</v>
      </c>
      <c r="H307" s="25" t="s">
        <v>875</v>
      </c>
      <c r="I307" s="33">
        <f t="shared" si="8"/>
        <v>44523</v>
      </c>
      <c r="J307" s="29">
        <v>100</v>
      </c>
      <c r="K307" s="31">
        <f>StockInData[[#This Row],[Quantity]]*2.5</f>
        <v>250</v>
      </c>
    </row>
    <row r="308" spans="1:11" x14ac:dyDescent="0.25">
      <c r="A308" s="29">
        <v>307</v>
      </c>
      <c r="B308" s="30">
        <f t="shared" si="9"/>
        <v>43716</v>
      </c>
      <c r="C308" s="30" t="s">
        <v>960</v>
      </c>
      <c r="D308" s="54" t="s">
        <v>957</v>
      </c>
      <c r="E308" s="27" t="s">
        <v>633</v>
      </c>
      <c r="F308" s="28" t="s">
        <v>634</v>
      </c>
      <c r="G308" s="25" t="s">
        <v>869</v>
      </c>
      <c r="H308" s="25" t="s">
        <v>875</v>
      </c>
      <c r="I308" s="33">
        <f t="shared" si="8"/>
        <v>44525</v>
      </c>
      <c r="J308" s="29">
        <v>100</v>
      </c>
      <c r="K308" s="31">
        <f>StockInData[[#This Row],[Quantity]]*2.5</f>
        <v>250</v>
      </c>
    </row>
    <row r="309" spans="1:11" x14ac:dyDescent="0.25">
      <c r="A309" s="29">
        <v>308</v>
      </c>
      <c r="B309" s="30">
        <f t="shared" si="9"/>
        <v>43717</v>
      </c>
      <c r="C309" s="30" t="s">
        <v>960</v>
      </c>
      <c r="D309" s="54" t="s">
        <v>957</v>
      </c>
      <c r="E309" s="27" t="s">
        <v>635</v>
      </c>
      <c r="F309" s="28" t="s">
        <v>636</v>
      </c>
      <c r="G309" s="25" t="s">
        <v>869</v>
      </c>
      <c r="H309" s="25" t="s">
        <v>875</v>
      </c>
      <c r="I309" s="33">
        <f t="shared" si="8"/>
        <v>44527</v>
      </c>
      <c r="J309" s="29">
        <v>100</v>
      </c>
      <c r="K309" s="31">
        <f>StockInData[[#This Row],[Quantity]]*2.5</f>
        <v>250</v>
      </c>
    </row>
    <row r="310" spans="1:11" x14ac:dyDescent="0.25">
      <c r="A310" s="29">
        <v>309</v>
      </c>
      <c r="B310" s="30">
        <f t="shared" si="9"/>
        <v>43718</v>
      </c>
      <c r="C310" s="30" t="s">
        <v>960</v>
      </c>
      <c r="D310" s="54" t="s">
        <v>957</v>
      </c>
      <c r="E310" s="27" t="s">
        <v>637</v>
      </c>
      <c r="F310" s="28" t="s">
        <v>638</v>
      </c>
      <c r="G310" s="25" t="s">
        <v>869</v>
      </c>
      <c r="H310" s="25" t="s">
        <v>875</v>
      </c>
      <c r="I310" s="33">
        <f t="shared" si="8"/>
        <v>44529</v>
      </c>
      <c r="J310" s="29">
        <v>100</v>
      </c>
      <c r="K310" s="31">
        <f>StockInData[[#This Row],[Quantity]]*2.5</f>
        <v>250</v>
      </c>
    </row>
    <row r="311" spans="1:11" x14ac:dyDescent="0.25">
      <c r="A311" s="29">
        <v>310</v>
      </c>
      <c r="B311" s="30">
        <f t="shared" si="9"/>
        <v>43719</v>
      </c>
      <c r="C311" s="30" t="s">
        <v>960</v>
      </c>
      <c r="D311" s="54" t="s">
        <v>957</v>
      </c>
      <c r="E311" s="27" t="s">
        <v>639</v>
      </c>
      <c r="F311" s="28" t="s">
        <v>640</v>
      </c>
      <c r="G311" s="25" t="s">
        <v>869</v>
      </c>
      <c r="H311" s="25" t="s">
        <v>875</v>
      </c>
      <c r="I311" s="33">
        <f t="shared" si="8"/>
        <v>44531</v>
      </c>
      <c r="J311" s="29">
        <v>40</v>
      </c>
      <c r="K311" s="31">
        <f>StockInData[[#This Row],[Quantity]]*2.5</f>
        <v>100</v>
      </c>
    </row>
    <row r="312" spans="1:11" x14ac:dyDescent="0.25">
      <c r="A312" s="29">
        <v>311</v>
      </c>
      <c r="B312" s="30">
        <f t="shared" si="9"/>
        <v>43720</v>
      </c>
      <c r="C312" s="30" t="s">
        <v>960</v>
      </c>
      <c r="D312" s="54" t="s">
        <v>957</v>
      </c>
      <c r="E312" s="27" t="s">
        <v>641</v>
      </c>
      <c r="F312" s="28" t="s">
        <v>642</v>
      </c>
      <c r="G312" s="25" t="s">
        <v>869</v>
      </c>
      <c r="H312" s="25" t="s">
        <v>875</v>
      </c>
      <c r="I312" s="33">
        <f t="shared" si="8"/>
        <v>44533</v>
      </c>
      <c r="J312" s="29">
        <v>30</v>
      </c>
      <c r="K312" s="31">
        <f>StockInData[[#This Row],[Quantity]]*2.5</f>
        <v>75</v>
      </c>
    </row>
    <row r="313" spans="1:11" x14ac:dyDescent="0.25">
      <c r="A313" s="29">
        <v>312</v>
      </c>
      <c r="B313" s="30">
        <f t="shared" si="9"/>
        <v>43721</v>
      </c>
      <c r="C313" s="30" t="s">
        <v>960</v>
      </c>
      <c r="D313" s="54" t="s">
        <v>957</v>
      </c>
      <c r="E313" s="27" t="s">
        <v>643</v>
      </c>
      <c r="F313" s="28" t="s">
        <v>644</v>
      </c>
      <c r="G313" s="25" t="s">
        <v>869</v>
      </c>
      <c r="H313" s="25" t="s">
        <v>875</v>
      </c>
      <c r="I313" s="33">
        <f t="shared" si="8"/>
        <v>44535</v>
      </c>
      <c r="J313" s="29">
        <v>25</v>
      </c>
      <c r="K313" s="31">
        <f>StockInData[[#This Row],[Quantity]]*2.5</f>
        <v>62.5</v>
      </c>
    </row>
    <row r="314" spans="1:11" x14ac:dyDescent="0.25">
      <c r="A314" s="29">
        <v>313</v>
      </c>
      <c r="B314" s="30">
        <f t="shared" si="9"/>
        <v>43722</v>
      </c>
      <c r="C314" s="30" t="s">
        <v>960</v>
      </c>
      <c r="D314" s="54" t="s">
        <v>957</v>
      </c>
      <c r="E314" s="27" t="s">
        <v>645</v>
      </c>
      <c r="F314" s="28" t="s">
        <v>646</v>
      </c>
      <c r="G314" s="25" t="s">
        <v>869</v>
      </c>
      <c r="H314" s="25" t="s">
        <v>875</v>
      </c>
      <c r="I314" s="33">
        <f t="shared" si="8"/>
        <v>44537</v>
      </c>
      <c r="J314" s="29">
        <v>20</v>
      </c>
      <c r="K314" s="31">
        <f>StockInData[[#This Row],[Quantity]]*2.5</f>
        <v>50</v>
      </c>
    </row>
    <row r="315" spans="1:11" x14ac:dyDescent="0.25">
      <c r="A315" s="29">
        <v>314</v>
      </c>
      <c r="B315" s="30">
        <f t="shared" si="9"/>
        <v>43723</v>
      </c>
      <c r="C315" s="30" t="s">
        <v>960</v>
      </c>
      <c r="D315" s="54" t="s">
        <v>957</v>
      </c>
      <c r="E315" s="27" t="s">
        <v>647</v>
      </c>
      <c r="F315" s="28" t="s">
        <v>648</v>
      </c>
      <c r="G315" s="25" t="s">
        <v>869</v>
      </c>
      <c r="H315" s="25" t="s">
        <v>875</v>
      </c>
      <c r="I315" s="33">
        <f t="shared" si="8"/>
        <v>44539</v>
      </c>
      <c r="J315" s="29">
        <v>19</v>
      </c>
      <c r="K315" s="31">
        <f>StockInData[[#This Row],[Quantity]]*2.5</f>
        <v>47.5</v>
      </c>
    </row>
    <row r="316" spans="1:11" x14ac:dyDescent="0.25">
      <c r="A316" s="29">
        <v>315</v>
      </c>
      <c r="B316" s="30">
        <f t="shared" si="9"/>
        <v>43724</v>
      </c>
      <c r="C316" s="30" t="s">
        <v>960</v>
      </c>
      <c r="D316" s="54" t="s">
        <v>957</v>
      </c>
      <c r="E316" s="27" t="s">
        <v>649</v>
      </c>
      <c r="F316" s="28" t="s">
        <v>650</v>
      </c>
      <c r="G316" s="25" t="s">
        <v>869</v>
      </c>
      <c r="H316" s="25" t="s">
        <v>875</v>
      </c>
      <c r="I316" s="33">
        <f t="shared" si="8"/>
        <v>44541</v>
      </c>
      <c r="J316" s="29">
        <v>23</v>
      </c>
      <c r="K316" s="31">
        <f>StockInData[[#This Row],[Quantity]]*2.5</f>
        <v>57.5</v>
      </c>
    </row>
    <row r="317" spans="1:11" x14ac:dyDescent="0.25">
      <c r="A317" s="29">
        <v>316</v>
      </c>
      <c r="B317" s="30">
        <f t="shared" si="9"/>
        <v>43725</v>
      </c>
      <c r="C317" s="30" t="s">
        <v>960</v>
      </c>
      <c r="D317" s="54" t="s">
        <v>957</v>
      </c>
      <c r="E317" s="27" t="s">
        <v>651</v>
      </c>
      <c r="F317" s="28" t="s">
        <v>652</v>
      </c>
      <c r="G317" s="25" t="s">
        <v>869</v>
      </c>
      <c r="H317" s="25" t="s">
        <v>875</v>
      </c>
      <c r="I317" s="33">
        <f t="shared" si="8"/>
        <v>44543</v>
      </c>
      <c r="J317" s="29">
        <v>65</v>
      </c>
      <c r="K317" s="31">
        <f>StockInData[[#This Row],[Quantity]]*2.5</f>
        <v>162.5</v>
      </c>
    </row>
    <row r="318" spans="1:11" x14ac:dyDescent="0.25">
      <c r="A318" s="29">
        <v>317</v>
      </c>
      <c r="B318" s="30">
        <f t="shared" si="9"/>
        <v>43726</v>
      </c>
      <c r="C318" s="30" t="s">
        <v>960</v>
      </c>
      <c r="D318" s="54" t="s">
        <v>957</v>
      </c>
      <c r="E318" s="27" t="s">
        <v>653</v>
      </c>
      <c r="F318" s="28" t="s">
        <v>654</v>
      </c>
      <c r="G318" s="25" t="s">
        <v>869</v>
      </c>
      <c r="H318" s="25" t="s">
        <v>875</v>
      </c>
      <c r="I318" s="33">
        <f t="shared" si="8"/>
        <v>44545</v>
      </c>
      <c r="J318" s="29">
        <v>74</v>
      </c>
      <c r="K318" s="31">
        <f>StockInData[[#This Row],[Quantity]]*2.5</f>
        <v>185</v>
      </c>
    </row>
    <row r="319" spans="1:11" x14ac:dyDescent="0.25">
      <c r="A319" s="29">
        <v>318</v>
      </c>
      <c r="B319" s="30">
        <f t="shared" si="9"/>
        <v>43727</v>
      </c>
      <c r="C319" s="30" t="s">
        <v>960</v>
      </c>
      <c r="D319" s="54" t="s">
        <v>957</v>
      </c>
      <c r="E319" s="27" t="s">
        <v>655</v>
      </c>
      <c r="F319" s="28" t="s">
        <v>656</v>
      </c>
      <c r="G319" s="25" t="s">
        <v>869</v>
      </c>
      <c r="H319" s="25" t="s">
        <v>875</v>
      </c>
      <c r="I319" s="33">
        <f t="shared" si="8"/>
        <v>44547</v>
      </c>
      <c r="J319" s="29">
        <v>84</v>
      </c>
      <c r="K319" s="31">
        <f>StockInData[[#This Row],[Quantity]]*2.5</f>
        <v>210</v>
      </c>
    </row>
    <row r="320" spans="1:11" x14ac:dyDescent="0.25">
      <c r="A320" s="29">
        <v>319</v>
      </c>
      <c r="B320" s="30">
        <f t="shared" si="9"/>
        <v>43728</v>
      </c>
      <c r="C320" s="30" t="s">
        <v>960</v>
      </c>
      <c r="D320" s="54" t="s">
        <v>957</v>
      </c>
      <c r="E320" s="27" t="s">
        <v>657</v>
      </c>
      <c r="F320" s="28" t="s">
        <v>658</v>
      </c>
      <c r="G320" s="25" t="s">
        <v>869</v>
      </c>
      <c r="H320" s="25" t="s">
        <v>875</v>
      </c>
      <c r="I320" s="33">
        <f t="shared" si="8"/>
        <v>44549</v>
      </c>
      <c r="J320" s="29">
        <v>99</v>
      </c>
      <c r="K320" s="31">
        <f>StockInData[[#This Row],[Quantity]]*2.5</f>
        <v>247.5</v>
      </c>
    </row>
    <row r="321" spans="1:11" x14ac:dyDescent="0.25">
      <c r="A321" s="29">
        <v>320</v>
      </c>
      <c r="B321" s="30">
        <f t="shared" si="9"/>
        <v>43729</v>
      </c>
      <c r="C321" s="30" t="s">
        <v>960</v>
      </c>
      <c r="D321" s="54" t="s">
        <v>957</v>
      </c>
      <c r="E321" s="27" t="s">
        <v>659</v>
      </c>
      <c r="F321" s="28" t="s">
        <v>660</v>
      </c>
      <c r="G321" s="25" t="s">
        <v>869</v>
      </c>
      <c r="H321" s="25" t="s">
        <v>875</v>
      </c>
      <c r="I321" s="33">
        <f t="shared" si="8"/>
        <v>44551</v>
      </c>
      <c r="J321" s="29">
        <v>101</v>
      </c>
      <c r="K321" s="31">
        <f>StockInData[[#This Row],[Quantity]]*2.5</f>
        <v>252.5</v>
      </c>
    </row>
    <row r="322" spans="1:11" x14ac:dyDescent="0.25">
      <c r="A322" s="29">
        <v>321</v>
      </c>
      <c r="B322" s="30">
        <f t="shared" si="9"/>
        <v>43730</v>
      </c>
      <c r="C322" s="30" t="s">
        <v>960</v>
      </c>
      <c r="D322" s="54" t="s">
        <v>957</v>
      </c>
      <c r="E322" s="27" t="s">
        <v>661</v>
      </c>
      <c r="F322" s="28" t="s">
        <v>662</v>
      </c>
      <c r="G322" s="25" t="s">
        <v>869</v>
      </c>
      <c r="H322" s="25" t="s">
        <v>875</v>
      </c>
      <c r="I322" s="33">
        <f t="shared" si="8"/>
        <v>44553</v>
      </c>
      <c r="J322" s="29">
        <v>60</v>
      </c>
      <c r="K322" s="31">
        <f>StockInData[[#This Row],[Quantity]]*2.5</f>
        <v>150</v>
      </c>
    </row>
    <row r="323" spans="1:11" x14ac:dyDescent="0.25">
      <c r="A323" s="29">
        <v>322</v>
      </c>
      <c r="B323" s="30">
        <f t="shared" si="9"/>
        <v>43731</v>
      </c>
      <c r="C323" s="30" t="s">
        <v>960</v>
      </c>
      <c r="D323" s="54" t="s">
        <v>957</v>
      </c>
      <c r="E323" s="27" t="s">
        <v>663</v>
      </c>
      <c r="F323" s="28" t="s">
        <v>664</v>
      </c>
      <c r="G323" s="25" t="s">
        <v>869</v>
      </c>
      <c r="H323" s="25" t="s">
        <v>876</v>
      </c>
      <c r="I323" s="33">
        <f t="shared" si="8"/>
        <v>44555</v>
      </c>
      <c r="J323" s="29">
        <v>40</v>
      </c>
      <c r="K323" s="31">
        <f>StockInData[[#This Row],[Quantity]]*2.5</f>
        <v>100</v>
      </c>
    </row>
    <row r="324" spans="1:11" x14ac:dyDescent="0.25">
      <c r="A324" s="29">
        <v>323</v>
      </c>
      <c r="B324" s="30">
        <f t="shared" si="9"/>
        <v>43732</v>
      </c>
      <c r="C324" s="30" t="s">
        <v>960</v>
      </c>
      <c r="D324" s="54" t="s">
        <v>957</v>
      </c>
      <c r="E324" s="27" t="s">
        <v>665</v>
      </c>
      <c r="F324" s="28" t="s">
        <v>666</v>
      </c>
      <c r="G324" s="25" t="s">
        <v>869</v>
      </c>
      <c r="H324" s="25" t="s">
        <v>876</v>
      </c>
      <c r="I324" s="33">
        <f t="shared" ref="I324:I387" si="10">I323+2</f>
        <v>44557</v>
      </c>
      <c r="J324" s="29">
        <v>30</v>
      </c>
      <c r="K324" s="31">
        <f>StockInData[[#This Row],[Quantity]]*2.5</f>
        <v>75</v>
      </c>
    </row>
    <row r="325" spans="1:11" x14ac:dyDescent="0.25">
      <c r="A325" s="29">
        <v>324</v>
      </c>
      <c r="B325" s="30">
        <f t="shared" ref="B325:B388" si="11">B324+1</f>
        <v>43733</v>
      </c>
      <c r="C325" s="30" t="s">
        <v>960</v>
      </c>
      <c r="D325" s="54" t="s">
        <v>957</v>
      </c>
      <c r="E325" s="27" t="s">
        <v>667</v>
      </c>
      <c r="F325" s="28" t="s">
        <v>668</v>
      </c>
      <c r="G325" s="25" t="s">
        <v>869</v>
      </c>
      <c r="H325" s="25" t="s">
        <v>876</v>
      </c>
      <c r="I325" s="33">
        <f t="shared" si="10"/>
        <v>44559</v>
      </c>
      <c r="J325" s="29">
        <v>25</v>
      </c>
      <c r="K325" s="31">
        <f>StockInData[[#This Row],[Quantity]]*2.5</f>
        <v>62.5</v>
      </c>
    </row>
    <row r="326" spans="1:11" x14ac:dyDescent="0.25">
      <c r="A326" s="29">
        <v>325</v>
      </c>
      <c r="B326" s="30">
        <f t="shared" si="11"/>
        <v>43734</v>
      </c>
      <c r="C326" s="30" t="s">
        <v>960</v>
      </c>
      <c r="D326" s="54" t="s">
        <v>957</v>
      </c>
      <c r="E326" s="27" t="s">
        <v>669</v>
      </c>
      <c r="F326" s="28" t="s">
        <v>670</v>
      </c>
      <c r="G326" s="25" t="s">
        <v>869</v>
      </c>
      <c r="H326" s="25" t="s">
        <v>876</v>
      </c>
      <c r="I326" s="33">
        <f t="shared" si="10"/>
        <v>44561</v>
      </c>
      <c r="J326" s="29">
        <v>20</v>
      </c>
      <c r="K326" s="31">
        <f>StockInData[[#This Row],[Quantity]]*2.5</f>
        <v>50</v>
      </c>
    </row>
    <row r="327" spans="1:11" x14ac:dyDescent="0.25">
      <c r="A327" s="29">
        <v>326</v>
      </c>
      <c r="B327" s="30">
        <f t="shared" si="11"/>
        <v>43735</v>
      </c>
      <c r="C327" s="30" t="s">
        <v>960</v>
      </c>
      <c r="D327" s="54" t="s">
        <v>957</v>
      </c>
      <c r="E327" s="27" t="s">
        <v>671</v>
      </c>
      <c r="F327" s="28" t="s">
        <v>672</v>
      </c>
      <c r="G327" s="25" t="s">
        <v>869</v>
      </c>
      <c r="H327" s="25" t="s">
        <v>876</v>
      </c>
      <c r="I327" s="33">
        <f t="shared" si="10"/>
        <v>44563</v>
      </c>
      <c r="J327" s="29">
        <v>19</v>
      </c>
      <c r="K327" s="31">
        <f>StockInData[[#This Row],[Quantity]]*2.5</f>
        <v>47.5</v>
      </c>
    </row>
    <row r="328" spans="1:11" x14ac:dyDescent="0.25">
      <c r="A328" s="29">
        <v>327</v>
      </c>
      <c r="B328" s="30">
        <f t="shared" si="11"/>
        <v>43736</v>
      </c>
      <c r="C328" s="30" t="s">
        <v>960</v>
      </c>
      <c r="D328" s="54" t="s">
        <v>957</v>
      </c>
      <c r="E328" s="27" t="s">
        <v>673</v>
      </c>
      <c r="F328" s="28" t="s">
        <v>674</v>
      </c>
      <c r="G328" s="25" t="s">
        <v>877</v>
      </c>
      <c r="H328" s="25" t="s">
        <v>876</v>
      </c>
      <c r="I328" s="33">
        <f t="shared" si="10"/>
        <v>44565</v>
      </c>
      <c r="J328" s="29">
        <v>23</v>
      </c>
      <c r="K328" s="31">
        <f>StockInData[[#This Row],[Quantity]]*2.5</f>
        <v>57.5</v>
      </c>
    </row>
    <row r="329" spans="1:11" x14ac:dyDescent="0.25">
      <c r="A329" s="29">
        <v>328</v>
      </c>
      <c r="B329" s="30">
        <f t="shared" si="11"/>
        <v>43737</v>
      </c>
      <c r="C329" s="30" t="s">
        <v>960</v>
      </c>
      <c r="D329" s="54" t="s">
        <v>957</v>
      </c>
      <c r="E329" s="27" t="s">
        <v>675</v>
      </c>
      <c r="F329" s="28" t="s">
        <v>676</v>
      </c>
      <c r="G329" s="25" t="s">
        <v>877</v>
      </c>
      <c r="H329" s="25" t="s">
        <v>876</v>
      </c>
      <c r="I329" s="33">
        <f t="shared" si="10"/>
        <v>44567</v>
      </c>
      <c r="J329" s="29">
        <v>65</v>
      </c>
      <c r="K329" s="31">
        <f>StockInData[[#This Row],[Quantity]]*2.5</f>
        <v>162.5</v>
      </c>
    </row>
    <row r="330" spans="1:11" x14ac:dyDescent="0.25">
      <c r="A330" s="29">
        <v>329</v>
      </c>
      <c r="B330" s="30">
        <f t="shared" si="11"/>
        <v>43738</v>
      </c>
      <c r="C330" s="30" t="s">
        <v>960</v>
      </c>
      <c r="D330" s="54" t="s">
        <v>957</v>
      </c>
      <c r="E330" s="27" t="s">
        <v>677</v>
      </c>
      <c r="F330" s="28" t="s">
        <v>678</v>
      </c>
      <c r="G330" s="25" t="s">
        <v>877</v>
      </c>
      <c r="H330" s="25" t="s">
        <v>876</v>
      </c>
      <c r="I330" s="33">
        <f t="shared" si="10"/>
        <v>44569</v>
      </c>
      <c r="J330" s="29">
        <v>74</v>
      </c>
      <c r="K330" s="31">
        <f>StockInData[[#This Row],[Quantity]]*2.5</f>
        <v>185</v>
      </c>
    </row>
    <row r="331" spans="1:11" x14ac:dyDescent="0.25">
      <c r="A331" s="29">
        <v>330</v>
      </c>
      <c r="B331" s="30">
        <f t="shared" si="11"/>
        <v>43739</v>
      </c>
      <c r="C331" s="30" t="s">
        <v>960</v>
      </c>
      <c r="D331" s="54" t="s">
        <v>957</v>
      </c>
      <c r="E331" s="27" t="s">
        <v>679</v>
      </c>
      <c r="F331" s="28" t="s">
        <v>680</v>
      </c>
      <c r="G331" s="25" t="s">
        <v>877</v>
      </c>
      <c r="H331" s="25" t="s">
        <v>876</v>
      </c>
      <c r="I331" s="33">
        <f t="shared" si="10"/>
        <v>44571</v>
      </c>
      <c r="J331" s="29">
        <v>84</v>
      </c>
      <c r="K331" s="31">
        <f>StockInData[[#This Row],[Quantity]]*2.5</f>
        <v>210</v>
      </c>
    </row>
    <row r="332" spans="1:11" x14ac:dyDescent="0.25">
      <c r="A332" s="29">
        <v>331</v>
      </c>
      <c r="B332" s="30">
        <f t="shared" si="11"/>
        <v>43740</v>
      </c>
      <c r="C332" s="30" t="s">
        <v>960</v>
      </c>
      <c r="D332" s="54" t="s">
        <v>957</v>
      </c>
      <c r="E332" s="27" t="s">
        <v>681</v>
      </c>
      <c r="F332" s="28" t="s">
        <v>682</v>
      </c>
      <c r="G332" s="25" t="s">
        <v>877</v>
      </c>
      <c r="H332" s="25" t="s">
        <v>876</v>
      </c>
      <c r="I332" s="33">
        <f t="shared" si="10"/>
        <v>44573</v>
      </c>
      <c r="J332" s="29">
        <v>99</v>
      </c>
      <c r="K332" s="31">
        <f>StockInData[[#This Row],[Quantity]]*2.5</f>
        <v>247.5</v>
      </c>
    </row>
    <row r="333" spans="1:11" x14ac:dyDescent="0.25">
      <c r="A333" s="29">
        <v>332</v>
      </c>
      <c r="B333" s="30">
        <f t="shared" si="11"/>
        <v>43741</v>
      </c>
      <c r="C333" s="30" t="s">
        <v>960</v>
      </c>
      <c r="D333" s="54" t="s">
        <v>957</v>
      </c>
      <c r="E333" s="27" t="s">
        <v>683</v>
      </c>
      <c r="F333" s="28" t="s">
        <v>684</v>
      </c>
      <c r="G333" s="25" t="s">
        <v>877</v>
      </c>
      <c r="H333" s="25" t="s">
        <v>876</v>
      </c>
      <c r="I333" s="33">
        <f t="shared" si="10"/>
        <v>44575</v>
      </c>
      <c r="J333" s="29">
        <v>101</v>
      </c>
      <c r="K333" s="31">
        <f>StockInData[[#This Row],[Quantity]]*2.5</f>
        <v>252.5</v>
      </c>
    </row>
    <row r="334" spans="1:11" x14ac:dyDescent="0.25">
      <c r="A334" s="29">
        <v>333</v>
      </c>
      <c r="B334" s="30">
        <f t="shared" si="11"/>
        <v>43742</v>
      </c>
      <c r="C334" s="30" t="s">
        <v>960</v>
      </c>
      <c r="D334" s="54" t="s">
        <v>957</v>
      </c>
      <c r="E334" s="27" t="s">
        <v>685</v>
      </c>
      <c r="F334" s="28" t="s">
        <v>686</v>
      </c>
      <c r="G334" s="25" t="s">
        <v>877</v>
      </c>
      <c r="H334" s="25" t="s">
        <v>876</v>
      </c>
      <c r="I334" s="33">
        <f t="shared" si="10"/>
        <v>44577</v>
      </c>
      <c r="J334" s="29">
        <v>60</v>
      </c>
      <c r="K334" s="31">
        <f>StockInData[[#This Row],[Quantity]]*2.5</f>
        <v>150</v>
      </c>
    </row>
    <row r="335" spans="1:11" x14ac:dyDescent="0.25">
      <c r="A335" s="29">
        <v>334</v>
      </c>
      <c r="B335" s="30">
        <f t="shared" si="11"/>
        <v>43743</v>
      </c>
      <c r="C335" s="30" t="s">
        <v>960</v>
      </c>
      <c r="D335" s="54" t="s">
        <v>957</v>
      </c>
      <c r="E335" s="27" t="s">
        <v>687</v>
      </c>
      <c r="F335" s="28" t="s">
        <v>688</v>
      </c>
      <c r="G335" s="25" t="s">
        <v>877</v>
      </c>
      <c r="H335" s="25" t="s">
        <v>876</v>
      </c>
      <c r="I335" s="33">
        <f t="shared" si="10"/>
        <v>44579</v>
      </c>
      <c r="J335" s="29">
        <v>40</v>
      </c>
      <c r="K335" s="31">
        <f>StockInData[[#This Row],[Quantity]]*2.5</f>
        <v>100</v>
      </c>
    </row>
    <row r="336" spans="1:11" x14ac:dyDescent="0.25">
      <c r="A336" s="29">
        <v>335</v>
      </c>
      <c r="B336" s="30">
        <f t="shared" si="11"/>
        <v>43744</v>
      </c>
      <c r="C336" s="30" t="s">
        <v>960</v>
      </c>
      <c r="D336" s="54" t="s">
        <v>957</v>
      </c>
      <c r="E336" s="27" t="s">
        <v>689</v>
      </c>
      <c r="F336" s="28" t="s">
        <v>690</v>
      </c>
      <c r="G336" s="25" t="s">
        <v>877</v>
      </c>
      <c r="H336" s="25" t="s">
        <v>876</v>
      </c>
      <c r="I336" s="33">
        <f t="shared" si="10"/>
        <v>44581</v>
      </c>
      <c r="J336" s="29">
        <v>30</v>
      </c>
      <c r="K336" s="31">
        <f>StockInData[[#This Row],[Quantity]]*2.5</f>
        <v>75</v>
      </c>
    </row>
    <row r="337" spans="1:11" x14ac:dyDescent="0.25">
      <c r="A337" s="29">
        <v>336</v>
      </c>
      <c r="B337" s="30">
        <f t="shared" si="11"/>
        <v>43745</v>
      </c>
      <c r="C337" s="30" t="s">
        <v>960</v>
      </c>
      <c r="D337" s="54" t="s">
        <v>957</v>
      </c>
      <c r="E337" s="27" t="s">
        <v>691</v>
      </c>
      <c r="F337" s="28" t="s">
        <v>692</v>
      </c>
      <c r="G337" s="25" t="s">
        <v>877</v>
      </c>
      <c r="H337" s="25" t="s">
        <v>876</v>
      </c>
      <c r="I337" s="33">
        <f t="shared" si="10"/>
        <v>44583</v>
      </c>
      <c r="J337" s="29">
        <v>25</v>
      </c>
      <c r="K337" s="31">
        <f>StockInData[[#This Row],[Quantity]]*2.5</f>
        <v>62.5</v>
      </c>
    </row>
    <row r="338" spans="1:11" x14ac:dyDescent="0.25">
      <c r="A338" s="29">
        <v>337</v>
      </c>
      <c r="B338" s="30">
        <f t="shared" si="11"/>
        <v>43746</v>
      </c>
      <c r="C338" s="30" t="s">
        <v>960</v>
      </c>
      <c r="D338" s="54" t="s">
        <v>957</v>
      </c>
      <c r="E338" s="27" t="s">
        <v>693</v>
      </c>
      <c r="F338" s="28" t="s">
        <v>694</v>
      </c>
      <c r="G338" s="25" t="s">
        <v>877</v>
      </c>
      <c r="H338" s="25" t="s">
        <v>876</v>
      </c>
      <c r="I338" s="33">
        <f t="shared" si="10"/>
        <v>44585</v>
      </c>
      <c r="J338" s="29">
        <v>20</v>
      </c>
      <c r="K338" s="31">
        <f>StockInData[[#This Row],[Quantity]]*2.5</f>
        <v>50</v>
      </c>
    </row>
    <row r="339" spans="1:11" x14ac:dyDescent="0.25">
      <c r="A339" s="29">
        <v>338</v>
      </c>
      <c r="B339" s="30">
        <f t="shared" si="11"/>
        <v>43747</v>
      </c>
      <c r="C339" s="30" t="s">
        <v>960</v>
      </c>
      <c r="D339" s="54" t="s">
        <v>957</v>
      </c>
      <c r="E339" s="27" t="s">
        <v>695</v>
      </c>
      <c r="F339" s="28" t="s">
        <v>696</v>
      </c>
      <c r="G339" s="25" t="s">
        <v>877</v>
      </c>
      <c r="H339" s="25" t="s">
        <v>876</v>
      </c>
      <c r="I339" s="33">
        <f t="shared" si="10"/>
        <v>44587</v>
      </c>
      <c r="J339" s="29">
        <v>19</v>
      </c>
      <c r="K339" s="31">
        <f>StockInData[[#This Row],[Quantity]]*2.5</f>
        <v>47.5</v>
      </c>
    </row>
    <row r="340" spans="1:11" x14ac:dyDescent="0.25">
      <c r="A340" s="29">
        <v>339</v>
      </c>
      <c r="B340" s="30">
        <f t="shared" si="11"/>
        <v>43748</v>
      </c>
      <c r="C340" s="30" t="s">
        <v>960</v>
      </c>
      <c r="D340" s="54" t="s">
        <v>957</v>
      </c>
      <c r="E340" s="27" t="s">
        <v>697</v>
      </c>
      <c r="F340" s="28" t="s">
        <v>698</v>
      </c>
      <c r="G340" s="25" t="s">
        <v>877</v>
      </c>
      <c r="H340" s="25" t="s">
        <v>876</v>
      </c>
      <c r="I340" s="33">
        <f t="shared" si="10"/>
        <v>44589</v>
      </c>
      <c r="J340" s="29">
        <v>23</v>
      </c>
      <c r="K340" s="31">
        <f>StockInData[[#This Row],[Quantity]]*2.5</f>
        <v>57.5</v>
      </c>
    </row>
    <row r="341" spans="1:11" x14ac:dyDescent="0.25">
      <c r="A341" s="29">
        <v>340</v>
      </c>
      <c r="B341" s="30">
        <f t="shared" si="11"/>
        <v>43749</v>
      </c>
      <c r="C341" s="30" t="s">
        <v>960</v>
      </c>
      <c r="D341" s="54" t="s">
        <v>957</v>
      </c>
      <c r="E341" s="27" t="s">
        <v>699</v>
      </c>
      <c r="F341" s="28" t="s">
        <v>700</v>
      </c>
      <c r="G341" s="25" t="s">
        <v>877</v>
      </c>
      <c r="H341" s="25" t="s">
        <v>876</v>
      </c>
      <c r="I341" s="33">
        <f t="shared" si="10"/>
        <v>44591</v>
      </c>
      <c r="J341" s="29">
        <v>65</v>
      </c>
      <c r="K341" s="31">
        <f>StockInData[[#This Row],[Quantity]]*2.5</f>
        <v>162.5</v>
      </c>
    </row>
    <row r="342" spans="1:11" x14ac:dyDescent="0.25">
      <c r="A342" s="29">
        <v>341</v>
      </c>
      <c r="B342" s="30">
        <f t="shared" si="11"/>
        <v>43750</v>
      </c>
      <c r="C342" s="30" t="s">
        <v>960</v>
      </c>
      <c r="D342" s="54" t="s">
        <v>957</v>
      </c>
      <c r="E342" s="27" t="s">
        <v>701</v>
      </c>
      <c r="F342" s="28" t="s">
        <v>702</v>
      </c>
      <c r="G342" s="25" t="s">
        <v>877</v>
      </c>
      <c r="H342" s="25" t="s">
        <v>876</v>
      </c>
      <c r="I342" s="33">
        <f t="shared" si="10"/>
        <v>44593</v>
      </c>
      <c r="J342" s="29">
        <v>74</v>
      </c>
      <c r="K342" s="31">
        <f>StockInData[[#This Row],[Quantity]]*2.5</f>
        <v>185</v>
      </c>
    </row>
    <row r="343" spans="1:11" x14ac:dyDescent="0.25">
      <c r="A343" s="29">
        <v>342</v>
      </c>
      <c r="B343" s="30">
        <f t="shared" si="11"/>
        <v>43751</v>
      </c>
      <c r="C343" s="30" t="s">
        <v>960</v>
      </c>
      <c r="D343" s="54" t="s">
        <v>957</v>
      </c>
      <c r="E343" s="27" t="s">
        <v>703</v>
      </c>
      <c r="F343" s="28" t="s">
        <v>704</v>
      </c>
      <c r="G343" s="25" t="s">
        <v>877</v>
      </c>
      <c r="H343" s="25" t="s">
        <v>876</v>
      </c>
      <c r="I343" s="33">
        <f t="shared" si="10"/>
        <v>44595</v>
      </c>
      <c r="J343" s="29">
        <v>84</v>
      </c>
      <c r="K343" s="31">
        <f>StockInData[[#This Row],[Quantity]]*2.5</f>
        <v>210</v>
      </c>
    </row>
    <row r="344" spans="1:11" x14ac:dyDescent="0.25">
      <c r="A344" s="29">
        <v>343</v>
      </c>
      <c r="B344" s="30">
        <f t="shared" si="11"/>
        <v>43752</v>
      </c>
      <c r="C344" s="30" t="s">
        <v>960</v>
      </c>
      <c r="D344" s="54" t="s">
        <v>957</v>
      </c>
      <c r="E344" s="27" t="s">
        <v>705</v>
      </c>
      <c r="F344" s="28" t="s">
        <v>706</v>
      </c>
      <c r="G344" s="25" t="s">
        <v>877</v>
      </c>
      <c r="H344" s="25" t="s">
        <v>876</v>
      </c>
      <c r="I344" s="33">
        <f t="shared" si="10"/>
        <v>44597</v>
      </c>
      <c r="J344" s="29">
        <v>99</v>
      </c>
      <c r="K344" s="31">
        <f>StockInData[[#This Row],[Quantity]]*2.5</f>
        <v>247.5</v>
      </c>
    </row>
    <row r="345" spans="1:11" x14ac:dyDescent="0.25">
      <c r="A345" s="29">
        <v>344</v>
      </c>
      <c r="B345" s="30">
        <f t="shared" si="11"/>
        <v>43753</v>
      </c>
      <c r="C345" s="30" t="s">
        <v>960</v>
      </c>
      <c r="D345" s="54" t="s">
        <v>957</v>
      </c>
      <c r="E345" s="27" t="s">
        <v>707</v>
      </c>
      <c r="F345" s="28" t="s">
        <v>708</v>
      </c>
      <c r="G345" s="25" t="s">
        <v>877</v>
      </c>
      <c r="H345" s="25" t="s">
        <v>876</v>
      </c>
      <c r="I345" s="33">
        <f t="shared" si="10"/>
        <v>44599</v>
      </c>
      <c r="J345" s="29">
        <v>101</v>
      </c>
      <c r="K345" s="31">
        <f>StockInData[[#This Row],[Quantity]]*2.5</f>
        <v>252.5</v>
      </c>
    </row>
    <row r="346" spans="1:11" x14ac:dyDescent="0.25">
      <c r="A346" s="29">
        <v>345</v>
      </c>
      <c r="B346" s="30">
        <f t="shared" si="11"/>
        <v>43754</v>
      </c>
      <c r="C346" s="30" t="s">
        <v>960</v>
      </c>
      <c r="D346" s="54" t="s">
        <v>957</v>
      </c>
      <c r="E346" s="27" t="s">
        <v>709</v>
      </c>
      <c r="F346" s="28" t="s">
        <v>710</v>
      </c>
      <c r="G346" s="25" t="s">
        <v>869</v>
      </c>
      <c r="H346" s="25" t="s">
        <v>876</v>
      </c>
      <c r="I346" s="33">
        <f t="shared" si="10"/>
        <v>44601</v>
      </c>
      <c r="J346" s="29">
        <v>100</v>
      </c>
      <c r="K346" s="31">
        <f>StockInData[[#This Row],[Quantity]]*2.5</f>
        <v>250</v>
      </c>
    </row>
    <row r="347" spans="1:11" x14ac:dyDescent="0.25">
      <c r="A347" s="29">
        <v>346</v>
      </c>
      <c r="B347" s="30">
        <f t="shared" si="11"/>
        <v>43755</v>
      </c>
      <c r="C347" s="30" t="s">
        <v>960</v>
      </c>
      <c r="D347" s="54" t="s">
        <v>957</v>
      </c>
      <c r="E347" s="27" t="s">
        <v>711</v>
      </c>
      <c r="F347" s="28" t="s">
        <v>712</v>
      </c>
      <c r="G347" s="25" t="s">
        <v>869</v>
      </c>
      <c r="H347" s="25" t="s">
        <v>876</v>
      </c>
      <c r="I347" s="33">
        <f t="shared" si="10"/>
        <v>44603</v>
      </c>
      <c r="J347" s="29">
        <v>60</v>
      </c>
      <c r="K347" s="31">
        <f>StockInData[[#This Row],[Quantity]]*2.5</f>
        <v>150</v>
      </c>
    </row>
    <row r="348" spans="1:11" x14ac:dyDescent="0.25">
      <c r="A348" s="29">
        <v>347</v>
      </c>
      <c r="B348" s="30">
        <f t="shared" si="11"/>
        <v>43756</v>
      </c>
      <c r="C348" s="30" t="s">
        <v>960</v>
      </c>
      <c r="D348" s="54" t="s">
        <v>957</v>
      </c>
      <c r="E348" s="27" t="s">
        <v>713</v>
      </c>
      <c r="F348" s="28" t="s">
        <v>714</v>
      </c>
      <c r="G348" s="25" t="s">
        <v>869</v>
      </c>
      <c r="H348" s="25" t="s">
        <v>876</v>
      </c>
      <c r="I348" s="33">
        <f t="shared" si="10"/>
        <v>44605</v>
      </c>
      <c r="J348" s="29">
        <v>40</v>
      </c>
      <c r="K348" s="31">
        <f>StockInData[[#This Row],[Quantity]]*2.5</f>
        <v>100</v>
      </c>
    </row>
    <row r="349" spans="1:11" x14ac:dyDescent="0.25">
      <c r="A349" s="29">
        <v>348</v>
      </c>
      <c r="B349" s="30">
        <f t="shared" si="11"/>
        <v>43757</v>
      </c>
      <c r="C349" s="30" t="s">
        <v>960</v>
      </c>
      <c r="D349" s="54" t="s">
        <v>957</v>
      </c>
      <c r="E349" s="27" t="s">
        <v>715</v>
      </c>
      <c r="F349" s="28" t="s">
        <v>716</v>
      </c>
      <c r="G349" s="25" t="s">
        <v>869</v>
      </c>
      <c r="H349" s="25" t="s">
        <v>876</v>
      </c>
      <c r="I349" s="33">
        <f t="shared" si="10"/>
        <v>44607</v>
      </c>
      <c r="J349" s="29">
        <v>30</v>
      </c>
      <c r="K349" s="31">
        <f>StockInData[[#This Row],[Quantity]]*2.5</f>
        <v>75</v>
      </c>
    </row>
    <row r="350" spans="1:11" x14ac:dyDescent="0.25">
      <c r="A350" s="29">
        <v>349</v>
      </c>
      <c r="B350" s="30">
        <f t="shared" si="11"/>
        <v>43758</v>
      </c>
      <c r="C350" s="30" t="s">
        <v>960</v>
      </c>
      <c r="D350" s="54" t="s">
        <v>957</v>
      </c>
      <c r="E350" s="27" t="s">
        <v>717</v>
      </c>
      <c r="F350" s="28" t="s">
        <v>718</v>
      </c>
      <c r="G350" s="25" t="s">
        <v>869</v>
      </c>
      <c r="H350" s="25" t="s">
        <v>876</v>
      </c>
      <c r="I350" s="33">
        <f t="shared" si="10"/>
        <v>44609</v>
      </c>
      <c r="J350" s="29">
        <v>25</v>
      </c>
      <c r="K350" s="31">
        <f>StockInData[[#This Row],[Quantity]]*2.5</f>
        <v>62.5</v>
      </c>
    </row>
    <row r="351" spans="1:11" x14ac:dyDescent="0.25">
      <c r="A351" s="29">
        <v>350</v>
      </c>
      <c r="B351" s="30">
        <f t="shared" si="11"/>
        <v>43759</v>
      </c>
      <c r="C351" s="30" t="s">
        <v>960</v>
      </c>
      <c r="D351" s="54" t="s">
        <v>957</v>
      </c>
      <c r="E351" s="27" t="s">
        <v>719</v>
      </c>
      <c r="F351" s="28" t="s">
        <v>720</v>
      </c>
      <c r="G351" s="25" t="s">
        <v>869</v>
      </c>
      <c r="H351" s="25" t="s">
        <v>876</v>
      </c>
      <c r="I351" s="33">
        <f t="shared" si="10"/>
        <v>44611</v>
      </c>
      <c r="J351" s="29">
        <v>20</v>
      </c>
      <c r="K351" s="31">
        <f>StockInData[[#This Row],[Quantity]]*2.5</f>
        <v>50</v>
      </c>
    </row>
    <row r="352" spans="1:11" x14ac:dyDescent="0.25">
      <c r="A352" s="29">
        <v>351</v>
      </c>
      <c r="B352" s="30">
        <f t="shared" si="11"/>
        <v>43760</v>
      </c>
      <c r="C352" s="30" t="s">
        <v>960</v>
      </c>
      <c r="D352" s="54" t="s">
        <v>957</v>
      </c>
      <c r="E352" s="27" t="s">
        <v>721</v>
      </c>
      <c r="F352" s="28" t="s">
        <v>722</v>
      </c>
      <c r="G352" s="25" t="s">
        <v>869</v>
      </c>
      <c r="H352" s="25" t="s">
        <v>876</v>
      </c>
      <c r="I352" s="33">
        <f t="shared" si="10"/>
        <v>44613</v>
      </c>
      <c r="J352" s="29">
        <v>19</v>
      </c>
      <c r="K352" s="31">
        <f>StockInData[[#This Row],[Quantity]]*2.5</f>
        <v>47.5</v>
      </c>
    </row>
    <row r="353" spans="1:11" x14ac:dyDescent="0.25">
      <c r="A353" s="29">
        <v>352</v>
      </c>
      <c r="B353" s="30">
        <f t="shared" si="11"/>
        <v>43761</v>
      </c>
      <c r="C353" s="30" t="s">
        <v>960</v>
      </c>
      <c r="D353" s="54" t="s">
        <v>957</v>
      </c>
      <c r="E353" s="27" t="s">
        <v>723</v>
      </c>
      <c r="F353" s="28" t="s">
        <v>724</v>
      </c>
      <c r="G353" s="25" t="s">
        <v>869</v>
      </c>
      <c r="H353" s="25" t="s">
        <v>876</v>
      </c>
      <c r="I353" s="33">
        <f t="shared" si="10"/>
        <v>44615</v>
      </c>
      <c r="J353" s="29">
        <v>23</v>
      </c>
      <c r="K353" s="31">
        <f>StockInData[[#This Row],[Quantity]]*2.5</f>
        <v>57.5</v>
      </c>
    </row>
    <row r="354" spans="1:11" x14ac:dyDescent="0.25">
      <c r="A354" s="29">
        <v>353</v>
      </c>
      <c r="B354" s="30">
        <f t="shared" si="11"/>
        <v>43762</v>
      </c>
      <c r="C354" s="30" t="s">
        <v>960</v>
      </c>
      <c r="D354" s="54" t="s">
        <v>957</v>
      </c>
      <c r="E354" s="27" t="s">
        <v>725</v>
      </c>
      <c r="F354" s="28" t="s">
        <v>726</v>
      </c>
      <c r="G354" s="25" t="s">
        <v>869</v>
      </c>
      <c r="H354" s="25" t="s">
        <v>876</v>
      </c>
      <c r="I354" s="33">
        <f t="shared" si="10"/>
        <v>44617</v>
      </c>
      <c r="J354" s="29">
        <v>65</v>
      </c>
      <c r="K354" s="31">
        <f>StockInData[[#This Row],[Quantity]]*2.5</f>
        <v>162.5</v>
      </c>
    </row>
    <row r="355" spans="1:11" x14ac:dyDescent="0.25">
      <c r="A355" s="29">
        <v>354</v>
      </c>
      <c r="B355" s="30">
        <f t="shared" si="11"/>
        <v>43763</v>
      </c>
      <c r="C355" s="30" t="s">
        <v>960</v>
      </c>
      <c r="D355" s="54" t="s">
        <v>957</v>
      </c>
      <c r="E355" s="27" t="s">
        <v>727</v>
      </c>
      <c r="F355" s="28" t="s">
        <v>728</v>
      </c>
      <c r="G355" s="25" t="s">
        <v>869</v>
      </c>
      <c r="H355" s="25" t="s">
        <v>876</v>
      </c>
      <c r="I355" s="33">
        <f t="shared" si="10"/>
        <v>44619</v>
      </c>
      <c r="J355" s="29">
        <v>74</v>
      </c>
      <c r="K355" s="31">
        <f>StockInData[[#This Row],[Quantity]]*2.5</f>
        <v>185</v>
      </c>
    </row>
    <row r="356" spans="1:11" x14ac:dyDescent="0.25">
      <c r="A356" s="29">
        <v>355</v>
      </c>
      <c r="B356" s="30">
        <f t="shared" si="11"/>
        <v>43764</v>
      </c>
      <c r="C356" s="30" t="s">
        <v>960</v>
      </c>
      <c r="D356" s="54" t="s">
        <v>957</v>
      </c>
      <c r="E356" s="27" t="s">
        <v>729</v>
      </c>
      <c r="F356" s="28" t="s">
        <v>730</v>
      </c>
      <c r="G356" s="25" t="s">
        <v>869</v>
      </c>
      <c r="H356" s="25" t="s">
        <v>876</v>
      </c>
      <c r="I356" s="33">
        <f t="shared" si="10"/>
        <v>44621</v>
      </c>
      <c r="J356" s="29">
        <v>84</v>
      </c>
      <c r="K356" s="31">
        <f>StockInData[[#This Row],[Quantity]]*2.5</f>
        <v>210</v>
      </c>
    </row>
    <row r="357" spans="1:11" x14ac:dyDescent="0.25">
      <c r="A357" s="29">
        <v>356</v>
      </c>
      <c r="B357" s="30">
        <f t="shared" si="11"/>
        <v>43765</v>
      </c>
      <c r="C357" s="30" t="s">
        <v>960</v>
      </c>
      <c r="D357" s="54" t="s">
        <v>957</v>
      </c>
      <c r="E357" s="27" t="s">
        <v>731</v>
      </c>
      <c r="F357" s="28" t="s">
        <v>732</v>
      </c>
      <c r="G357" s="25" t="s">
        <v>869</v>
      </c>
      <c r="H357" s="25" t="s">
        <v>876</v>
      </c>
      <c r="I357" s="33">
        <f t="shared" si="10"/>
        <v>44623</v>
      </c>
      <c r="J357" s="29">
        <v>99</v>
      </c>
      <c r="K357" s="31">
        <f>StockInData[[#This Row],[Quantity]]*2.5</f>
        <v>247.5</v>
      </c>
    </row>
    <row r="358" spans="1:11" x14ac:dyDescent="0.25">
      <c r="A358" s="29">
        <v>357</v>
      </c>
      <c r="B358" s="30">
        <f t="shared" si="11"/>
        <v>43766</v>
      </c>
      <c r="C358" s="30" t="s">
        <v>960</v>
      </c>
      <c r="D358" s="54" t="s">
        <v>957</v>
      </c>
      <c r="E358" s="27" t="s">
        <v>733</v>
      </c>
      <c r="F358" s="28" t="s">
        <v>734</v>
      </c>
      <c r="G358" s="25" t="s">
        <v>869</v>
      </c>
      <c r="H358" s="25" t="s">
        <v>876</v>
      </c>
      <c r="I358" s="33">
        <f t="shared" si="10"/>
        <v>44625</v>
      </c>
      <c r="J358" s="29">
        <v>101</v>
      </c>
      <c r="K358" s="31">
        <f>StockInData[[#This Row],[Quantity]]*2.5</f>
        <v>252.5</v>
      </c>
    </row>
    <row r="359" spans="1:11" x14ac:dyDescent="0.25">
      <c r="A359" s="29">
        <v>358</v>
      </c>
      <c r="B359" s="30">
        <f t="shared" si="11"/>
        <v>43767</v>
      </c>
      <c r="C359" s="30" t="s">
        <v>960</v>
      </c>
      <c r="D359" s="54" t="s">
        <v>957</v>
      </c>
      <c r="E359" s="27" t="s">
        <v>735</v>
      </c>
      <c r="F359" s="28" t="s">
        <v>736</v>
      </c>
      <c r="G359" s="25" t="s">
        <v>869</v>
      </c>
      <c r="H359" s="25" t="s">
        <v>876</v>
      </c>
      <c r="I359" s="33">
        <f t="shared" si="10"/>
        <v>44627</v>
      </c>
      <c r="J359" s="29">
        <v>100</v>
      </c>
      <c r="K359" s="31">
        <f>StockInData[[#This Row],[Quantity]]*2.5</f>
        <v>250</v>
      </c>
    </row>
    <row r="360" spans="1:11" x14ac:dyDescent="0.25">
      <c r="A360" s="29">
        <v>359</v>
      </c>
      <c r="B360" s="30">
        <f t="shared" si="11"/>
        <v>43768</v>
      </c>
      <c r="C360" s="30" t="s">
        <v>960</v>
      </c>
      <c r="D360" s="54" t="s">
        <v>957</v>
      </c>
      <c r="E360" s="27" t="s">
        <v>737</v>
      </c>
      <c r="F360" s="28" t="s">
        <v>738</v>
      </c>
      <c r="G360" s="25" t="s">
        <v>869</v>
      </c>
      <c r="H360" s="25" t="s">
        <v>876</v>
      </c>
      <c r="I360" s="33">
        <f t="shared" si="10"/>
        <v>44629</v>
      </c>
      <c r="J360" s="29">
        <v>100</v>
      </c>
      <c r="K360" s="31">
        <f>StockInData[[#This Row],[Quantity]]*2.5</f>
        <v>250</v>
      </c>
    </row>
    <row r="361" spans="1:11" x14ac:dyDescent="0.25">
      <c r="A361" s="29">
        <v>360</v>
      </c>
      <c r="B361" s="30">
        <f t="shared" si="11"/>
        <v>43769</v>
      </c>
      <c r="C361" s="30" t="s">
        <v>960</v>
      </c>
      <c r="D361" s="54" t="s">
        <v>957</v>
      </c>
      <c r="E361" s="27" t="s">
        <v>739</v>
      </c>
      <c r="F361" s="28" t="s">
        <v>740</v>
      </c>
      <c r="G361" s="25" t="s">
        <v>869</v>
      </c>
      <c r="H361" s="25" t="s">
        <v>876</v>
      </c>
      <c r="I361" s="33">
        <f t="shared" si="10"/>
        <v>44631</v>
      </c>
      <c r="J361" s="29">
        <v>100</v>
      </c>
      <c r="K361" s="31">
        <f>StockInData[[#This Row],[Quantity]]*2.5</f>
        <v>250</v>
      </c>
    </row>
    <row r="362" spans="1:11" x14ac:dyDescent="0.25">
      <c r="A362" s="29">
        <v>361</v>
      </c>
      <c r="B362" s="30">
        <f t="shared" si="11"/>
        <v>43770</v>
      </c>
      <c r="C362" s="30" t="s">
        <v>960</v>
      </c>
      <c r="D362" s="54" t="s">
        <v>957</v>
      </c>
      <c r="E362" s="27" t="s">
        <v>741</v>
      </c>
      <c r="F362" s="28" t="s">
        <v>742</v>
      </c>
      <c r="G362" s="25" t="s">
        <v>869</v>
      </c>
      <c r="H362" s="25" t="s">
        <v>876</v>
      </c>
      <c r="I362" s="33">
        <f t="shared" si="10"/>
        <v>44633</v>
      </c>
      <c r="J362" s="29">
        <v>40</v>
      </c>
      <c r="K362" s="31">
        <f>StockInData[[#This Row],[Quantity]]*2.5</f>
        <v>100</v>
      </c>
    </row>
    <row r="363" spans="1:11" x14ac:dyDescent="0.25">
      <c r="A363" s="29">
        <v>362</v>
      </c>
      <c r="B363" s="30">
        <f t="shared" si="11"/>
        <v>43771</v>
      </c>
      <c r="C363" s="30" t="s">
        <v>960</v>
      </c>
      <c r="D363" s="54" t="s">
        <v>957</v>
      </c>
      <c r="E363" s="27" t="s">
        <v>743</v>
      </c>
      <c r="F363" s="28" t="s">
        <v>744</v>
      </c>
      <c r="G363" s="25" t="s">
        <v>869</v>
      </c>
      <c r="H363" s="25" t="s">
        <v>876</v>
      </c>
      <c r="I363" s="33">
        <f t="shared" si="10"/>
        <v>44635</v>
      </c>
      <c r="J363" s="29">
        <v>30</v>
      </c>
      <c r="K363" s="31">
        <f>StockInData[[#This Row],[Quantity]]*2.5</f>
        <v>75</v>
      </c>
    </row>
    <row r="364" spans="1:11" x14ac:dyDescent="0.25">
      <c r="A364" s="29">
        <v>363</v>
      </c>
      <c r="B364" s="30">
        <f t="shared" si="11"/>
        <v>43772</v>
      </c>
      <c r="C364" s="30" t="s">
        <v>960</v>
      </c>
      <c r="D364" s="54" t="s">
        <v>957</v>
      </c>
      <c r="E364" s="27" t="s">
        <v>745</v>
      </c>
      <c r="F364" s="28" t="s">
        <v>746</v>
      </c>
      <c r="G364" s="25" t="s">
        <v>869</v>
      </c>
      <c r="H364" s="25" t="s">
        <v>876</v>
      </c>
      <c r="I364" s="33">
        <f t="shared" si="10"/>
        <v>44637</v>
      </c>
      <c r="J364" s="29">
        <v>25</v>
      </c>
      <c r="K364" s="31">
        <f>StockInData[[#This Row],[Quantity]]*2.5</f>
        <v>62.5</v>
      </c>
    </row>
    <row r="365" spans="1:11" x14ac:dyDescent="0.25">
      <c r="A365" s="29">
        <v>364</v>
      </c>
      <c r="B365" s="30">
        <f t="shared" si="11"/>
        <v>43773</v>
      </c>
      <c r="C365" s="30" t="s">
        <v>960</v>
      </c>
      <c r="D365" s="54" t="s">
        <v>957</v>
      </c>
      <c r="E365" s="27" t="s">
        <v>747</v>
      </c>
      <c r="F365" s="28" t="s">
        <v>748</v>
      </c>
      <c r="G365" s="25" t="s">
        <v>869</v>
      </c>
      <c r="H365" s="25" t="s">
        <v>876</v>
      </c>
      <c r="I365" s="33">
        <f t="shared" si="10"/>
        <v>44639</v>
      </c>
      <c r="J365" s="29">
        <v>20</v>
      </c>
      <c r="K365" s="31">
        <f>StockInData[[#This Row],[Quantity]]*2.5</f>
        <v>50</v>
      </c>
    </row>
    <row r="366" spans="1:11" x14ac:dyDescent="0.25">
      <c r="A366" s="29">
        <v>365</v>
      </c>
      <c r="B366" s="30">
        <f t="shared" si="11"/>
        <v>43774</v>
      </c>
      <c r="C366" s="30" t="s">
        <v>960</v>
      </c>
      <c r="D366" s="54" t="s">
        <v>957</v>
      </c>
      <c r="E366" s="27" t="s">
        <v>749</v>
      </c>
      <c r="F366" s="28" t="s">
        <v>750</v>
      </c>
      <c r="G366" s="25" t="s">
        <v>869</v>
      </c>
      <c r="H366" s="25" t="s">
        <v>876</v>
      </c>
      <c r="I366" s="33">
        <f t="shared" si="10"/>
        <v>44641</v>
      </c>
      <c r="J366" s="29">
        <v>19</v>
      </c>
      <c r="K366" s="31">
        <f>StockInData[[#This Row],[Quantity]]*2.5</f>
        <v>47.5</v>
      </c>
    </row>
    <row r="367" spans="1:11" x14ac:dyDescent="0.25">
      <c r="A367" s="29">
        <v>366</v>
      </c>
      <c r="B367" s="30">
        <f t="shared" si="11"/>
        <v>43775</v>
      </c>
      <c r="C367" s="30" t="s">
        <v>960</v>
      </c>
      <c r="D367" s="54" t="s">
        <v>957</v>
      </c>
      <c r="E367" s="27" t="s">
        <v>751</v>
      </c>
      <c r="F367" s="28" t="s">
        <v>752</v>
      </c>
      <c r="G367" s="25" t="s">
        <v>869</v>
      </c>
      <c r="H367" s="25" t="s">
        <v>876</v>
      </c>
      <c r="I367" s="33">
        <f t="shared" si="10"/>
        <v>44643</v>
      </c>
      <c r="J367" s="29">
        <v>23</v>
      </c>
      <c r="K367" s="31">
        <f>StockInData[[#This Row],[Quantity]]*2.5</f>
        <v>57.5</v>
      </c>
    </row>
    <row r="368" spans="1:11" x14ac:dyDescent="0.25">
      <c r="A368" s="29">
        <v>367</v>
      </c>
      <c r="B368" s="30">
        <f t="shared" si="11"/>
        <v>43776</v>
      </c>
      <c r="C368" s="30" t="s">
        <v>960</v>
      </c>
      <c r="D368" s="54" t="s">
        <v>957</v>
      </c>
      <c r="E368" s="27" t="s">
        <v>753</v>
      </c>
      <c r="F368" s="28" t="s">
        <v>754</v>
      </c>
      <c r="G368" s="25" t="s">
        <v>869</v>
      </c>
      <c r="H368" s="25" t="s">
        <v>876</v>
      </c>
      <c r="I368" s="33">
        <f t="shared" si="10"/>
        <v>44645</v>
      </c>
      <c r="J368" s="29">
        <v>65</v>
      </c>
      <c r="K368" s="31">
        <f>StockInData[[#This Row],[Quantity]]*2.5</f>
        <v>162.5</v>
      </c>
    </row>
    <row r="369" spans="1:11" x14ac:dyDescent="0.25">
      <c r="A369" s="29">
        <v>368</v>
      </c>
      <c r="B369" s="30">
        <f t="shared" si="11"/>
        <v>43777</v>
      </c>
      <c r="C369" s="30" t="s">
        <v>960</v>
      </c>
      <c r="D369" s="54" t="s">
        <v>957</v>
      </c>
      <c r="E369" s="27" t="s">
        <v>755</v>
      </c>
      <c r="F369" s="28" t="s">
        <v>756</v>
      </c>
      <c r="G369" s="25" t="s">
        <v>869</v>
      </c>
      <c r="H369" s="25" t="s">
        <v>876</v>
      </c>
      <c r="I369" s="33">
        <f t="shared" si="10"/>
        <v>44647</v>
      </c>
      <c r="J369" s="29">
        <v>74</v>
      </c>
      <c r="K369" s="31">
        <f>StockInData[[#This Row],[Quantity]]*2.5</f>
        <v>185</v>
      </c>
    </row>
    <row r="370" spans="1:11" x14ac:dyDescent="0.25">
      <c r="A370" s="29">
        <v>369</v>
      </c>
      <c r="B370" s="30">
        <f t="shared" si="11"/>
        <v>43778</v>
      </c>
      <c r="C370" s="30" t="s">
        <v>960</v>
      </c>
      <c r="D370" s="54" t="s">
        <v>957</v>
      </c>
      <c r="E370" s="27" t="s">
        <v>757</v>
      </c>
      <c r="F370" s="28" t="s">
        <v>758</v>
      </c>
      <c r="G370" s="25" t="s">
        <v>869</v>
      </c>
      <c r="H370" s="25" t="s">
        <v>876</v>
      </c>
      <c r="I370" s="33">
        <f t="shared" si="10"/>
        <v>44649</v>
      </c>
      <c r="J370" s="29">
        <v>84</v>
      </c>
      <c r="K370" s="31">
        <f>StockInData[[#This Row],[Quantity]]*2.5</f>
        <v>210</v>
      </c>
    </row>
    <row r="371" spans="1:11" x14ac:dyDescent="0.25">
      <c r="A371" s="29">
        <v>370</v>
      </c>
      <c r="B371" s="30">
        <f t="shared" si="11"/>
        <v>43779</v>
      </c>
      <c r="C371" s="30" t="s">
        <v>960</v>
      </c>
      <c r="D371" s="54" t="s">
        <v>957</v>
      </c>
      <c r="E371" s="27" t="s">
        <v>759</v>
      </c>
      <c r="F371" s="28" t="s">
        <v>760</v>
      </c>
      <c r="G371" s="25" t="s">
        <v>869</v>
      </c>
      <c r="H371" s="25" t="s">
        <v>876</v>
      </c>
      <c r="I371" s="33">
        <f t="shared" si="10"/>
        <v>44651</v>
      </c>
      <c r="J371" s="29">
        <v>99</v>
      </c>
      <c r="K371" s="31">
        <f>StockInData[[#This Row],[Quantity]]*2.5</f>
        <v>247.5</v>
      </c>
    </row>
    <row r="372" spans="1:11" x14ac:dyDescent="0.25">
      <c r="A372" s="29">
        <v>371</v>
      </c>
      <c r="B372" s="30">
        <f t="shared" si="11"/>
        <v>43780</v>
      </c>
      <c r="C372" s="30" t="s">
        <v>960</v>
      </c>
      <c r="D372" s="54" t="s">
        <v>957</v>
      </c>
      <c r="E372" s="27" t="s">
        <v>761</v>
      </c>
      <c r="F372" s="28" t="s">
        <v>762</v>
      </c>
      <c r="G372" s="25" t="s">
        <v>869</v>
      </c>
      <c r="H372" s="25" t="s">
        <v>876</v>
      </c>
      <c r="I372" s="33">
        <f t="shared" si="10"/>
        <v>44653</v>
      </c>
      <c r="J372" s="29">
        <v>101</v>
      </c>
      <c r="K372" s="31">
        <f>StockInData[[#This Row],[Quantity]]*2.5</f>
        <v>252.5</v>
      </c>
    </row>
    <row r="373" spans="1:11" x14ac:dyDescent="0.25">
      <c r="A373" s="29">
        <v>372</v>
      </c>
      <c r="B373" s="30">
        <f t="shared" si="11"/>
        <v>43781</v>
      </c>
      <c r="C373" s="30" t="s">
        <v>960</v>
      </c>
      <c r="D373" s="54" t="s">
        <v>957</v>
      </c>
      <c r="E373" s="27" t="s">
        <v>763</v>
      </c>
      <c r="F373" s="28" t="s">
        <v>764</v>
      </c>
      <c r="G373" s="25" t="s">
        <v>869</v>
      </c>
      <c r="H373" s="25" t="s">
        <v>876</v>
      </c>
      <c r="I373" s="33">
        <f t="shared" si="10"/>
        <v>44655</v>
      </c>
      <c r="J373" s="29">
        <v>60</v>
      </c>
      <c r="K373" s="31">
        <f>StockInData[[#This Row],[Quantity]]*2.5</f>
        <v>150</v>
      </c>
    </row>
    <row r="374" spans="1:11" x14ac:dyDescent="0.25">
      <c r="A374" s="29">
        <v>373</v>
      </c>
      <c r="B374" s="30">
        <f t="shared" si="11"/>
        <v>43782</v>
      </c>
      <c r="C374" s="30" t="s">
        <v>960</v>
      </c>
      <c r="D374" s="54" t="s">
        <v>957</v>
      </c>
      <c r="E374" s="27" t="s">
        <v>765</v>
      </c>
      <c r="F374" s="28" t="s">
        <v>766</v>
      </c>
      <c r="G374" s="25" t="s">
        <v>869</v>
      </c>
      <c r="H374" s="25" t="s">
        <v>876</v>
      </c>
      <c r="I374" s="33">
        <f t="shared" si="10"/>
        <v>44657</v>
      </c>
      <c r="J374" s="29">
        <v>40</v>
      </c>
      <c r="K374" s="31">
        <f>StockInData[[#This Row],[Quantity]]*2.5</f>
        <v>100</v>
      </c>
    </row>
    <row r="375" spans="1:11" x14ac:dyDescent="0.25">
      <c r="A375" s="29">
        <v>374</v>
      </c>
      <c r="B375" s="30">
        <f t="shared" si="11"/>
        <v>43783</v>
      </c>
      <c r="C375" s="30" t="s">
        <v>960</v>
      </c>
      <c r="D375" s="54" t="s">
        <v>957</v>
      </c>
      <c r="E375" s="27" t="s">
        <v>767</v>
      </c>
      <c r="F375" s="28" t="s">
        <v>768</v>
      </c>
      <c r="G375" s="25" t="s">
        <v>869</v>
      </c>
      <c r="H375" s="25" t="s">
        <v>876</v>
      </c>
      <c r="I375" s="33">
        <f t="shared" si="10"/>
        <v>44659</v>
      </c>
      <c r="J375" s="29">
        <v>30</v>
      </c>
      <c r="K375" s="31">
        <f>StockInData[[#This Row],[Quantity]]*2.5</f>
        <v>75</v>
      </c>
    </row>
    <row r="376" spans="1:11" x14ac:dyDescent="0.25">
      <c r="A376" s="29">
        <v>375</v>
      </c>
      <c r="B376" s="30">
        <f t="shared" si="11"/>
        <v>43784</v>
      </c>
      <c r="C376" s="30" t="s">
        <v>960</v>
      </c>
      <c r="D376" s="54" t="s">
        <v>957</v>
      </c>
      <c r="E376" s="27" t="s">
        <v>769</v>
      </c>
      <c r="F376" s="28" t="s">
        <v>770</v>
      </c>
      <c r="G376" s="25" t="s">
        <v>869</v>
      </c>
      <c r="H376" s="25" t="s">
        <v>876</v>
      </c>
      <c r="I376" s="33">
        <f t="shared" si="10"/>
        <v>44661</v>
      </c>
      <c r="J376" s="29">
        <v>25</v>
      </c>
      <c r="K376" s="31">
        <f>StockInData[[#This Row],[Quantity]]*2.5</f>
        <v>62.5</v>
      </c>
    </row>
    <row r="377" spans="1:11" x14ac:dyDescent="0.25">
      <c r="A377" s="29">
        <v>376</v>
      </c>
      <c r="B377" s="30">
        <f t="shared" si="11"/>
        <v>43785</v>
      </c>
      <c r="C377" s="30" t="s">
        <v>960</v>
      </c>
      <c r="D377" s="54" t="s">
        <v>957</v>
      </c>
      <c r="E377" s="27" t="s">
        <v>771</v>
      </c>
      <c r="F377" s="28" t="s">
        <v>772</v>
      </c>
      <c r="G377" s="25" t="s">
        <v>869</v>
      </c>
      <c r="H377" s="25" t="s">
        <v>876</v>
      </c>
      <c r="I377" s="33">
        <f t="shared" si="10"/>
        <v>44663</v>
      </c>
      <c r="J377" s="29">
        <v>20</v>
      </c>
      <c r="K377" s="31">
        <f>StockInData[[#This Row],[Quantity]]*2.5</f>
        <v>50</v>
      </c>
    </row>
    <row r="378" spans="1:11" x14ac:dyDescent="0.25">
      <c r="A378" s="29">
        <v>377</v>
      </c>
      <c r="B378" s="30">
        <f t="shared" si="11"/>
        <v>43786</v>
      </c>
      <c r="C378" s="30" t="s">
        <v>960</v>
      </c>
      <c r="D378" s="54" t="s">
        <v>957</v>
      </c>
      <c r="E378" s="27" t="s">
        <v>773</v>
      </c>
      <c r="F378" s="28" t="s">
        <v>774</v>
      </c>
      <c r="G378" s="25" t="s">
        <v>869</v>
      </c>
      <c r="H378" s="25" t="s">
        <v>876</v>
      </c>
      <c r="I378" s="33">
        <f t="shared" si="10"/>
        <v>44665</v>
      </c>
      <c r="J378" s="29">
        <v>19</v>
      </c>
      <c r="K378" s="31">
        <f>StockInData[[#This Row],[Quantity]]*2.5</f>
        <v>47.5</v>
      </c>
    </row>
    <row r="379" spans="1:11" x14ac:dyDescent="0.25">
      <c r="A379" s="29">
        <v>378</v>
      </c>
      <c r="B379" s="30">
        <f t="shared" si="11"/>
        <v>43787</v>
      </c>
      <c r="C379" s="30" t="s">
        <v>960</v>
      </c>
      <c r="D379" s="54" t="s">
        <v>957</v>
      </c>
      <c r="E379" s="27" t="s">
        <v>775</v>
      </c>
      <c r="F379" s="28" t="s">
        <v>776</v>
      </c>
      <c r="G379" s="25" t="s">
        <v>869</v>
      </c>
      <c r="H379" s="25" t="s">
        <v>876</v>
      </c>
      <c r="I379" s="33">
        <f t="shared" si="10"/>
        <v>44667</v>
      </c>
      <c r="J379" s="29">
        <v>23</v>
      </c>
      <c r="K379" s="31">
        <f>StockInData[[#This Row],[Quantity]]*2.5</f>
        <v>57.5</v>
      </c>
    </row>
    <row r="380" spans="1:11" x14ac:dyDescent="0.25">
      <c r="A380" s="29">
        <v>379</v>
      </c>
      <c r="B380" s="30">
        <f t="shared" si="11"/>
        <v>43788</v>
      </c>
      <c r="C380" s="30" t="s">
        <v>960</v>
      </c>
      <c r="D380" s="54" t="s">
        <v>957</v>
      </c>
      <c r="E380" s="27" t="s">
        <v>777</v>
      </c>
      <c r="F380" s="28" t="s">
        <v>778</v>
      </c>
      <c r="G380" s="25" t="s">
        <v>869</v>
      </c>
      <c r="H380" s="25" t="s">
        <v>876</v>
      </c>
      <c r="I380" s="33">
        <f t="shared" si="10"/>
        <v>44669</v>
      </c>
      <c r="J380" s="29">
        <v>65</v>
      </c>
      <c r="K380" s="31">
        <f>StockInData[[#This Row],[Quantity]]*2.5</f>
        <v>162.5</v>
      </c>
    </row>
    <row r="381" spans="1:11" x14ac:dyDescent="0.25">
      <c r="A381" s="29">
        <v>380</v>
      </c>
      <c r="B381" s="30">
        <f t="shared" si="11"/>
        <v>43789</v>
      </c>
      <c r="C381" s="30" t="s">
        <v>960</v>
      </c>
      <c r="D381" s="54" t="s">
        <v>957</v>
      </c>
      <c r="E381" s="27" t="s">
        <v>779</v>
      </c>
      <c r="F381" s="28" t="s">
        <v>780</v>
      </c>
      <c r="G381" s="25" t="s">
        <v>869</v>
      </c>
      <c r="H381" s="25" t="s">
        <v>876</v>
      </c>
      <c r="I381" s="33">
        <f t="shared" si="10"/>
        <v>44671</v>
      </c>
      <c r="J381" s="29">
        <v>74</v>
      </c>
      <c r="K381" s="31">
        <f>StockInData[[#This Row],[Quantity]]*2.5</f>
        <v>185</v>
      </c>
    </row>
    <row r="382" spans="1:11" x14ac:dyDescent="0.25">
      <c r="A382" s="29">
        <v>381</v>
      </c>
      <c r="B382" s="30">
        <f t="shared" si="11"/>
        <v>43790</v>
      </c>
      <c r="C382" s="30" t="s">
        <v>960</v>
      </c>
      <c r="D382" s="54" t="s">
        <v>957</v>
      </c>
      <c r="E382" s="27" t="s">
        <v>781</v>
      </c>
      <c r="F382" s="28" t="s">
        <v>782</v>
      </c>
      <c r="G382" s="25" t="s">
        <v>869</v>
      </c>
      <c r="H382" s="25" t="s">
        <v>876</v>
      </c>
      <c r="I382" s="33">
        <f t="shared" si="10"/>
        <v>44673</v>
      </c>
      <c r="J382" s="29">
        <v>84</v>
      </c>
      <c r="K382" s="31">
        <f>StockInData[[#This Row],[Quantity]]*2.5</f>
        <v>210</v>
      </c>
    </row>
    <row r="383" spans="1:11" x14ac:dyDescent="0.25">
      <c r="A383" s="29">
        <v>382</v>
      </c>
      <c r="B383" s="30">
        <f t="shared" si="11"/>
        <v>43791</v>
      </c>
      <c r="C383" s="30" t="s">
        <v>960</v>
      </c>
      <c r="D383" s="54" t="s">
        <v>957</v>
      </c>
      <c r="E383" s="27" t="s">
        <v>783</v>
      </c>
      <c r="F383" s="28" t="s">
        <v>784</v>
      </c>
      <c r="G383" s="25" t="s">
        <v>869</v>
      </c>
      <c r="H383" s="25" t="s">
        <v>876</v>
      </c>
      <c r="I383" s="33">
        <f t="shared" si="10"/>
        <v>44675</v>
      </c>
      <c r="J383" s="29">
        <v>99</v>
      </c>
      <c r="K383" s="31">
        <f>StockInData[[#This Row],[Quantity]]*2.5</f>
        <v>247.5</v>
      </c>
    </row>
    <row r="384" spans="1:11" x14ac:dyDescent="0.25">
      <c r="A384" s="29">
        <v>383</v>
      </c>
      <c r="B384" s="30">
        <f t="shared" si="11"/>
        <v>43792</v>
      </c>
      <c r="C384" s="30" t="s">
        <v>960</v>
      </c>
      <c r="D384" s="54" t="s">
        <v>957</v>
      </c>
      <c r="E384" s="27" t="s">
        <v>785</v>
      </c>
      <c r="F384" s="28" t="s">
        <v>786</v>
      </c>
      <c r="G384" s="25" t="s">
        <v>869</v>
      </c>
      <c r="H384" s="25" t="s">
        <v>876</v>
      </c>
      <c r="I384" s="33">
        <f t="shared" si="10"/>
        <v>44677</v>
      </c>
      <c r="J384" s="29">
        <v>101</v>
      </c>
      <c r="K384" s="31">
        <f>StockInData[[#This Row],[Quantity]]*2.5</f>
        <v>252.5</v>
      </c>
    </row>
    <row r="385" spans="1:11" x14ac:dyDescent="0.25">
      <c r="A385" s="29">
        <v>384</v>
      </c>
      <c r="B385" s="30">
        <f t="shared" si="11"/>
        <v>43793</v>
      </c>
      <c r="C385" s="30" t="s">
        <v>960</v>
      </c>
      <c r="D385" s="54" t="s">
        <v>957</v>
      </c>
      <c r="E385" s="27" t="s">
        <v>787</v>
      </c>
      <c r="F385" s="28" t="s">
        <v>788</v>
      </c>
      <c r="G385" s="25" t="s">
        <v>869</v>
      </c>
      <c r="H385" s="25" t="s">
        <v>876</v>
      </c>
      <c r="I385" s="33">
        <f t="shared" si="10"/>
        <v>44679</v>
      </c>
      <c r="J385" s="29">
        <v>60</v>
      </c>
      <c r="K385" s="31">
        <f>StockInData[[#This Row],[Quantity]]*2.5</f>
        <v>150</v>
      </c>
    </row>
    <row r="386" spans="1:11" x14ac:dyDescent="0.25">
      <c r="A386" s="29">
        <v>385</v>
      </c>
      <c r="B386" s="30">
        <f t="shared" si="11"/>
        <v>43794</v>
      </c>
      <c r="C386" s="30" t="s">
        <v>960</v>
      </c>
      <c r="D386" s="54" t="s">
        <v>957</v>
      </c>
      <c r="E386" s="27" t="s">
        <v>789</v>
      </c>
      <c r="F386" s="28" t="s">
        <v>790</v>
      </c>
      <c r="G386" s="25" t="s">
        <v>869</v>
      </c>
      <c r="H386" s="25" t="s">
        <v>876</v>
      </c>
      <c r="I386" s="33">
        <f t="shared" si="10"/>
        <v>44681</v>
      </c>
      <c r="J386" s="29">
        <v>40</v>
      </c>
      <c r="K386" s="31">
        <f>StockInData[[#This Row],[Quantity]]*2.5</f>
        <v>100</v>
      </c>
    </row>
    <row r="387" spans="1:11" x14ac:dyDescent="0.25">
      <c r="A387" s="29">
        <v>386</v>
      </c>
      <c r="B387" s="30">
        <f t="shared" si="11"/>
        <v>43795</v>
      </c>
      <c r="C387" s="30" t="s">
        <v>960</v>
      </c>
      <c r="D387" s="54" t="s">
        <v>957</v>
      </c>
      <c r="E387" s="27" t="s">
        <v>791</v>
      </c>
      <c r="F387" s="28" t="s">
        <v>792</v>
      </c>
      <c r="G387" s="25" t="s">
        <v>869</v>
      </c>
      <c r="H387" s="25" t="s">
        <v>876</v>
      </c>
      <c r="I387" s="33">
        <f t="shared" si="10"/>
        <v>44683</v>
      </c>
      <c r="J387" s="29">
        <v>30</v>
      </c>
      <c r="K387" s="31">
        <f>StockInData[[#This Row],[Quantity]]*2.5</f>
        <v>75</v>
      </c>
    </row>
    <row r="388" spans="1:11" x14ac:dyDescent="0.25">
      <c r="A388" s="29">
        <v>387</v>
      </c>
      <c r="B388" s="30">
        <f t="shared" si="11"/>
        <v>43796</v>
      </c>
      <c r="C388" s="30" t="s">
        <v>960</v>
      </c>
      <c r="D388" s="54" t="s">
        <v>957</v>
      </c>
      <c r="E388" s="27" t="s">
        <v>793</v>
      </c>
      <c r="F388" s="28" t="s">
        <v>794</v>
      </c>
      <c r="G388" s="25" t="s">
        <v>869</v>
      </c>
      <c r="H388" s="25" t="s">
        <v>876</v>
      </c>
      <c r="I388" s="33">
        <f t="shared" ref="I388:I427" si="12">I387+2</f>
        <v>44685</v>
      </c>
      <c r="J388" s="29">
        <v>25</v>
      </c>
      <c r="K388" s="31">
        <f>StockInData[[#This Row],[Quantity]]*2.5</f>
        <v>62.5</v>
      </c>
    </row>
    <row r="389" spans="1:11" x14ac:dyDescent="0.25">
      <c r="A389" s="29">
        <v>388</v>
      </c>
      <c r="B389" s="30">
        <f t="shared" ref="B389:B425" si="13">B388+1</f>
        <v>43797</v>
      </c>
      <c r="C389" s="30" t="s">
        <v>960</v>
      </c>
      <c r="D389" s="54" t="s">
        <v>957</v>
      </c>
      <c r="E389" s="27" t="s">
        <v>795</v>
      </c>
      <c r="F389" s="28" t="s">
        <v>796</v>
      </c>
      <c r="G389" s="25" t="s">
        <v>869</v>
      </c>
      <c r="H389" s="25" t="s">
        <v>876</v>
      </c>
      <c r="I389" s="33">
        <f t="shared" si="12"/>
        <v>44687</v>
      </c>
      <c r="J389" s="29">
        <v>20</v>
      </c>
      <c r="K389" s="31">
        <f>StockInData[[#This Row],[Quantity]]*2.5</f>
        <v>50</v>
      </c>
    </row>
    <row r="390" spans="1:11" x14ac:dyDescent="0.25">
      <c r="A390" s="29">
        <v>389</v>
      </c>
      <c r="B390" s="30">
        <f t="shared" si="13"/>
        <v>43798</v>
      </c>
      <c r="C390" s="30" t="s">
        <v>960</v>
      </c>
      <c r="D390" s="54" t="s">
        <v>957</v>
      </c>
      <c r="E390" s="27" t="s">
        <v>797</v>
      </c>
      <c r="F390" s="28" t="s">
        <v>798</v>
      </c>
      <c r="G390" s="25" t="s">
        <v>869</v>
      </c>
      <c r="H390" s="25" t="s">
        <v>876</v>
      </c>
      <c r="I390" s="33">
        <f t="shared" si="12"/>
        <v>44689</v>
      </c>
      <c r="J390" s="29">
        <v>19</v>
      </c>
      <c r="K390" s="31">
        <f>StockInData[[#This Row],[Quantity]]*2.5</f>
        <v>47.5</v>
      </c>
    </row>
    <row r="391" spans="1:11" x14ac:dyDescent="0.25">
      <c r="A391" s="29">
        <v>390</v>
      </c>
      <c r="B391" s="30">
        <f t="shared" si="13"/>
        <v>43799</v>
      </c>
      <c r="C391" s="30" t="s">
        <v>960</v>
      </c>
      <c r="D391" s="54" t="s">
        <v>957</v>
      </c>
      <c r="E391" s="27" t="s">
        <v>799</v>
      </c>
      <c r="F391" s="28" t="s">
        <v>800</v>
      </c>
      <c r="G391" s="25" t="s">
        <v>869</v>
      </c>
      <c r="H391" s="25" t="s">
        <v>871</v>
      </c>
      <c r="I391" s="33">
        <f t="shared" si="12"/>
        <v>44691</v>
      </c>
      <c r="J391" s="29">
        <v>23</v>
      </c>
      <c r="K391" s="31">
        <f>StockInData[[#This Row],[Quantity]]*2.5</f>
        <v>57.5</v>
      </c>
    </row>
    <row r="392" spans="1:11" x14ac:dyDescent="0.25">
      <c r="A392" s="29">
        <v>391</v>
      </c>
      <c r="B392" s="30">
        <f t="shared" si="13"/>
        <v>43800</v>
      </c>
      <c r="C392" s="30" t="s">
        <v>960</v>
      </c>
      <c r="D392" s="54" t="s">
        <v>957</v>
      </c>
      <c r="E392" s="27" t="s">
        <v>801</v>
      </c>
      <c r="F392" s="28" t="s">
        <v>802</v>
      </c>
      <c r="G392" s="25" t="s">
        <v>869</v>
      </c>
      <c r="H392" s="25" t="s">
        <v>871</v>
      </c>
      <c r="I392" s="33">
        <f t="shared" si="12"/>
        <v>44693</v>
      </c>
      <c r="J392" s="29">
        <v>65</v>
      </c>
      <c r="K392" s="31">
        <f>StockInData[[#This Row],[Quantity]]*2.5</f>
        <v>162.5</v>
      </c>
    </row>
    <row r="393" spans="1:11" x14ac:dyDescent="0.25">
      <c r="A393" s="29">
        <v>392</v>
      </c>
      <c r="B393" s="30">
        <f t="shared" si="13"/>
        <v>43801</v>
      </c>
      <c r="C393" s="30" t="s">
        <v>960</v>
      </c>
      <c r="D393" s="54" t="s">
        <v>957</v>
      </c>
      <c r="E393" s="27" t="s">
        <v>803</v>
      </c>
      <c r="F393" s="28" t="s">
        <v>804</v>
      </c>
      <c r="G393" s="25" t="s">
        <v>869</v>
      </c>
      <c r="H393" s="25" t="s">
        <v>871</v>
      </c>
      <c r="I393" s="33">
        <f t="shared" si="12"/>
        <v>44695</v>
      </c>
      <c r="J393" s="29">
        <v>74</v>
      </c>
      <c r="K393" s="31">
        <f>StockInData[[#This Row],[Quantity]]*2.5</f>
        <v>185</v>
      </c>
    </row>
    <row r="394" spans="1:11" x14ac:dyDescent="0.25">
      <c r="A394" s="29">
        <v>393</v>
      </c>
      <c r="B394" s="30">
        <f t="shared" si="13"/>
        <v>43802</v>
      </c>
      <c r="C394" s="30" t="s">
        <v>960</v>
      </c>
      <c r="D394" s="54" t="s">
        <v>957</v>
      </c>
      <c r="E394" s="27" t="s">
        <v>805</v>
      </c>
      <c r="F394" s="28" t="s">
        <v>806</v>
      </c>
      <c r="G394" s="25" t="s">
        <v>869</v>
      </c>
      <c r="H394" s="25" t="s">
        <v>871</v>
      </c>
      <c r="I394" s="33">
        <f t="shared" si="12"/>
        <v>44697</v>
      </c>
      <c r="J394" s="29">
        <v>84</v>
      </c>
      <c r="K394" s="31">
        <f>StockInData[[#This Row],[Quantity]]*2.5</f>
        <v>210</v>
      </c>
    </row>
    <row r="395" spans="1:11" x14ac:dyDescent="0.25">
      <c r="A395" s="29">
        <v>394</v>
      </c>
      <c r="B395" s="30">
        <f t="shared" si="13"/>
        <v>43803</v>
      </c>
      <c r="C395" s="30" t="s">
        <v>960</v>
      </c>
      <c r="D395" s="54" t="s">
        <v>957</v>
      </c>
      <c r="E395" s="27" t="s">
        <v>807</v>
      </c>
      <c r="F395" s="28" t="s">
        <v>808</v>
      </c>
      <c r="G395" s="25" t="s">
        <v>869</v>
      </c>
      <c r="H395" s="25" t="s">
        <v>871</v>
      </c>
      <c r="I395" s="33">
        <f t="shared" si="12"/>
        <v>44699</v>
      </c>
      <c r="J395" s="29">
        <v>99</v>
      </c>
      <c r="K395" s="31">
        <f>StockInData[[#This Row],[Quantity]]*2.5</f>
        <v>247.5</v>
      </c>
    </row>
    <row r="396" spans="1:11" x14ac:dyDescent="0.25">
      <c r="A396" s="29">
        <v>395</v>
      </c>
      <c r="B396" s="30">
        <f t="shared" si="13"/>
        <v>43804</v>
      </c>
      <c r="C396" s="30" t="s">
        <v>960</v>
      </c>
      <c r="D396" s="54" t="s">
        <v>957</v>
      </c>
      <c r="E396" s="27" t="s">
        <v>809</v>
      </c>
      <c r="F396" s="28" t="s">
        <v>810</v>
      </c>
      <c r="G396" s="25" t="s">
        <v>869</v>
      </c>
      <c r="H396" s="25" t="s">
        <v>871</v>
      </c>
      <c r="I396" s="33">
        <f t="shared" si="12"/>
        <v>44701</v>
      </c>
      <c r="J396" s="29">
        <v>101</v>
      </c>
      <c r="K396" s="31">
        <f>StockInData[[#This Row],[Quantity]]*2.5</f>
        <v>252.5</v>
      </c>
    </row>
    <row r="397" spans="1:11" x14ac:dyDescent="0.25">
      <c r="A397" s="29">
        <v>396</v>
      </c>
      <c r="B397" s="30">
        <f t="shared" si="13"/>
        <v>43805</v>
      </c>
      <c r="C397" s="30" t="s">
        <v>960</v>
      </c>
      <c r="D397" s="54" t="s">
        <v>957</v>
      </c>
      <c r="E397" s="27" t="s">
        <v>811</v>
      </c>
      <c r="F397" s="28" t="s">
        <v>812</v>
      </c>
      <c r="G397" s="25" t="s">
        <v>869</v>
      </c>
      <c r="H397" s="25" t="s">
        <v>871</v>
      </c>
      <c r="I397" s="33">
        <f t="shared" si="12"/>
        <v>44703</v>
      </c>
      <c r="J397" s="29">
        <v>100</v>
      </c>
      <c r="K397" s="31">
        <f>StockInData[[#This Row],[Quantity]]*2.5</f>
        <v>250</v>
      </c>
    </row>
    <row r="398" spans="1:11" x14ac:dyDescent="0.25">
      <c r="A398" s="29">
        <v>397</v>
      </c>
      <c r="B398" s="30">
        <f t="shared" si="13"/>
        <v>43806</v>
      </c>
      <c r="C398" s="30" t="s">
        <v>960</v>
      </c>
      <c r="D398" s="54" t="s">
        <v>957</v>
      </c>
      <c r="E398" s="27" t="s">
        <v>813</v>
      </c>
      <c r="F398" s="28" t="s">
        <v>814</v>
      </c>
      <c r="G398" s="25" t="s">
        <v>869</v>
      </c>
      <c r="H398" s="25" t="s">
        <v>871</v>
      </c>
      <c r="I398" s="33">
        <f t="shared" si="12"/>
        <v>44705</v>
      </c>
      <c r="J398" s="29">
        <v>60</v>
      </c>
      <c r="K398" s="31">
        <f>StockInData[[#This Row],[Quantity]]*2.5</f>
        <v>150</v>
      </c>
    </row>
    <row r="399" spans="1:11" x14ac:dyDescent="0.25">
      <c r="A399" s="29">
        <v>398</v>
      </c>
      <c r="B399" s="30">
        <f t="shared" si="13"/>
        <v>43807</v>
      </c>
      <c r="C399" s="30" t="s">
        <v>960</v>
      </c>
      <c r="D399" s="54" t="s">
        <v>957</v>
      </c>
      <c r="E399" s="27" t="s">
        <v>815</v>
      </c>
      <c r="F399" s="28" t="s">
        <v>816</v>
      </c>
      <c r="G399" s="25" t="s">
        <v>869</v>
      </c>
      <c r="H399" s="25" t="s">
        <v>871</v>
      </c>
      <c r="I399" s="33">
        <f t="shared" si="12"/>
        <v>44707</v>
      </c>
      <c r="J399" s="29">
        <v>40</v>
      </c>
      <c r="K399" s="31">
        <f>StockInData[[#This Row],[Quantity]]*2.5</f>
        <v>100</v>
      </c>
    </row>
    <row r="400" spans="1:11" x14ac:dyDescent="0.25">
      <c r="A400" s="29">
        <v>399</v>
      </c>
      <c r="B400" s="30">
        <f t="shared" si="13"/>
        <v>43808</v>
      </c>
      <c r="C400" s="30" t="s">
        <v>960</v>
      </c>
      <c r="D400" s="54" t="s">
        <v>957</v>
      </c>
      <c r="E400" s="27" t="s">
        <v>817</v>
      </c>
      <c r="F400" s="28" t="s">
        <v>818</v>
      </c>
      <c r="G400" s="25" t="s">
        <v>869</v>
      </c>
      <c r="H400" s="25" t="s">
        <v>871</v>
      </c>
      <c r="I400" s="33">
        <f t="shared" si="12"/>
        <v>44709</v>
      </c>
      <c r="J400" s="29">
        <v>30</v>
      </c>
      <c r="K400" s="31">
        <f>StockInData[[#This Row],[Quantity]]*2.5</f>
        <v>75</v>
      </c>
    </row>
    <row r="401" spans="1:11" x14ac:dyDescent="0.25">
      <c r="A401" s="29">
        <v>400</v>
      </c>
      <c r="B401" s="30">
        <f t="shared" si="13"/>
        <v>43809</v>
      </c>
      <c r="C401" s="30" t="s">
        <v>960</v>
      </c>
      <c r="D401" s="54" t="s">
        <v>957</v>
      </c>
      <c r="E401" s="27" t="s">
        <v>819</v>
      </c>
      <c r="F401" s="28" t="s">
        <v>820</v>
      </c>
      <c r="G401" s="25" t="s">
        <v>869</v>
      </c>
      <c r="H401" s="25" t="s">
        <v>871</v>
      </c>
      <c r="I401" s="33">
        <f t="shared" si="12"/>
        <v>44711</v>
      </c>
      <c r="J401" s="29">
        <v>25</v>
      </c>
      <c r="K401" s="31">
        <f>StockInData[[#This Row],[Quantity]]*2.5</f>
        <v>62.5</v>
      </c>
    </row>
    <row r="402" spans="1:11" x14ac:dyDescent="0.25">
      <c r="A402" s="29">
        <v>401</v>
      </c>
      <c r="B402" s="30">
        <f t="shared" si="13"/>
        <v>43810</v>
      </c>
      <c r="C402" s="30" t="s">
        <v>960</v>
      </c>
      <c r="D402" s="54" t="s">
        <v>957</v>
      </c>
      <c r="E402" s="27" t="s">
        <v>821</v>
      </c>
      <c r="F402" s="28" t="s">
        <v>822</v>
      </c>
      <c r="G402" s="25" t="s">
        <v>869</v>
      </c>
      <c r="H402" s="25" t="s">
        <v>871</v>
      </c>
      <c r="I402" s="33">
        <f t="shared" si="12"/>
        <v>44713</v>
      </c>
      <c r="J402" s="29">
        <v>20</v>
      </c>
      <c r="K402" s="31">
        <f>StockInData[[#This Row],[Quantity]]*2.5</f>
        <v>50</v>
      </c>
    </row>
    <row r="403" spans="1:11" x14ac:dyDescent="0.25">
      <c r="A403" s="29">
        <v>402</v>
      </c>
      <c r="B403" s="30">
        <f t="shared" si="13"/>
        <v>43811</v>
      </c>
      <c r="C403" s="30" t="s">
        <v>960</v>
      </c>
      <c r="D403" s="54" t="s">
        <v>957</v>
      </c>
      <c r="E403" s="27" t="s">
        <v>823</v>
      </c>
      <c r="F403" s="28" t="s">
        <v>824</v>
      </c>
      <c r="G403" s="25" t="s">
        <v>869</v>
      </c>
      <c r="H403" s="25" t="s">
        <v>871</v>
      </c>
      <c r="I403" s="33">
        <f t="shared" si="12"/>
        <v>44715</v>
      </c>
      <c r="J403" s="29">
        <v>19</v>
      </c>
      <c r="K403" s="31">
        <f>StockInData[[#This Row],[Quantity]]*2.5</f>
        <v>47.5</v>
      </c>
    </row>
    <row r="404" spans="1:11" x14ac:dyDescent="0.25">
      <c r="A404" s="29">
        <v>403</v>
      </c>
      <c r="B404" s="30">
        <f t="shared" si="13"/>
        <v>43812</v>
      </c>
      <c r="C404" s="30" t="s">
        <v>960</v>
      </c>
      <c r="D404" s="54" t="s">
        <v>957</v>
      </c>
      <c r="E404" s="27" t="s">
        <v>825</v>
      </c>
      <c r="F404" s="28" t="s">
        <v>826</v>
      </c>
      <c r="G404" s="25" t="s">
        <v>869</v>
      </c>
      <c r="H404" s="25" t="s">
        <v>871</v>
      </c>
      <c r="I404" s="33">
        <f t="shared" si="12"/>
        <v>44717</v>
      </c>
      <c r="J404" s="29">
        <v>23</v>
      </c>
      <c r="K404" s="31">
        <f>StockInData[[#This Row],[Quantity]]*2.5</f>
        <v>57.5</v>
      </c>
    </row>
    <row r="405" spans="1:11" x14ac:dyDescent="0.25">
      <c r="A405" s="29">
        <v>404</v>
      </c>
      <c r="B405" s="30">
        <f t="shared" si="13"/>
        <v>43813</v>
      </c>
      <c r="C405" s="30" t="s">
        <v>960</v>
      </c>
      <c r="D405" s="54" t="s">
        <v>957</v>
      </c>
      <c r="E405" s="27" t="s">
        <v>827</v>
      </c>
      <c r="F405" s="28" t="s">
        <v>828</v>
      </c>
      <c r="G405" s="25" t="s">
        <v>869</v>
      </c>
      <c r="H405" s="25" t="s">
        <v>871</v>
      </c>
      <c r="I405" s="33">
        <f t="shared" si="12"/>
        <v>44719</v>
      </c>
      <c r="J405" s="29">
        <v>65</v>
      </c>
      <c r="K405" s="31">
        <f>StockInData[[#This Row],[Quantity]]*2.5</f>
        <v>162.5</v>
      </c>
    </row>
    <row r="406" spans="1:11" x14ac:dyDescent="0.25">
      <c r="A406" s="29">
        <v>405</v>
      </c>
      <c r="B406" s="30">
        <f t="shared" si="13"/>
        <v>43814</v>
      </c>
      <c r="C406" s="30" t="s">
        <v>960</v>
      </c>
      <c r="D406" s="54" t="s">
        <v>957</v>
      </c>
      <c r="E406" s="27" t="s">
        <v>829</v>
      </c>
      <c r="F406" s="28" t="s">
        <v>830</v>
      </c>
      <c r="G406" s="25" t="s">
        <v>869</v>
      </c>
      <c r="H406" s="25" t="s">
        <v>871</v>
      </c>
      <c r="I406" s="33">
        <f t="shared" si="12"/>
        <v>44721</v>
      </c>
      <c r="J406" s="29">
        <v>74</v>
      </c>
      <c r="K406" s="31">
        <f>StockInData[[#This Row],[Quantity]]*2.5</f>
        <v>185</v>
      </c>
    </row>
    <row r="407" spans="1:11" x14ac:dyDescent="0.25">
      <c r="A407" s="29">
        <v>406</v>
      </c>
      <c r="B407" s="30">
        <f t="shared" si="13"/>
        <v>43815</v>
      </c>
      <c r="C407" s="30" t="s">
        <v>960</v>
      </c>
      <c r="D407" s="54" t="s">
        <v>957</v>
      </c>
      <c r="E407" s="27" t="s">
        <v>831</v>
      </c>
      <c r="F407" s="28" t="s">
        <v>832</v>
      </c>
      <c r="G407" s="25" t="s">
        <v>869</v>
      </c>
      <c r="H407" s="25" t="s">
        <v>871</v>
      </c>
      <c r="I407" s="33">
        <f t="shared" si="12"/>
        <v>44723</v>
      </c>
      <c r="J407" s="29">
        <v>84</v>
      </c>
      <c r="K407" s="31">
        <f>StockInData[[#This Row],[Quantity]]*2.5</f>
        <v>210</v>
      </c>
    </row>
    <row r="408" spans="1:11" x14ac:dyDescent="0.25">
      <c r="A408" s="29">
        <v>407</v>
      </c>
      <c r="B408" s="30">
        <f t="shared" si="13"/>
        <v>43816</v>
      </c>
      <c r="C408" s="30" t="s">
        <v>960</v>
      </c>
      <c r="D408" s="54" t="s">
        <v>957</v>
      </c>
      <c r="E408" s="27" t="s">
        <v>833</v>
      </c>
      <c r="F408" s="28" t="s">
        <v>834</v>
      </c>
      <c r="G408" s="25" t="s">
        <v>869</v>
      </c>
      <c r="H408" s="25" t="s">
        <v>871</v>
      </c>
      <c r="I408" s="33">
        <f t="shared" si="12"/>
        <v>44725</v>
      </c>
      <c r="J408" s="29">
        <v>99</v>
      </c>
      <c r="K408" s="31">
        <f>StockInData[[#This Row],[Quantity]]*2.5</f>
        <v>247.5</v>
      </c>
    </row>
    <row r="409" spans="1:11" x14ac:dyDescent="0.25">
      <c r="A409" s="29">
        <v>408</v>
      </c>
      <c r="B409" s="30">
        <f t="shared" si="13"/>
        <v>43817</v>
      </c>
      <c r="C409" s="30" t="s">
        <v>960</v>
      </c>
      <c r="D409" s="54" t="s">
        <v>957</v>
      </c>
      <c r="E409" s="27" t="s">
        <v>835</v>
      </c>
      <c r="F409" s="28" t="s">
        <v>836</v>
      </c>
      <c r="G409" s="25" t="s">
        <v>869</v>
      </c>
      <c r="H409" s="25" t="s">
        <v>871</v>
      </c>
      <c r="I409" s="33">
        <f t="shared" si="12"/>
        <v>44727</v>
      </c>
      <c r="J409" s="29">
        <v>40</v>
      </c>
      <c r="K409" s="31">
        <f>StockInData[[#This Row],[Quantity]]*2.5</f>
        <v>100</v>
      </c>
    </row>
    <row r="410" spans="1:11" x14ac:dyDescent="0.25">
      <c r="A410" s="29">
        <v>409</v>
      </c>
      <c r="B410" s="30">
        <f t="shared" si="13"/>
        <v>43818</v>
      </c>
      <c r="C410" s="30" t="s">
        <v>960</v>
      </c>
      <c r="D410" s="54" t="s">
        <v>957</v>
      </c>
      <c r="E410" s="27" t="s">
        <v>837</v>
      </c>
      <c r="F410" s="28" t="s">
        <v>838</v>
      </c>
      <c r="G410" s="25" t="s">
        <v>869</v>
      </c>
      <c r="H410" s="25" t="s">
        <v>870</v>
      </c>
      <c r="I410" s="33">
        <f t="shared" si="12"/>
        <v>44729</v>
      </c>
      <c r="J410" s="29">
        <v>30</v>
      </c>
      <c r="K410" s="31">
        <f>StockInData[[#This Row],[Quantity]]*2.5</f>
        <v>75</v>
      </c>
    </row>
    <row r="411" spans="1:11" x14ac:dyDescent="0.25">
      <c r="A411" s="29">
        <v>410</v>
      </c>
      <c r="B411" s="30">
        <f t="shared" si="13"/>
        <v>43819</v>
      </c>
      <c r="C411" s="30" t="s">
        <v>960</v>
      </c>
      <c r="D411" s="54" t="s">
        <v>957</v>
      </c>
      <c r="E411" s="27" t="s">
        <v>839</v>
      </c>
      <c r="F411" s="28" t="s">
        <v>840</v>
      </c>
      <c r="G411" s="25" t="s">
        <v>869</v>
      </c>
      <c r="H411" s="25" t="s">
        <v>870</v>
      </c>
      <c r="I411" s="33">
        <f t="shared" si="12"/>
        <v>44731</v>
      </c>
      <c r="J411" s="29">
        <v>25</v>
      </c>
      <c r="K411" s="31">
        <f>StockInData[[#This Row],[Quantity]]*2.5</f>
        <v>62.5</v>
      </c>
    </row>
    <row r="412" spans="1:11" x14ac:dyDescent="0.25">
      <c r="A412" s="29">
        <v>411</v>
      </c>
      <c r="B412" s="30">
        <f t="shared" si="13"/>
        <v>43820</v>
      </c>
      <c r="C412" s="30" t="s">
        <v>960</v>
      </c>
      <c r="D412" s="54" t="s">
        <v>957</v>
      </c>
      <c r="E412" s="27" t="s">
        <v>841</v>
      </c>
      <c r="F412" s="28" t="s">
        <v>842</v>
      </c>
      <c r="G412" s="25" t="s">
        <v>869</v>
      </c>
      <c r="H412" s="25" t="s">
        <v>870</v>
      </c>
      <c r="I412" s="33">
        <f t="shared" si="12"/>
        <v>44733</v>
      </c>
      <c r="J412" s="29">
        <v>20</v>
      </c>
      <c r="K412" s="31">
        <f>StockInData[[#This Row],[Quantity]]*2.5</f>
        <v>50</v>
      </c>
    </row>
    <row r="413" spans="1:11" x14ac:dyDescent="0.25">
      <c r="A413" s="29">
        <v>412</v>
      </c>
      <c r="B413" s="30">
        <f t="shared" si="13"/>
        <v>43821</v>
      </c>
      <c r="C413" s="30" t="s">
        <v>960</v>
      </c>
      <c r="D413" s="54" t="s">
        <v>957</v>
      </c>
      <c r="E413" s="27" t="s">
        <v>843</v>
      </c>
      <c r="F413" s="28" t="s">
        <v>844</v>
      </c>
      <c r="G413" s="25" t="s">
        <v>869</v>
      </c>
      <c r="H413" s="25" t="s">
        <v>870</v>
      </c>
      <c r="I413" s="33">
        <f t="shared" si="12"/>
        <v>44735</v>
      </c>
      <c r="J413" s="29">
        <v>19</v>
      </c>
      <c r="K413" s="31">
        <f>StockInData[[#This Row],[Quantity]]*2.5</f>
        <v>47.5</v>
      </c>
    </row>
    <row r="414" spans="1:11" x14ac:dyDescent="0.25">
      <c r="A414" s="29">
        <v>413</v>
      </c>
      <c r="B414" s="30">
        <f t="shared" si="13"/>
        <v>43822</v>
      </c>
      <c r="C414" s="30" t="s">
        <v>960</v>
      </c>
      <c r="D414" s="54" t="s">
        <v>957</v>
      </c>
      <c r="E414" s="27" t="s">
        <v>845</v>
      </c>
      <c r="F414" s="28" t="s">
        <v>846</v>
      </c>
      <c r="G414" s="25" t="s">
        <v>869</v>
      </c>
      <c r="H414" s="25" t="s">
        <v>870</v>
      </c>
      <c r="I414" s="33">
        <f t="shared" si="12"/>
        <v>44737</v>
      </c>
      <c r="J414" s="29">
        <v>23</v>
      </c>
      <c r="K414" s="31">
        <f>StockInData[[#This Row],[Quantity]]*2.5</f>
        <v>57.5</v>
      </c>
    </row>
    <row r="415" spans="1:11" x14ac:dyDescent="0.25">
      <c r="A415" s="29">
        <v>414</v>
      </c>
      <c r="B415" s="30">
        <f t="shared" si="13"/>
        <v>43823</v>
      </c>
      <c r="C415" s="30" t="s">
        <v>960</v>
      </c>
      <c r="D415" s="54" t="s">
        <v>957</v>
      </c>
      <c r="E415" s="27" t="s">
        <v>847</v>
      </c>
      <c r="F415" s="28" t="s">
        <v>848</v>
      </c>
      <c r="G415" s="25" t="s">
        <v>869</v>
      </c>
      <c r="H415" s="25" t="s">
        <v>870</v>
      </c>
      <c r="I415" s="33">
        <f t="shared" si="12"/>
        <v>44739</v>
      </c>
      <c r="J415" s="29">
        <v>65</v>
      </c>
      <c r="K415" s="31">
        <f>StockInData[[#This Row],[Quantity]]*2.5</f>
        <v>162.5</v>
      </c>
    </row>
    <row r="416" spans="1:11" x14ac:dyDescent="0.25">
      <c r="A416" s="29">
        <v>415</v>
      </c>
      <c r="B416" s="30">
        <f t="shared" si="13"/>
        <v>43824</v>
      </c>
      <c r="C416" s="30" t="s">
        <v>960</v>
      </c>
      <c r="D416" s="54" t="s">
        <v>957</v>
      </c>
      <c r="E416" s="27" t="s">
        <v>849</v>
      </c>
      <c r="F416" s="28" t="s">
        <v>850</v>
      </c>
      <c r="G416" s="25" t="s">
        <v>869</v>
      </c>
      <c r="H416" s="25" t="s">
        <v>870</v>
      </c>
      <c r="I416" s="33">
        <f t="shared" si="12"/>
        <v>44741</v>
      </c>
      <c r="J416" s="29">
        <v>74</v>
      </c>
      <c r="K416" s="31">
        <f>StockInData[[#This Row],[Quantity]]*2.5</f>
        <v>185</v>
      </c>
    </row>
    <row r="417" spans="1:11" x14ac:dyDescent="0.25">
      <c r="A417" s="29">
        <v>416</v>
      </c>
      <c r="B417" s="30">
        <f t="shared" si="13"/>
        <v>43825</v>
      </c>
      <c r="C417" s="30" t="s">
        <v>960</v>
      </c>
      <c r="D417" s="54" t="s">
        <v>957</v>
      </c>
      <c r="E417" s="27" t="s">
        <v>851</v>
      </c>
      <c r="F417" s="28" t="s">
        <v>852</v>
      </c>
      <c r="G417" s="25" t="s">
        <v>869</v>
      </c>
      <c r="H417" s="25" t="s">
        <v>870</v>
      </c>
      <c r="I417" s="33">
        <f t="shared" si="12"/>
        <v>44743</v>
      </c>
      <c r="J417" s="29">
        <v>84</v>
      </c>
      <c r="K417" s="31">
        <f>StockInData[[#This Row],[Quantity]]*2.5</f>
        <v>210</v>
      </c>
    </row>
    <row r="418" spans="1:11" x14ac:dyDescent="0.25">
      <c r="A418" s="29">
        <v>417</v>
      </c>
      <c r="B418" s="30">
        <f t="shared" si="13"/>
        <v>43826</v>
      </c>
      <c r="C418" s="30" t="s">
        <v>960</v>
      </c>
      <c r="D418" s="54" t="s">
        <v>957</v>
      </c>
      <c r="E418" s="27" t="s">
        <v>853</v>
      </c>
      <c r="F418" s="28" t="s">
        <v>854</v>
      </c>
      <c r="G418" s="25" t="s">
        <v>869</v>
      </c>
      <c r="H418" s="25" t="s">
        <v>870</v>
      </c>
      <c r="I418" s="33">
        <f t="shared" si="12"/>
        <v>44745</v>
      </c>
      <c r="J418" s="29">
        <v>99</v>
      </c>
      <c r="K418" s="31">
        <f>StockInData[[#This Row],[Quantity]]*2.5</f>
        <v>247.5</v>
      </c>
    </row>
    <row r="419" spans="1:11" x14ac:dyDescent="0.25">
      <c r="A419" s="29">
        <v>418</v>
      </c>
      <c r="B419" s="30">
        <f t="shared" si="13"/>
        <v>43827</v>
      </c>
      <c r="C419" s="30" t="s">
        <v>960</v>
      </c>
      <c r="D419" s="54" t="s">
        <v>957</v>
      </c>
      <c r="E419" s="27" t="s">
        <v>855</v>
      </c>
      <c r="F419" s="28" t="s">
        <v>856</v>
      </c>
      <c r="G419" s="25" t="s">
        <v>869</v>
      </c>
      <c r="H419" s="25" t="s">
        <v>870</v>
      </c>
      <c r="I419" s="33">
        <f t="shared" si="12"/>
        <v>44747</v>
      </c>
      <c r="J419" s="29">
        <v>101</v>
      </c>
      <c r="K419" s="31">
        <f>StockInData[[#This Row],[Quantity]]*2.5</f>
        <v>252.5</v>
      </c>
    </row>
    <row r="420" spans="1:11" x14ac:dyDescent="0.25">
      <c r="A420" s="29">
        <v>419</v>
      </c>
      <c r="B420" s="30">
        <f t="shared" si="13"/>
        <v>43828</v>
      </c>
      <c r="C420" s="30" t="s">
        <v>960</v>
      </c>
      <c r="D420" s="54" t="s">
        <v>957</v>
      </c>
      <c r="E420" s="27" t="s">
        <v>857</v>
      </c>
      <c r="F420" s="28" t="s">
        <v>858</v>
      </c>
      <c r="G420" s="25" t="s">
        <v>869</v>
      </c>
      <c r="H420" s="25" t="s">
        <v>870</v>
      </c>
      <c r="I420" s="33">
        <f t="shared" si="12"/>
        <v>44749</v>
      </c>
      <c r="J420" s="29">
        <v>60</v>
      </c>
      <c r="K420" s="31">
        <f>StockInData[[#This Row],[Quantity]]*2.5</f>
        <v>150</v>
      </c>
    </row>
    <row r="421" spans="1:11" x14ac:dyDescent="0.25">
      <c r="A421" s="29">
        <v>420</v>
      </c>
      <c r="B421" s="30">
        <f t="shared" si="13"/>
        <v>43829</v>
      </c>
      <c r="C421" s="30" t="s">
        <v>960</v>
      </c>
      <c r="D421" s="54" t="s">
        <v>957</v>
      </c>
      <c r="E421" s="27" t="s">
        <v>859</v>
      </c>
      <c r="F421" s="28" t="s">
        <v>860</v>
      </c>
      <c r="G421" s="25" t="s">
        <v>869</v>
      </c>
      <c r="H421" s="25" t="s">
        <v>870</v>
      </c>
      <c r="I421" s="33">
        <f t="shared" si="12"/>
        <v>44751</v>
      </c>
      <c r="J421" s="29">
        <v>40</v>
      </c>
      <c r="K421" s="31">
        <f>StockInData[[#This Row],[Quantity]]*2.5</f>
        <v>100</v>
      </c>
    </row>
    <row r="422" spans="1:11" x14ac:dyDescent="0.25">
      <c r="A422" s="29">
        <v>421</v>
      </c>
      <c r="B422" s="30">
        <f t="shared" si="13"/>
        <v>43830</v>
      </c>
      <c r="C422" s="30" t="s">
        <v>960</v>
      </c>
      <c r="D422" s="54" t="s">
        <v>957</v>
      </c>
      <c r="E422" s="27" t="s">
        <v>861</v>
      </c>
      <c r="F422" s="28" t="s">
        <v>862</v>
      </c>
      <c r="G422" s="25" t="s">
        <v>869</v>
      </c>
      <c r="H422" s="25" t="s">
        <v>870</v>
      </c>
      <c r="I422" s="33">
        <f t="shared" si="12"/>
        <v>44753</v>
      </c>
      <c r="J422" s="29">
        <v>30</v>
      </c>
      <c r="K422" s="31">
        <f>StockInData[[#This Row],[Quantity]]*2.5</f>
        <v>75</v>
      </c>
    </row>
    <row r="423" spans="1:11" x14ac:dyDescent="0.25">
      <c r="A423" s="29">
        <v>422</v>
      </c>
      <c r="B423" s="30">
        <f t="shared" si="13"/>
        <v>43831</v>
      </c>
      <c r="C423" s="30" t="s">
        <v>960</v>
      </c>
      <c r="D423" s="54" t="s">
        <v>957</v>
      </c>
      <c r="E423" s="27" t="s">
        <v>863</v>
      </c>
      <c r="F423" s="28" t="s">
        <v>864</v>
      </c>
      <c r="G423" s="25" t="s">
        <v>869</v>
      </c>
      <c r="H423" s="25" t="s">
        <v>870</v>
      </c>
      <c r="I423" s="33">
        <f t="shared" si="12"/>
        <v>44755</v>
      </c>
      <c r="J423" s="29">
        <v>25</v>
      </c>
      <c r="K423" s="31">
        <f>StockInData[[#This Row],[Quantity]]*2.5</f>
        <v>62.5</v>
      </c>
    </row>
    <row r="424" spans="1:11" x14ac:dyDescent="0.25">
      <c r="A424" s="29">
        <v>423</v>
      </c>
      <c r="B424" s="30">
        <f t="shared" si="13"/>
        <v>43832</v>
      </c>
      <c r="C424" s="30" t="s">
        <v>960</v>
      </c>
      <c r="D424" s="54" t="s">
        <v>957</v>
      </c>
      <c r="E424" s="27" t="s">
        <v>865</v>
      </c>
      <c r="F424" s="28" t="s">
        <v>866</v>
      </c>
      <c r="G424" s="25" t="s">
        <v>869</v>
      </c>
      <c r="H424" s="25" t="s">
        <v>870</v>
      </c>
      <c r="I424" s="33">
        <f t="shared" si="12"/>
        <v>44757</v>
      </c>
      <c r="J424" s="29">
        <v>20</v>
      </c>
      <c r="K424" s="31">
        <f>StockInData[[#This Row],[Quantity]]*2.5</f>
        <v>50</v>
      </c>
    </row>
    <row r="425" spans="1:11" x14ac:dyDescent="0.25">
      <c r="A425" s="29">
        <v>424</v>
      </c>
      <c r="B425" s="30">
        <f t="shared" si="13"/>
        <v>43833</v>
      </c>
      <c r="C425" s="30" t="s">
        <v>960</v>
      </c>
      <c r="D425" s="54" t="s">
        <v>957</v>
      </c>
      <c r="E425" s="27" t="s">
        <v>867</v>
      </c>
      <c r="F425" s="28" t="s">
        <v>868</v>
      </c>
      <c r="G425" s="25" t="s">
        <v>869</v>
      </c>
      <c r="H425" s="25" t="s">
        <v>870</v>
      </c>
      <c r="I425" s="33">
        <f t="shared" si="12"/>
        <v>44759</v>
      </c>
      <c r="J425" s="29">
        <v>19</v>
      </c>
      <c r="K425" s="31">
        <f>StockInData[[#This Row],[Quantity]]*2.5</f>
        <v>47.5</v>
      </c>
    </row>
    <row r="426" spans="1:11" x14ac:dyDescent="0.25">
      <c r="A426" s="50">
        <v>425</v>
      </c>
      <c r="B426" s="51">
        <v>43797</v>
      </c>
      <c r="C426" s="30" t="s">
        <v>960</v>
      </c>
      <c r="D426" s="54" t="s">
        <v>957</v>
      </c>
      <c r="E426" s="52" t="s">
        <v>859</v>
      </c>
      <c r="F426" s="53" t="s">
        <v>860</v>
      </c>
      <c r="G426" s="52" t="s">
        <v>869</v>
      </c>
      <c r="H426" s="52" t="s">
        <v>870</v>
      </c>
      <c r="I426" s="33">
        <f t="shared" si="12"/>
        <v>44761</v>
      </c>
      <c r="J426" s="50">
        <v>20</v>
      </c>
      <c r="K426" s="31">
        <f>StockInData[[#This Row],[Quantity]]*2.5</f>
        <v>50</v>
      </c>
    </row>
    <row r="427" spans="1:11" x14ac:dyDescent="0.25">
      <c r="A427" s="50">
        <v>426</v>
      </c>
      <c r="B427" s="51">
        <v>43797</v>
      </c>
      <c r="C427" s="30" t="s">
        <v>960</v>
      </c>
      <c r="D427" s="54" t="s">
        <v>957</v>
      </c>
      <c r="E427" s="52" t="s">
        <v>943</v>
      </c>
      <c r="F427" s="53" t="s">
        <v>945</v>
      </c>
      <c r="G427" s="52" t="s">
        <v>869</v>
      </c>
      <c r="H427" s="52" t="s">
        <v>946</v>
      </c>
      <c r="I427" s="33">
        <f t="shared" si="12"/>
        <v>44763</v>
      </c>
      <c r="J427" s="50">
        <v>55</v>
      </c>
      <c r="K427" s="31">
        <f>StockInData[[#This Row],[Quantity]]*2.5</f>
        <v>137.5</v>
      </c>
    </row>
    <row r="428" spans="1:11" x14ac:dyDescent="0.25">
      <c r="A428" s="50">
        <v>427</v>
      </c>
      <c r="B428" s="51">
        <v>43805</v>
      </c>
      <c r="C428" s="51" t="s">
        <v>959</v>
      </c>
      <c r="D428" s="115" t="s">
        <v>956</v>
      </c>
      <c r="E428" s="52" t="s">
        <v>25</v>
      </c>
      <c r="F428" s="53" t="s">
        <v>26</v>
      </c>
      <c r="G428" s="52" t="s">
        <v>869</v>
      </c>
      <c r="H428" s="52" t="s">
        <v>870</v>
      </c>
      <c r="I428" s="116">
        <v>43917</v>
      </c>
      <c r="J428" s="50">
        <v>20</v>
      </c>
      <c r="K428" s="31">
        <f>StockInData[[#This Row],[Quantity]]*2.5</f>
        <v>50</v>
      </c>
    </row>
    <row r="429" spans="1:11" x14ac:dyDescent="0.25">
      <c r="A429" s="50">
        <v>428</v>
      </c>
      <c r="B429" s="51">
        <v>43805</v>
      </c>
      <c r="C429" s="51" t="s">
        <v>959</v>
      </c>
      <c r="D429" s="115" t="s">
        <v>956</v>
      </c>
      <c r="E429" s="52" t="s">
        <v>27</v>
      </c>
      <c r="F429" s="53" t="s">
        <v>28</v>
      </c>
      <c r="G429" s="52" t="s">
        <v>869</v>
      </c>
      <c r="H429" s="52" t="s">
        <v>870</v>
      </c>
      <c r="I429" s="116">
        <v>43919</v>
      </c>
      <c r="J429" s="50">
        <v>20</v>
      </c>
      <c r="K429" s="31">
        <f>StockInData[[#This Row],[Quantity]]*2.5</f>
        <v>50</v>
      </c>
    </row>
    <row r="430" spans="1:11" x14ac:dyDescent="0.25">
      <c r="A430" s="55">
        <v>429</v>
      </c>
      <c r="B430" s="56">
        <v>43806</v>
      </c>
      <c r="C430" s="56" t="s">
        <v>959</v>
      </c>
      <c r="D430" s="117" t="s">
        <v>956</v>
      </c>
      <c r="E430" s="57" t="s">
        <v>31</v>
      </c>
      <c r="F430" s="58" t="s">
        <v>32</v>
      </c>
      <c r="G430" s="57" t="s">
        <v>869</v>
      </c>
      <c r="H430" s="57" t="s">
        <v>870</v>
      </c>
      <c r="I430" s="118">
        <v>43923</v>
      </c>
      <c r="J430" s="55">
        <v>10</v>
      </c>
      <c r="K430" s="31">
        <f>StockInData[[#This Row],[Quantity]]*2.5</f>
        <v>25</v>
      </c>
    </row>
  </sheetData>
  <sheetProtection password="CC72" sheet="1" objects="1" scenarios="1"/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5"/>
  <sheetViews>
    <sheetView showGridLines="0" workbookViewId="0">
      <pane xSplit="10" ySplit="3" topLeftCell="K4" activePane="bottomRight" state="frozen"/>
      <selection pane="topRight" activeCell="I1" sqref="I1"/>
      <selection pane="bottomLeft" activeCell="A4" sqref="A4"/>
      <selection pane="bottomRight" activeCell="G10" sqref="G10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944</v>
      </c>
      <c r="D1" s="6" t="s">
        <v>966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9">
        <v>1</v>
      </c>
      <c r="B2" s="30">
        <v>43358</v>
      </c>
      <c r="C2" s="30"/>
      <c r="D2" s="30"/>
      <c r="E2" s="25" t="s">
        <v>21</v>
      </c>
      <c r="F2" s="26" t="s">
        <v>22</v>
      </c>
      <c r="G2" s="25" t="s">
        <v>869</v>
      </c>
      <c r="H2" s="25" t="s">
        <v>870</v>
      </c>
      <c r="I2" s="29">
        <v>5</v>
      </c>
      <c r="J2" s="31">
        <f>StockOutData[[#This Row],[Quantity]]*2.5</f>
        <v>12.5</v>
      </c>
    </row>
    <row r="3" spans="1:10" x14ac:dyDescent="0.25">
      <c r="A3" s="29">
        <v>2</v>
      </c>
      <c r="B3" s="30">
        <f>B2+1</f>
        <v>43359</v>
      </c>
      <c r="C3" s="30"/>
      <c r="D3" s="30"/>
      <c r="E3" s="25" t="s">
        <v>23</v>
      </c>
      <c r="F3" s="26" t="s">
        <v>24</v>
      </c>
      <c r="G3" s="25" t="s">
        <v>869</v>
      </c>
      <c r="H3" s="25" t="s">
        <v>870</v>
      </c>
      <c r="I3" s="29">
        <v>7</v>
      </c>
      <c r="J3" s="31">
        <f>StockOutData[[#This Row],[Quantity]]*2.5</f>
        <v>17.5</v>
      </c>
    </row>
    <row r="4" spans="1:10" x14ac:dyDescent="0.25">
      <c r="A4" s="29">
        <v>3</v>
      </c>
      <c r="B4" s="30">
        <f t="shared" ref="B4:B67" si="0">B3+1</f>
        <v>43360</v>
      </c>
      <c r="C4" s="30"/>
      <c r="D4" s="30"/>
      <c r="E4" s="25" t="s">
        <v>25</v>
      </c>
      <c r="F4" s="26" t="s">
        <v>26</v>
      </c>
      <c r="G4" s="25" t="s">
        <v>869</v>
      </c>
      <c r="H4" s="25" t="s">
        <v>870</v>
      </c>
      <c r="I4" s="29">
        <v>15</v>
      </c>
      <c r="J4" s="31">
        <f>StockOutData[[#This Row],[Quantity]]*2.5</f>
        <v>37.5</v>
      </c>
    </row>
    <row r="5" spans="1:10" x14ac:dyDescent="0.25">
      <c r="A5" s="29">
        <v>4</v>
      </c>
      <c r="B5" s="30">
        <f t="shared" si="0"/>
        <v>43361</v>
      </c>
      <c r="C5" s="30"/>
      <c r="D5" s="30"/>
      <c r="E5" s="25" t="s">
        <v>27</v>
      </c>
      <c r="F5" s="26" t="s">
        <v>28</v>
      </c>
      <c r="G5" s="25" t="s">
        <v>869</v>
      </c>
      <c r="H5" s="25" t="s">
        <v>870</v>
      </c>
      <c r="I5" s="29">
        <v>18</v>
      </c>
      <c r="J5" s="31">
        <f>StockOutData[[#This Row],[Quantity]]*2.5</f>
        <v>45</v>
      </c>
    </row>
    <row r="6" spans="1:10" x14ac:dyDescent="0.25">
      <c r="A6" s="29">
        <v>5</v>
      </c>
      <c r="B6" s="30">
        <f t="shared" si="0"/>
        <v>43362</v>
      </c>
      <c r="C6" s="30"/>
      <c r="D6" s="30"/>
      <c r="E6" s="25" t="s">
        <v>29</v>
      </c>
      <c r="F6" s="26" t="s">
        <v>30</v>
      </c>
      <c r="G6" s="25" t="s">
        <v>869</v>
      </c>
      <c r="H6" s="25" t="s">
        <v>870</v>
      </c>
      <c r="I6" s="29">
        <v>12</v>
      </c>
      <c r="J6" s="31">
        <f>StockOutData[[#This Row],[Quantity]]*2.5</f>
        <v>30</v>
      </c>
    </row>
    <row r="7" spans="1:10" x14ac:dyDescent="0.25">
      <c r="A7" s="29">
        <v>6</v>
      </c>
      <c r="B7" s="30">
        <f t="shared" si="0"/>
        <v>43363</v>
      </c>
      <c r="C7" s="30"/>
      <c r="D7" s="30"/>
      <c r="E7" s="25" t="s">
        <v>31</v>
      </c>
      <c r="F7" s="26" t="s">
        <v>32</v>
      </c>
      <c r="G7" s="25" t="s">
        <v>869</v>
      </c>
      <c r="H7" s="25" t="s">
        <v>870</v>
      </c>
      <c r="I7" s="29">
        <v>14</v>
      </c>
      <c r="J7" s="31">
        <f>StockOutData[[#This Row],[Quantity]]*2.5</f>
        <v>35</v>
      </c>
    </row>
    <row r="8" spans="1:10" x14ac:dyDescent="0.25">
      <c r="A8" s="29">
        <v>7</v>
      </c>
      <c r="B8" s="30">
        <f t="shared" si="0"/>
        <v>43364</v>
      </c>
      <c r="C8" s="30"/>
      <c r="D8" s="30"/>
      <c r="E8" s="25" t="s">
        <v>33</v>
      </c>
      <c r="F8" s="26" t="s">
        <v>34</v>
      </c>
      <c r="G8" s="25" t="s">
        <v>869</v>
      </c>
      <c r="H8" s="25" t="s">
        <v>870</v>
      </c>
      <c r="I8" s="29">
        <v>13</v>
      </c>
      <c r="J8" s="31">
        <f>StockOutData[[#This Row],[Quantity]]*2.5</f>
        <v>32.5</v>
      </c>
    </row>
    <row r="9" spans="1:10" x14ac:dyDescent="0.25">
      <c r="A9" s="29">
        <v>8</v>
      </c>
      <c r="B9" s="30">
        <f t="shared" si="0"/>
        <v>43365</v>
      </c>
      <c r="C9" s="30"/>
      <c r="D9" s="30"/>
      <c r="E9" s="25" t="s">
        <v>35</v>
      </c>
      <c r="F9" s="26" t="s">
        <v>36</v>
      </c>
      <c r="G9" s="25" t="s">
        <v>869</v>
      </c>
      <c r="H9" s="25" t="s">
        <v>870</v>
      </c>
      <c r="I9" s="29">
        <v>5</v>
      </c>
      <c r="J9" s="31">
        <f>StockOutData[[#This Row],[Quantity]]*2.5</f>
        <v>12.5</v>
      </c>
    </row>
    <row r="10" spans="1:10" x14ac:dyDescent="0.25">
      <c r="A10" s="29">
        <v>9</v>
      </c>
      <c r="B10" s="30">
        <f t="shared" si="0"/>
        <v>43366</v>
      </c>
      <c r="C10" s="30"/>
      <c r="D10" s="30"/>
      <c r="E10" s="25" t="s">
        <v>37</v>
      </c>
      <c r="F10" s="26" t="s">
        <v>38</v>
      </c>
      <c r="G10" s="25" t="s">
        <v>869</v>
      </c>
      <c r="H10" s="25" t="s">
        <v>870</v>
      </c>
      <c r="I10" s="29">
        <v>7</v>
      </c>
      <c r="J10" s="31">
        <f>StockOutData[[#This Row],[Quantity]]*2.5</f>
        <v>17.5</v>
      </c>
    </row>
    <row r="11" spans="1:10" x14ac:dyDescent="0.25">
      <c r="A11" s="29">
        <v>10</v>
      </c>
      <c r="B11" s="30">
        <f t="shared" si="0"/>
        <v>43367</v>
      </c>
      <c r="C11" s="30"/>
      <c r="D11" s="30"/>
      <c r="E11" s="25" t="s">
        <v>39</v>
      </c>
      <c r="F11" s="26" t="s">
        <v>40</v>
      </c>
      <c r="G11" s="25" t="s">
        <v>869</v>
      </c>
      <c r="H11" s="25" t="s">
        <v>870</v>
      </c>
      <c r="I11" s="29">
        <v>15</v>
      </c>
      <c r="J11" s="31">
        <f>StockOutData[[#This Row],[Quantity]]*2.5</f>
        <v>37.5</v>
      </c>
    </row>
    <row r="12" spans="1:10" x14ac:dyDescent="0.25">
      <c r="A12" s="29">
        <v>11</v>
      </c>
      <c r="B12" s="30">
        <f t="shared" si="0"/>
        <v>43368</v>
      </c>
      <c r="C12" s="30"/>
      <c r="D12" s="30"/>
      <c r="E12" s="25" t="s">
        <v>41</v>
      </c>
      <c r="F12" s="26" t="s">
        <v>42</v>
      </c>
      <c r="G12" s="25" t="s">
        <v>869</v>
      </c>
      <c r="H12" s="25" t="s">
        <v>870</v>
      </c>
      <c r="I12" s="29">
        <v>18</v>
      </c>
      <c r="J12" s="31">
        <f>StockOutData[[#This Row],[Quantity]]*2.5</f>
        <v>45</v>
      </c>
    </row>
    <row r="13" spans="1:10" x14ac:dyDescent="0.25">
      <c r="A13" s="29">
        <v>12</v>
      </c>
      <c r="B13" s="30">
        <f t="shared" si="0"/>
        <v>43369</v>
      </c>
      <c r="C13" s="30"/>
      <c r="D13" s="30"/>
      <c r="E13" s="25" t="s">
        <v>43</v>
      </c>
      <c r="F13" s="26" t="s">
        <v>44</v>
      </c>
      <c r="G13" s="25" t="s">
        <v>869</v>
      </c>
      <c r="H13" s="25" t="s">
        <v>870</v>
      </c>
      <c r="I13" s="29">
        <v>12</v>
      </c>
      <c r="J13" s="31">
        <f>StockOutData[[#This Row],[Quantity]]*2.5</f>
        <v>30</v>
      </c>
    </row>
    <row r="14" spans="1:10" x14ac:dyDescent="0.25">
      <c r="A14" s="29">
        <v>13</v>
      </c>
      <c r="B14" s="30">
        <f t="shared" si="0"/>
        <v>43370</v>
      </c>
      <c r="C14" s="30"/>
      <c r="D14" s="30"/>
      <c r="E14" s="25" t="s">
        <v>45</v>
      </c>
      <c r="F14" s="26" t="s">
        <v>46</v>
      </c>
      <c r="G14" s="25" t="s">
        <v>869</v>
      </c>
      <c r="H14" s="25" t="s">
        <v>870</v>
      </c>
      <c r="I14" s="29">
        <v>14</v>
      </c>
      <c r="J14" s="31">
        <f>StockOutData[[#This Row],[Quantity]]*2.5</f>
        <v>35</v>
      </c>
    </row>
    <row r="15" spans="1:10" x14ac:dyDescent="0.25">
      <c r="A15" s="29">
        <v>14</v>
      </c>
      <c r="B15" s="30">
        <f t="shared" si="0"/>
        <v>43371</v>
      </c>
      <c r="C15" s="30"/>
      <c r="D15" s="30"/>
      <c r="E15" s="25" t="s">
        <v>47</v>
      </c>
      <c r="F15" s="26" t="s">
        <v>48</v>
      </c>
      <c r="G15" s="25" t="s">
        <v>869</v>
      </c>
      <c r="H15" s="25" t="s">
        <v>870</v>
      </c>
      <c r="I15" s="29">
        <v>13</v>
      </c>
      <c r="J15" s="31">
        <f>StockOutData[[#This Row],[Quantity]]*2.5</f>
        <v>32.5</v>
      </c>
    </row>
    <row r="16" spans="1:10" x14ac:dyDescent="0.25">
      <c r="A16" s="29">
        <v>15</v>
      </c>
      <c r="B16" s="30">
        <f t="shared" si="0"/>
        <v>43372</v>
      </c>
      <c r="C16" s="30"/>
      <c r="D16" s="30"/>
      <c r="E16" s="25" t="s">
        <v>49</v>
      </c>
      <c r="F16" s="26" t="s">
        <v>50</v>
      </c>
      <c r="G16" s="25" t="s">
        <v>869</v>
      </c>
      <c r="H16" s="25" t="s">
        <v>870</v>
      </c>
      <c r="I16" s="29">
        <v>5</v>
      </c>
      <c r="J16" s="31">
        <f>StockOutData[[#This Row],[Quantity]]*2.5</f>
        <v>12.5</v>
      </c>
    </row>
    <row r="17" spans="1:10" x14ac:dyDescent="0.25">
      <c r="A17" s="29">
        <v>16</v>
      </c>
      <c r="B17" s="30">
        <f t="shared" si="0"/>
        <v>43373</v>
      </c>
      <c r="C17" s="30"/>
      <c r="D17" s="30"/>
      <c r="E17" s="25" t="s">
        <v>51</v>
      </c>
      <c r="F17" s="26" t="s">
        <v>52</v>
      </c>
      <c r="G17" s="25" t="s">
        <v>869</v>
      </c>
      <c r="H17" s="25" t="s">
        <v>870</v>
      </c>
      <c r="I17" s="29">
        <v>7</v>
      </c>
      <c r="J17" s="31">
        <f>StockOutData[[#This Row],[Quantity]]*2.5</f>
        <v>17.5</v>
      </c>
    </row>
    <row r="18" spans="1:10" x14ac:dyDescent="0.25">
      <c r="A18" s="29">
        <v>17</v>
      </c>
      <c r="B18" s="30">
        <f t="shared" si="0"/>
        <v>43374</v>
      </c>
      <c r="C18" s="30"/>
      <c r="D18" s="30"/>
      <c r="E18" s="25" t="s">
        <v>53</v>
      </c>
      <c r="F18" s="26" t="s">
        <v>54</v>
      </c>
      <c r="G18" s="25" t="s">
        <v>869</v>
      </c>
      <c r="H18" s="25" t="s">
        <v>870</v>
      </c>
      <c r="I18" s="29">
        <v>15</v>
      </c>
      <c r="J18" s="31">
        <f>StockOutData[[#This Row],[Quantity]]*2.5</f>
        <v>37.5</v>
      </c>
    </row>
    <row r="19" spans="1:10" x14ac:dyDescent="0.25">
      <c r="A19" s="29">
        <v>18</v>
      </c>
      <c r="B19" s="30">
        <f t="shared" si="0"/>
        <v>43375</v>
      </c>
      <c r="C19" s="30"/>
      <c r="D19" s="30"/>
      <c r="E19" s="25" t="s">
        <v>55</v>
      </c>
      <c r="F19" s="26" t="s">
        <v>56</v>
      </c>
      <c r="G19" s="25" t="s">
        <v>869</v>
      </c>
      <c r="H19" s="25" t="s">
        <v>870</v>
      </c>
      <c r="I19" s="29">
        <v>18</v>
      </c>
      <c r="J19" s="31">
        <f>StockOutData[[#This Row],[Quantity]]*2.5</f>
        <v>45</v>
      </c>
    </row>
    <row r="20" spans="1:10" x14ac:dyDescent="0.25">
      <c r="A20" s="29">
        <v>19</v>
      </c>
      <c r="B20" s="30">
        <f t="shared" si="0"/>
        <v>43376</v>
      </c>
      <c r="C20" s="30"/>
      <c r="D20" s="30"/>
      <c r="E20" s="25" t="s">
        <v>57</v>
      </c>
      <c r="F20" s="26" t="s">
        <v>58</v>
      </c>
      <c r="G20" s="25" t="s">
        <v>869</v>
      </c>
      <c r="H20" s="25" t="s">
        <v>870</v>
      </c>
      <c r="I20" s="29">
        <v>12</v>
      </c>
      <c r="J20" s="31">
        <f>StockOutData[[#This Row],[Quantity]]*2.5</f>
        <v>30</v>
      </c>
    </row>
    <row r="21" spans="1:10" x14ac:dyDescent="0.25">
      <c r="A21" s="29">
        <v>20</v>
      </c>
      <c r="B21" s="30">
        <f t="shared" si="0"/>
        <v>43377</v>
      </c>
      <c r="C21" s="30"/>
      <c r="D21" s="30"/>
      <c r="E21" s="25" t="s">
        <v>59</v>
      </c>
      <c r="F21" s="26" t="s">
        <v>60</v>
      </c>
      <c r="G21" s="25" t="s">
        <v>869</v>
      </c>
      <c r="H21" s="25" t="s">
        <v>870</v>
      </c>
      <c r="I21" s="29">
        <v>14</v>
      </c>
      <c r="J21" s="31">
        <f>StockOutData[[#This Row],[Quantity]]*2.5</f>
        <v>35</v>
      </c>
    </row>
    <row r="22" spans="1:10" x14ac:dyDescent="0.25">
      <c r="A22" s="29">
        <v>21</v>
      </c>
      <c r="B22" s="30">
        <f t="shared" si="0"/>
        <v>43378</v>
      </c>
      <c r="C22" s="30"/>
      <c r="D22" s="30"/>
      <c r="E22" s="25" t="s">
        <v>61</v>
      </c>
      <c r="F22" s="26" t="s">
        <v>62</v>
      </c>
      <c r="G22" s="25" t="s">
        <v>869</v>
      </c>
      <c r="H22" s="25" t="s">
        <v>870</v>
      </c>
      <c r="I22" s="29">
        <v>13</v>
      </c>
      <c r="J22" s="31">
        <f>StockOutData[[#This Row],[Quantity]]*2.5</f>
        <v>32.5</v>
      </c>
    </row>
    <row r="23" spans="1:10" x14ac:dyDescent="0.25">
      <c r="A23" s="29">
        <v>22</v>
      </c>
      <c r="B23" s="30">
        <f t="shared" si="0"/>
        <v>43379</v>
      </c>
      <c r="C23" s="30"/>
      <c r="D23" s="30"/>
      <c r="E23" s="25" t="s">
        <v>63</v>
      </c>
      <c r="F23" s="26" t="s">
        <v>64</v>
      </c>
      <c r="G23" s="25" t="s">
        <v>869</v>
      </c>
      <c r="H23" s="25" t="s">
        <v>870</v>
      </c>
      <c r="I23" s="29">
        <v>10</v>
      </c>
      <c r="J23" s="31">
        <f>StockOutData[[#This Row],[Quantity]]*2.5</f>
        <v>25</v>
      </c>
    </row>
    <row r="24" spans="1:10" x14ac:dyDescent="0.25">
      <c r="A24" s="29">
        <v>23</v>
      </c>
      <c r="B24" s="30">
        <f t="shared" si="0"/>
        <v>43380</v>
      </c>
      <c r="C24" s="30"/>
      <c r="D24" s="30"/>
      <c r="E24" s="25" t="s">
        <v>65</v>
      </c>
      <c r="F24" s="26" t="s">
        <v>66</v>
      </c>
      <c r="G24" s="25" t="s">
        <v>869</v>
      </c>
      <c r="H24" s="25" t="s">
        <v>870</v>
      </c>
      <c r="I24" s="29">
        <v>10</v>
      </c>
      <c r="J24" s="31">
        <f>StockOutData[[#This Row],[Quantity]]*2.5</f>
        <v>25</v>
      </c>
    </row>
    <row r="25" spans="1:10" x14ac:dyDescent="0.25">
      <c r="A25" s="29">
        <v>24</v>
      </c>
      <c r="B25" s="30">
        <f t="shared" si="0"/>
        <v>43381</v>
      </c>
      <c r="C25" s="30"/>
      <c r="D25" s="30"/>
      <c r="E25" s="25" t="s">
        <v>67</v>
      </c>
      <c r="F25" s="26" t="s">
        <v>68</v>
      </c>
      <c r="G25" s="25" t="s">
        <v>869</v>
      </c>
      <c r="H25" s="25" t="s">
        <v>870</v>
      </c>
      <c r="I25" s="29">
        <v>7</v>
      </c>
      <c r="J25" s="31">
        <f>StockOutData[[#This Row],[Quantity]]*2.5</f>
        <v>17.5</v>
      </c>
    </row>
    <row r="26" spans="1:10" x14ac:dyDescent="0.25">
      <c r="A26" s="29">
        <v>25</v>
      </c>
      <c r="B26" s="30">
        <f t="shared" si="0"/>
        <v>43382</v>
      </c>
      <c r="C26" s="30"/>
      <c r="D26" s="30"/>
      <c r="E26" s="25" t="s">
        <v>69</v>
      </c>
      <c r="F26" s="26" t="s">
        <v>70</v>
      </c>
      <c r="G26" s="25" t="s">
        <v>869</v>
      </c>
      <c r="H26" s="25" t="s">
        <v>870</v>
      </c>
      <c r="I26" s="29">
        <v>15</v>
      </c>
      <c r="J26" s="31">
        <f>StockOutData[[#This Row],[Quantity]]*2.5</f>
        <v>37.5</v>
      </c>
    </row>
    <row r="27" spans="1:10" x14ac:dyDescent="0.25">
      <c r="A27" s="29">
        <v>26</v>
      </c>
      <c r="B27" s="30">
        <f t="shared" si="0"/>
        <v>43383</v>
      </c>
      <c r="C27" s="30"/>
      <c r="D27" s="30"/>
      <c r="E27" s="25" t="s">
        <v>71</v>
      </c>
      <c r="F27" s="26" t="s">
        <v>72</v>
      </c>
      <c r="G27" s="25" t="s">
        <v>869</v>
      </c>
      <c r="H27" s="25" t="s">
        <v>870</v>
      </c>
      <c r="I27" s="29">
        <v>18</v>
      </c>
      <c r="J27" s="31">
        <f>StockOutData[[#This Row],[Quantity]]*2.5</f>
        <v>45</v>
      </c>
    </row>
    <row r="28" spans="1:10" x14ac:dyDescent="0.25">
      <c r="A28" s="29">
        <v>27</v>
      </c>
      <c r="B28" s="30">
        <f t="shared" si="0"/>
        <v>43384</v>
      </c>
      <c r="C28" s="30"/>
      <c r="D28" s="30"/>
      <c r="E28" s="25" t="s">
        <v>73</v>
      </c>
      <c r="F28" s="26" t="s">
        <v>74</v>
      </c>
      <c r="G28" s="25" t="s">
        <v>869</v>
      </c>
      <c r="H28" s="25" t="s">
        <v>870</v>
      </c>
      <c r="I28" s="29">
        <v>12</v>
      </c>
      <c r="J28" s="31">
        <f>StockOutData[[#This Row],[Quantity]]*2.5</f>
        <v>30</v>
      </c>
    </row>
    <row r="29" spans="1:10" x14ac:dyDescent="0.25">
      <c r="A29" s="29">
        <v>28</v>
      </c>
      <c r="B29" s="30">
        <f t="shared" si="0"/>
        <v>43385</v>
      </c>
      <c r="C29" s="30"/>
      <c r="D29" s="30"/>
      <c r="E29" s="25" t="s">
        <v>75</v>
      </c>
      <c r="F29" s="26" t="s">
        <v>76</v>
      </c>
      <c r="G29" s="25" t="s">
        <v>869</v>
      </c>
      <c r="H29" s="25" t="s">
        <v>870</v>
      </c>
      <c r="I29" s="29">
        <v>14</v>
      </c>
      <c r="J29" s="31">
        <f>StockOutData[[#This Row],[Quantity]]*2.5</f>
        <v>35</v>
      </c>
    </row>
    <row r="30" spans="1:10" x14ac:dyDescent="0.25">
      <c r="A30" s="29">
        <v>29</v>
      </c>
      <c r="B30" s="30">
        <f t="shared" si="0"/>
        <v>43386</v>
      </c>
      <c r="C30" s="30"/>
      <c r="D30" s="30"/>
      <c r="E30" s="25" t="s">
        <v>77</v>
      </c>
      <c r="F30" s="26" t="s">
        <v>78</v>
      </c>
      <c r="G30" s="25" t="s">
        <v>869</v>
      </c>
      <c r="H30" s="25" t="s">
        <v>870</v>
      </c>
      <c r="I30" s="29">
        <v>13</v>
      </c>
      <c r="J30" s="31">
        <f>StockOutData[[#This Row],[Quantity]]*2.5</f>
        <v>32.5</v>
      </c>
    </row>
    <row r="31" spans="1:10" x14ac:dyDescent="0.25">
      <c r="A31" s="29">
        <v>30</v>
      </c>
      <c r="B31" s="30">
        <f t="shared" si="0"/>
        <v>43387</v>
      </c>
      <c r="C31" s="30"/>
      <c r="D31" s="30"/>
      <c r="E31" s="25" t="s">
        <v>79</v>
      </c>
      <c r="F31" s="26" t="s">
        <v>80</v>
      </c>
      <c r="G31" s="25" t="s">
        <v>869</v>
      </c>
      <c r="H31" s="25" t="s">
        <v>870</v>
      </c>
      <c r="I31" s="29">
        <v>5</v>
      </c>
      <c r="J31" s="31">
        <f>StockOutData[[#This Row],[Quantity]]*2.5</f>
        <v>12.5</v>
      </c>
    </row>
    <row r="32" spans="1:10" x14ac:dyDescent="0.25">
      <c r="A32" s="29">
        <v>31</v>
      </c>
      <c r="B32" s="30">
        <f t="shared" si="0"/>
        <v>43388</v>
      </c>
      <c r="C32" s="30"/>
      <c r="D32" s="30"/>
      <c r="E32" s="25" t="s">
        <v>81</v>
      </c>
      <c r="F32" s="26" t="s">
        <v>82</v>
      </c>
      <c r="G32" s="25" t="s">
        <v>869</v>
      </c>
      <c r="H32" s="25" t="s">
        <v>870</v>
      </c>
      <c r="I32" s="29">
        <v>7</v>
      </c>
      <c r="J32" s="31">
        <f>StockOutData[[#This Row],[Quantity]]*2.5</f>
        <v>17.5</v>
      </c>
    </row>
    <row r="33" spans="1:10" x14ac:dyDescent="0.25">
      <c r="A33" s="29">
        <v>32</v>
      </c>
      <c r="B33" s="30">
        <f t="shared" si="0"/>
        <v>43389</v>
      </c>
      <c r="C33" s="30"/>
      <c r="D33" s="30"/>
      <c r="E33" s="25" t="s">
        <v>83</v>
      </c>
      <c r="F33" s="26" t="s">
        <v>84</v>
      </c>
      <c r="G33" s="25" t="s">
        <v>869</v>
      </c>
      <c r="H33" s="25" t="s">
        <v>870</v>
      </c>
      <c r="I33" s="29">
        <v>15</v>
      </c>
      <c r="J33" s="31">
        <f>StockOutData[[#This Row],[Quantity]]*2.5</f>
        <v>37.5</v>
      </c>
    </row>
    <row r="34" spans="1:10" x14ac:dyDescent="0.25">
      <c r="A34" s="29">
        <v>33</v>
      </c>
      <c r="B34" s="30">
        <f t="shared" si="0"/>
        <v>43390</v>
      </c>
      <c r="C34" s="30"/>
      <c r="D34" s="30"/>
      <c r="E34" s="25" t="s">
        <v>85</v>
      </c>
      <c r="F34" s="26" t="s">
        <v>86</v>
      </c>
      <c r="G34" s="25" t="s">
        <v>869</v>
      </c>
      <c r="H34" s="25" t="s">
        <v>870</v>
      </c>
      <c r="I34" s="29">
        <v>18</v>
      </c>
      <c r="J34" s="31">
        <f>StockOutData[[#This Row],[Quantity]]*2.5</f>
        <v>45</v>
      </c>
    </row>
    <row r="35" spans="1:10" x14ac:dyDescent="0.25">
      <c r="A35" s="29">
        <v>34</v>
      </c>
      <c r="B35" s="30">
        <f t="shared" si="0"/>
        <v>43391</v>
      </c>
      <c r="C35" s="30"/>
      <c r="D35" s="30"/>
      <c r="E35" s="25" t="s">
        <v>87</v>
      </c>
      <c r="F35" s="26" t="s">
        <v>88</v>
      </c>
      <c r="G35" s="25" t="s">
        <v>869</v>
      </c>
      <c r="H35" s="25" t="s">
        <v>870</v>
      </c>
      <c r="I35" s="29">
        <v>12</v>
      </c>
      <c r="J35" s="31">
        <f>StockOutData[[#This Row],[Quantity]]*2.5</f>
        <v>30</v>
      </c>
    </row>
    <row r="36" spans="1:10" x14ac:dyDescent="0.25">
      <c r="A36" s="29">
        <v>35</v>
      </c>
      <c r="B36" s="30">
        <f t="shared" si="0"/>
        <v>43392</v>
      </c>
      <c r="C36" s="30"/>
      <c r="D36" s="30"/>
      <c r="E36" s="25" t="s">
        <v>89</v>
      </c>
      <c r="F36" s="26" t="s">
        <v>90</v>
      </c>
      <c r="G36" s="25" t="s">
        <v>869</v>
      </c>
      <c r="H36" s="25" t="s">
        <v>870</v>
      </c>
      <c r="I36" s="29">
        <v>14</v>
      </c>
      <c r="J36" s="31">
        <f>StockOutData[[#This Row],[Quantity]]*2.5</f>
        <v>35</v>
      </c>
    </row>
    <row r="37" spans="1:10" x14ac:dyDescent="0.25">
      <c r="A37" s="29">
        <v>36</v>
      </c>
      <c r="B37" s="30">
        <f t="shared" si="0"/>
        <v>43393</v>
      </c>
      <c r="C37" s="30"/>
      <c r="D37" s="30"/>
      <c r="E37" s="25" t="s">
        <v>91</v>
      </c>
      <c r="F37" s="26" t="s">
        <v>92</v>
      </c>
      <c r="G37" s="25" t="s">
        <v>869</v>
      </c>
      <c r="H37" s="25" t="s">
        <v>870</v>
      </c>
      <c r="I37" s="29">
        <v>13</v>
      </c>
      <c r="J37" s="31">
        <f>StockOutData[[#This Row],[Quantity]]*2.5</f>
        <v>32.5</v>
      </c>
    </row>
    <row r="38" spans="1:10" x14ac:dyDescent="0.25">
      <c r="A38" s="29">
        <v>37</v>
      </c>
      <c r="B38" s="30">
        <f t="shared" si="0"/>
        <v>43394</v>
      </c>
      <c r="C38" s="30"/>
      <c r="D38" s="30"/>
      <c r="E38" s="25" t="s">
        <v>93</v>
      </c>
      <c r="F38" s="26" t="s">
        <v>94</v>
      </c>
      <c r="G38" s="25" t="s">
        <v>869</v>
      </c>
      <c r="H38" s="25" t="s">
        <v>870</v>
      </c>
      <c r="I38" s="29">
        <v>5</v>
      </c>
      <c r="J38" s="31">
        <f>StockOutData[[#This Row],[Quantity]]*2.5</f>
        <v>12.5</v>
      </c>
    </row>
    <row r="39" spans="1:10" x14ac:dyDescent="0.25">
      <c r="A39" s="29">
        <v>38</v>
      </c>
      <c r="B39" s="30">
        <f t="shared" si="0"/>
        <v>43395</v>
      </c>
      <c r="C39" s="30"/>
      <c r="D39" s="30"/>
      <c r="E39" s="25" t="s">
        <v>95</v>
      </c>
      <c r="F39" s="26" t="s">
        <v>96</v>
      </c>
      <c r="G39" s="25" t="s">
        <v>869</v>
      </c>
      <c r="H39" s="25" t="s">
        <v>870</v>
      </c>
      <c r="I39" s="29">
        <v>7</v>
      </c>
      <c r="J39" s="31">
        <f>StockOutData[[#This Row],[Quantity]]*2.5</f>
        <v>17.5</v>
      </c>
    </row>
    <row r="40" spans="1:10" x14ac:dyDescent="0.25">
      <c r="A40" s="29">
        <v>39</v>
      </c>
      <c r="B40" s="30">
        <f t="shared" si="0"/>
        <v>43396</v>
      </c>
      <c r="C40" s="30"/>
      <c r="D40" s="30"/>
      <c r="E40" s="25" t="s">
        <v>97</v>
      </c>
      <c r="F40" s="26" t="s">
        <v>98</v>
      </c>
      <c r="G40" s="25" t="s">
        <v>869</v>
      </c>
      <c r="H40" s="25" t="s">
        <v>870</v>
      </c>
      <c r="I40" s="29">
        <v>15</v>
      </c>
      <c r="J40" s="31">
        <f>StockOutData[[#This Row],[Quantity]]*2.5</f>
        <v>37.5</v>
      </c>
    </row>
    <row r="41" spans="1:10" x14ac:dyDescent="0.25">
      <c r="A41" s="29">
        <v>40</v>
      </c>
      <c r="B41" s="30">
        <f t="shared" si="0"/>
        <v>43397</v>
      </c>
      <c r="C41" s="30"/>
      <c r="D41" s="30"/>
      <c r="E41" s="25" t="s">
        <v>99</v>
      </c>
      <c r="F41" s="26" t="s">
        <v>100</v>
      </c>
      <c r="G41" s="25" t="s">
        <v>869</v>
      </c>
      <c r="H41" s="25" t="s">
        <v>870</v>
      </c>
      <c r="I41" s="29">
        <v>18</v>
      </c>
      <c r="J41" s="31">
        <f>StockOutData[[#This Row],[Quantity]]*2.5</f>
        <v>45</v>
      </c>
    </row>
    <row r="42" spans="1:10" x14ac:dyDescent="0.25">
      <c r="A42" s="29">
        <v>41</v>
      </c>
      <c r="B42" s="30">
        <f t="shared" si="0"/>
        <v>43398</v>
      </c>
      <c r="C42" s="30"/>
      <c r="D42" s="30"/>
      <c r="E42" s="25" t="s">
        <v>101</v>
      </c>
      <c r="F42" s="26" t="s">
        <v>102</v>
      </c>
      <c r="G42" s="25" t="s">
        <v>869</v>
      </c>
      <c r="H42" s="25" t="s">
        <v>870</v>
      </c>
      <c r="I42" s="29">
        <v>12</v>
      </c>
      <c r="J42" s="31">
        <f>StockOutData[[#This Row],[Quantity]]*2.5</f>
        <v>30</v>
      </c>
    </row>
    <row r="43" spans="1:10" x14ac:dyDescent="0.25">
      <c r="A43" s="29">
        <v>42</v>
      </c>
      <c r="B43" s="30">
        <f t="shared" si="0"/>
        <v>43399</v>
      </c>
      <c r="C43" s="30"/>
      <c r="D43" s="30"/>
      <c r="E43" s="25" t="s">
        <v>103</v>
      </c>
      <c r="F43" s="26" t="s">
        <v>104</v>
      </c>
      <c r="G43" s="25" t="s">
        <v>869</v>
      </c>
      <c r="H43" s="25" t="s">
        <v>870</v>
      </c>
      <c r="I43" s="29">
        <v>10</v>
      </c>
      <c r="J43" s="31">
        <f>StockOutData[[#This Row],[Quantity]]*2.5</f>
        <v>25</v>
      </c>
    </row>
    <row r="44" spans="1:10" x14ac:dyDescent="0.25">
      <c r="A44" s="29">
        <v>43</v>
      </c>
      <c r="B44" s="30">
        <f t="shared" si="0"/>
        <v>43400</v>
      </c>
      <c r="C44" s="30"/>
      <c r="D44" s="30"/>
      <c r="E44" s="25" t="s">
        <v>105</v>
      </c>
      <c r="F44" s="26" t="s">
        <v>106</v>
      </c>
      <c r="G44" s="25" t="s">
        <v>869</v>
      </c>
      <c r="H44" s="25" t="s">
        <v>870</v>
      </c>
      <c r="I44" s="29">
        <v>10</v>
      </c>
      <c r="J44" s="31">
        <f>StockOutData[[#This Row],[Quantity]]*2.5</f>
        <v>25</v>
      </c>
    </row>
    <row r="45" spans="1:10" x14ac:dyDescent="0.25">
      <c r="A45" s="29">
        <v>44</v>
      </c>
      <c r="B45" s="30">
        <f t="shared" si="0"/>
        <v>43401</v>
      </c>
      <c r="C45" s="30"/>
      <c r="D45" s="30"/>
      <c r="E45" s="25" t="s">
        <v>107</v>
      </c>
      <c r="F45" s="26" t="s">
        <v>108</v>
      </c>
      <c r="G45" s="25" t="s">
        <v>869</v>
      </c>
      <c r="H45" s="25" t="s">
        <v>870</v>
      </c>
      <c r="I45" s="29">
        <v>10</v>
      </c>
      <c r="J45" s="31">
        <f>StockOutData[[#This Row],[Quantity]]*2.5</f>
        <v>25</v>
      </c>
    </row>
    <row r="46" spans="1:10" x14ac:dyDescent="0.25">
      <c r="A46" s="29">
        <v>45</v>
      </c>
      <c r="B46" s="30">
        <f t="shared" si="0"/>
        <v>43402</v>
      </c>
      <c r="C46" s="30"/>
      <c r="D46" s="30"/>
      <c r="E46" s="25" t="s">
        <v>109</v>
      </c>
      <c r="F46" s="26" t="s">
        <v>110</v>
      </c>
      <c r="G46" s="25" t="s">
        <v>869</v>
      </c>
      <c r="H46" s="25" t="s">
        <v>870</v>
      </c>
      <c r="I46" s="29">
        <v>10</v>
      </c>
      <c r="J46" s="31">
        <f>StockOutData[[#This Row],[Quantity]]*2.5</f>
        <v>25</v>
      </c>
    </row>
    <row r="47" spans="1:10" x14ac:dyDescent="0.25">
      <c r="A47" s="29">
        <v>46</v>
      </c>
      <c r="B47" s="30">
        <f t="shared" si="0"/>
        <v>43403</v>
      </c>
      <c r="C47" s="30"/>
      <c r="D47" s="30"/>
      <c r="E47" s="25" t="s">
        <v>111</v>
      </c>
      <c r="F47" s="26" t="s">
        <v>112</v>
      </c>
      <c r="G47" s="25" t="s">
        <v>869</v>
      </c>
      <c r="H47" s="25" t="s">
        <v>870</v>
      </c>
      <c r="I47" s="29">
        <v>7</v>
      </c>
      <c r="J47" s="31">
        <f>StockOutData[[#This Row],[Quantity]]*2.5</f>
        <v>17.5</v>
      </c>
    </row>
    <row r="48" spans="1:10" x14ac:dyDescent="0.25">
      <c r="A48" s="29">
        <v>47</v>
      </c>
      <c r="B48" s="30">
        <f t="shared" si="0"/>
        <v>43404</v>
      </c>
      <c r="C48" s="30"/>
      <c r="D48" s="30"/>
      <c r="E48" s="25" t="s">
        <v>113</v>
      </c>
      <c r="F48" s="26" t="s">
        <v>114</v>
      </c>
      <c r="G48" s="25" t="s">
        <v>869</v>
      </c>
      <c r="H48" s="25" t="s">
        <v>870</v>
      </c>
      <c r="I48" s="29">
        <v>15</v>
      </c>
      <c r="J48" s="31">
        <f>StockOutData[[#This Row],[Quantity]]*2.5</f>
        <v>37.5</v>
      </c>
    </row>
    <row r="49" spans="1:10" x14ac:dyDescent="0.25">
      <c r="A49" s="29">
        <v>48</v>
      </c>
      <c r="B49" s="30">
        <f t="shared" si="0"/>
        <v>43405</v>
      </c>
      <c r="C49" s="30"/>
      <c r="D49" s="30"/>
      <c r="E49" s="25" t="s">
        <v>115</v>
      </c>
      <c r="F49" s="26" t="s">
        <v>116</v>
      </c>
      <c r="G49" s="25" t="s">
        <v>869</v>
      </c>
      <c r="H49" s="25" t="s">
        <v>870</v>
      </c>
      <c r="I49" s="29">
        <v>18</v>
      </c>
      <c r="J49" s="31">
        <f>StockOutData[[#This Row],[Quantity]]*2.5</f>
        <v>45</v>
      </c>
    </row>
    <row r="50" spans="1:10" x14ac:dyDescent="0.25">
      <c r="A50" s="29">
        <v>49</v>
      </c>
      <c r="B50" s="30">
        <f t="shared" si="0"/>
        <v>43406</v>
      </c>
      <c r="C50" s="30"/>
      <c r="D50" s="30"/>
      <c r="E50" s="25" t="s">
        <v>117</v>
      </c>
      <c r="F50" s="26" t="s">
        <v>118</v>
      </c>
      <c r="G50" s="25" t="s">
        <v>869</v>
      </c>
      <c r="H50" s="25" t="s">
        <v>870</v>
      </c>
      <c r="I50" s="29">
        <v>12</v>
      </c>
      <c r="J50" s="31">
        <f>StockOutData[[#This Row],[Quantity]]*2.5</f>
        <v>30</v>
      </c>
    </row>
    <row r="51" spans="1:10" x14ac:dyDescent="0.25">
      <c r="A51" s="29">
        <v>50</v>
      </c>
      <c r="B51" s="30">
        <f t="shared" si="0"/>
        <v>43407</v>
      </c>
      <c r="C51" s="30"/>
      <c r="D51" s="30"/>
      <c r="E51" s="25" t="s">
        <v>119</v>
      </c>
      <c r="F51" s="26" t="s">
        <v>120</v>
      </c>
      <c r="G51" s="25" t="s">
        <v>869</v>
      </c>
      <c r="H51" s="25" t="s">
        <v>870</v>
      </c>
      <c r="I51" s="29">
        <v>14</v>
      </c>
      <c r="J51" s="31">
        <f>StockOutData[[#This Row],[Quantity]]*2.5</f>
        <v>35</v>
      </c>
    </row>
    <row r="52" spans="1:10" x14ac:dyDescent="0.25">
      <c r="A52" s="29">
        <v>51</v>
      </c>
      <c r="B52" s="30">
        <f t="shared" si="0"/>
        <v>43408</v>
      </c>
      <c r="C52" s="30"/>
      <c r="D52" s="30"/>
      <c r="E52" s="25" t="s">
        <v>121</v>
      </c>
      <c r="F52" s="26" t="s">
        <v>122</v>
      </c>
      <c r="G52" s="25" t="s">
        <v>869</v>
      </c>
      <c r="H52" s="25" t="s">
        <v>870</v>
      </c>
      <c r="I52" s="29">
        <v>13</v>
      </c>
      <c r="J52" s="31">
        <f>StockOutData[[#This Row],[Quantity]]*2.5</f>
        <v>32.5</v>
      </c>
    </row>
    <row r="53" spans="1:10" x14ac:dyDescent="0.25">
      <c r="A53" s="29">
        <v>52</v>
      </c>
      <c r="B53" s="30">
        <f t="shared" si="0"/>
        <v>43409</v>
      </c>
      <c r="C53" s="30"/>
      <c r="D53" s="30"/>
      <c r="E53" s="25" t="s">
        <v>123</v>
      </c>
      <c r="F53" s="26" t="s">
        <v>124</v>
      </c>
      <c r="G53" s="25" t="s">
        <v>869</v>
      </c>
      <c r="H53" s="25" t="s">
        <v>870</v>
      </c>
      <c r="I53" s="29">
        <v>5</v>
      </c>
      <c r="J53" s="31">
        <f>StockOutData[[#This Row],[Quantity]]*2.5</f>
        <v>12.5</v>
      </c>
    </row>
    <row r="54" spans="1:10" x14ac:dyDescent="0.25">
      <c r="A54" s="29">
        <v>53</v>
      </c>
      <c r="B54" s="30">
        <f t="shared" si="0"/>
        <v>43410</v>
      </c>
      <c r="C54" s="30"/>
      <c r="D54" s="30"/>
      <c r="E54" s="25" t="s">
        <v>125</v>
      </c>
      <c r="F54" s="26" t="s">
        <v>126</v>
      </c>
      <c r="G54" s="25" t="s">
        <v>869</v>
      </c>
      <c r="H54" s="25" t="s">
        <v>870</v>
      </c>
      <c r="I54" s="29">
        <v>7</v>
      </c>
      <c r="J54" s="31">
        <f>StockOutData[[#This Row],[Quantity]]*2.5</f>
        <v>17.5</v>
      </c>
    </row>
    <row r="55" spans="1:10" x14ac:dyDescent="0.25">
      <c r="A55" s="29">
        <v>54</v>
      </c>
      <c r="B55" s="30">
        <f t="shared" si="0"/>
        <v>43411</v>
      </c>
      <c r="C55" s="30"/>
      <c r="D55" s="30"/>
      <c r="E55" s="25" t="s">
        <v>127</v>
      </c>
      <c r="F55" s="26" t="s">
        <v>128</v>
      </c>
      <c r="G55" s="25" t="s">
        <v>869</v>
      </c>
      <c r="H55" s="25" t="s">
        <v>870</v>
      </c>
      <c r="I55" s="29">
        <v>15</v>
      </c>
      <c r="J55" s="31">
        <f>StockOutData[[#This Row],[Quantity]]*2.5</f>
        <v>37.5</v>
      </c>
    </row>
    <row r="56" spans="1:10" x14ac:dyDescent="0.25">
      <c r="A56" s="29">
        <v>55</v>
      </c>
      <c r="B56" s="30">
        <f t="shared" si="0"/>
        <v>43412</v>
      </c>
      <c r="C56" s="30"/>
      <c r="D56" s="30"/>
      <c r="E56" s="25" t="s">
        <v>129</v>
      </c>
      <c r="F56" s="26" t="s">
        <v>130</v>
      </c>
      <c r="G56" s="25" t="s">
        <v>869</v>
      </c>
      <c r="H56" s="25" t="s">
        <v>870</v>
      </c>
      <c r="I56" s="29">
        <v>18</v>
      </c>
      <c r="J56" s="31">
        <f>StockOutData[[#This Row],[Quantity]]*2.5</f>
        <v>45</v>
      </c>
    </row>
    <row r="57" spans="1:10" x14ac:dyDescent="0.25">
      <c r="A57" s="29">
        <v>56</v>
      </c>
      <c r="B57" s="30">
        <f t="shared" si="0"/>
        <v>43413</v>
      </c>
      <c r="C57" s="30"/>
      <c r="D57" s="30"/>
      <c r="E57" s="25" t="s">
        <v>131</v>
      </c>
      <c r="F57" s="26" t="s">
        <v>132</v>
      </c>
      <c r="G57" s="25" t="s">
        <v>869</v>
      </c>
      <c r="H57" s="25" t="s">
        <v>870</v>
      </c>
      <c r="I57" s="29">
        <v>12</v>
      </c>
      <c r="J57" s="31">
        <f>StockOutData[[#This Row],[Quantity]]*2.5</f>
        <v>30</v>
      </c>
    </row>
    <row r="58" spans="1:10" x14ac:dyDescent="0.25">
      <c r="A58" s="29">
        <v>57</v>
      </c>
      <c r="B58" s="30">
        <f t="shared" si="0"/>
        <v>43414</v>
      </c>
      <c r="C58" s="30"/>
      <c r="D58" s="30"/>
      <c r="E58" s="25" t="s">
        <v>133</v>
      </c>
      <c r="F58" s="26" t="s">
        <v>134</v>
      </c>
      <c r="G58" s="25" t="s">
        <v>869</v>
      </c>
      <c r="H58" s="25" t="s">
        <v>870</v>
      </c>
      <c r="I58" s="29">
        <v>14</v>
      </c>
      <c r="J58" s="31">
        <f>StockOutData[[#This Row],[Quantity]]*2.5</f>
        <v>35</v>
      </c>
    </row>
    <row r="59" spans="1:10" x14ac:dyDescent="0.25">
      <c r="A59" s="29">
        <v>58</v>
      </c>
      <c r="B59" s="30">
        <f t="shared" si="0"/>
        <v>43415</v>
      </c>
      <c r="C59" s="30"/>
      <c r="D59" s="30"/>
      <c r="E59" s="25" t="s">
        <v>135</v>
      </c>
      <c r="F59" s="26" t="s">
        <v>136</v>
      </c>
      <c r="G59" s="25" t="s">
        <v>869</v>
      </c>
      <c r="H59" s="25" t="s">
        <v>870</v>
      </c>
      <c r="I59" s="29">
        <v>13</v>
      </c>
      <c r="J59" s="31">
        <f>StockOutData[[#This Row],[Quantity]]*2.5</f>
        <v>32.5</v>
      </c>
    </row>
    <row r="60" spans="1:10" x14ac:dyDescent="0.25">
      <c r="A60" s="29">
        <v>59</v>
      </c>
      <c r="B60" s="30">
        <f t="shared" si="0"/>
        <v>43416</v>
      </c>
      <c r="C60" s="30"/>
      <c r="D60" s="30"/>
      <c r="E60" s="25" t="s">
        <v>137</v>
      </c>
      <c r="F60" s="26" t="s">
        <v>138</v>
      </c>
      <c r="G60" s="25" t="s">
        <v>869</v>
      </c>
      <c r="H60" s="25" t="s">
        <v>870</v>
      </c>
      <c r="I60" s="29">
        <v>5</v>
      </c>
      <c r="J60" s="31">
        <f>StockOutData[[#This Row],[Quantity]]*2.5</f>
        <v>12.5</v>
      </c>
    </row>
    <row r="61" spans="1:10" x14ac:dyDescent="0.25">
      <c r="A61" s="29">
        <v>60</v>
      </c>
      <c r="B61" s="30">
        <f t="shared" si="0"/>
        <v>43417</v>
      </c>
      <c r="C61" s="30"/>
      <c r="D61" s="30"/>
      <c r="E61" s="25" t="s">
        <v>139</v>
      </c>
      <c r="F61" s="26" t="s">
        <v>140</v>
      </c>
      <c r="G61" s="25" t="s">
        <v>869</v>
      </c>
      <c r="H61" s="25" t="s">
        <v>870</v>
      </c>
      <c r="I61" s="29">
        <v>7</v>
      </c>
      <c r="J61" s="31">
        <f>StockOutData[[#This Row],[Quantity]]*2.5</f>
        <v>17.5</v>
      </c>
    </row>
    <row r="62" spans="1:10" x14ac:dyDescent="0.25">
      <c r="A62" s="29">
        <v>61</v>
      </c>
      <c r="B62" s="30">
        <f t="shared" si="0"/>
        <v>43418</v>
      </c>
      <c r="C62" s="30"/>
      <c r="D62" s="30"/>
      <c r="E62" s="25" t="s">
        <v>141</v>
      </c>
      <c r="F62" s="26" t="s">
        <v>142</v>
      </c>
      <c r="G62" s="25" t="s">
        <v>869</v>
      </c>
      <c r="H62" s="25" t="s">
        <v>870</v>
      </c>
      <c r="I62" s="29">
        <v>15</v>
      </c>
      <c r="J62" s="31">
        <f>StockOutData[[#This Row],[Quantity]]*2.5</f>
        <v>37.5</v>
      </c>
    </row>
    <row r="63" spans="1:10" x14ac:dyDescent="0.25">
      <c r="A63" s="29">
        <v>62</v>
      </c>
      <c r="B63" s="30">
        <f t="shared" si="0"/>
        <v>43419</v>
      </c>
      <c r="C63" s="30"/>
      <c r="D63" s="30"/>
      <c r="E63" s="25" t="s">
        <v>143</v>
      </c>
      <c r="F63" s="26" t="s">
        <v>144</v>
      </c>
      <c r="G63" s="25" t="s">
        <v>869</v>
      </c>
      <c r="H63" s="25" t="s">
        <v>870</v>
      </c>
      <c r="I63" s="29">
        <v>18</v>
      </c>
      <c r="J63" s="31">
        <f>StockOutData[[#This Row],[Quantity]]*2.5</f>
        <v>45</v>
      </c>
    </row>
    <row r="64" spans="1:10" x14ac:dyDescent="0.25">
      <c r="A64" s="29">
        <v>63</v>
      </c>
      <c r="B64" s="30">
        <f t="shared" si="0"/>
        <v>43420</v>
      </c>
      <c r="C64" s="30"/>
      <c r="D64" s="30"/>
      <c r="E64" s="25" t="s">
        <v>145</v>
      </c>
      <c r="F64" s="26" t="s">
        <v>146</v>
      </c>
      <c r="G64" s="25" t="s">
        <v>869</v>
      </c>
      <c r="H64" s="25" t="s">
        <v>870</v>
      </c>
      <c r="I64" s="29">
        <v>12</v>
      </c>
      <c r="J64" s="31">
        <f>StockOutData[[#This Row],[Quantity]]*2.5</f>
        <v>30</v>
      </c>
    </row>
    <row r="65" spans="1:10" x14ac:dyDescent="0.25">
      <c r="A65" s="29">
        <v>64</v>
      </c>
      <c r="B65" s="30">
        <f t="shared" si="0"/>
        <v>43421</v>
      </c>
      <c r="C65" s="30"/>
      <c r="D65" s="30"/>
      <c r="E65" s="25" t="s">
        <v>147</v>
      </c>
      <c r="F65" s="26" t="s">
        <v>148</v>
      </c>
      <c r="G65" s="25" t="s">
        <v>869</v>
      </c>
      <c r="H65" s="25" t="s">
        <v>870</v>
      </c>
      <c r="I65" s="29">
        <v>10</v>
      </c>
      <c r="J65" s="31">
        <f>StockOutData[[#This Row],[Quantity]]*2.5</f>
        <v>25</v>
      </c>
    </row>
    <row r="66" spans="1:10" x14ac:dyDescent="0.25">
      <c r="A66" s="29">
        <v>65</v>
      </c>
      <c r="B66" s="30">
        <f t="shared" si="0"/>
        <v>43422</v>
      </c>
      <c r="C66" s="30"/>
      <c r="D66" s="30"/>
      <c r="E66" s="25" t="s">
        <v>149</v>
      </c>
      <c r="F66" s="26" t="s">
        <v>150</v>
      </c>
      <c r="G66" s="25" t="s">
        <v>869</v>
      </c>
      <c r="H66" s="25" t="s">
        <v>870</v>
      </c>
      <c r="I66" s="29">
        <v>10</v>
      </c>
      <c r="J66" s="31">
        <f>StockOutData[[#This Row],[Quantity]]*2.5</f>
        <v>25</v>
      </c>
    </row>
    <row r="67" spans="1:10" x14ac:dyDescent="0.25">
      <c r="A67" s="29">
        <v>66</v>
      </c>
      <c r="B67" s="30">
        <f t="shared" si="0"/>
        <v>43423</v>
      </c>
      <c r="C67" s="30"/>
      <c r="D67" s="30"/>
      <c r="E67" s="25" t="s">
        <v>151</v>
      </c>
      <c r="F67" s="26" t="s">
        <v>152</v>
      </c>
      <c r="G67" s="25" t="s">
        <v>869</v>
      </c>
      <c r="H67" s="25" t="s">
        <v>870</v>
      </c>
      <c r="I67" s="29">
        <v>10</v>
      </c>
      <c r="J67" s="31">
        <f>StockOutData[[#This Row],[Quantity]]*2.5</f>
        <v>25</v>
      </c>
    </row>
    <row r="68" spans="1:10" x14ac:dyDescent="0.25">
      <c r="A68" s="29">
        <v>67</v>
      </c>
      <c r="B68" s="30">
        <f t="shared" ref="B68:B131" si="1">B67+1</f>
        <v>43424</v>
      </c>
      <c r="C68" s="30"/>
      <c r="D68" s="30"/>
      <c r="E68" s="25" t="s">
        <v>153</v>
      </c>
      <c r="F68" s="26" t="s">
        <v>154</v>
      </c>
      <c r="G68" s="25" t="s">
        <v>869</v>
      </c>
      <c r="H68" s="25" t="s">
        <v>870</v>
      </c>
      <c r="I68" s="29">
        <v>7</v>
      </c>
      <c r="J68" s="31">
        <f>StockOutData[[#This Row],[Quantity]]*2.5</f>
        <v>17.5</v>
      </c>
    </row>
    <row r="69" spans="1:10" x14ac:dyDescent="0.25">
      <c r="A69" s="29">
        <v>68</v>
      </c>
      <c r="B69" s="30">
        <f t="shared" si="1"/>
        <v>43425</v>
      </c>
      <c r="C69" s="30"/>
      <c r="D69" s="30"/>
      <c r="E69" s="25" t="s">
        <v>155</v>
      </c>
      <c r="F69" s="26" t="s">
        <v>156</v>
      </c>
      <c r="G69" s="25" t="s">
        <v>869</v>
      </c>
      <c r="H69" s="25" t="s">
        <v>870</v>
      </c>
      <c r="I69" s="29">
        <v>15</v>
      </c>
      <c r="J69" s="31">
        <f>StockOutData[[#This Row],[Quantity]]*2.5</f>
        <v>37.5</v>
      </c>
    </row>
    <row r="70" spans="1:10" x14ac:dyDescent="0.25">
      <c r="A70" s="29">
        <v>69</v>
      </c>
      <c r="B70" s="30">
        <f t="shared" si="1"/>
        <v>43426</v>
      </c>
      <c r="C70" s="30"/>
      <c r="D70" s="30"/>
      <c r="E70" s="25" t="s">
        <v>157</v>
      </c>
      <c r="F70" s="26" t="s">
        <v>158</v>
      </c>
      <c r="G70" s="25" t="s">
        <v>869</v>
      </c>
      <c r="H70" s="25" t="s">
        <v>871</v>
      </c>
      <c r="I70" s="29">
        <v>18</v>
      </c>
      <c r="J70" s="31">
        <f>StockOutData[[#This Row],[Quantity]]*2.5</f>
        <v>45</v>
      </c>
    </row>
    <row r="71" spans="1:10" x14ac:dyDescent="0.25">
      <c r="A71" s="29">
        <v>70</v>
      </c>
      <c r="B71" s="30">
        <f t="shared" si="1"/>
        <v>43427</v>
      </c>
      <c r="C71" s="30"/>
      <c r="D71" s="30"/>
      <c r="E71" s="25" t="s">
        <v>159</v>
      </c>
      <c r="F71" s="26" t="s">
        <v>160</v>
      </c>
      <c r="G71" s="25" t="s">
        <v>869</v>
      </c>
      <c r="H71" s="25" t="s">
        <v>871</v>
      </c>
      <c r="I71" s="29">
        <v>12</v>
      </c>
      <c r="J71" s="31">
        <f>StockOutData[[#This Row],[Quantity]]*2.5</f>
        <v>30</v>
      </c>
    </row>
    <row r="72" spans="1:10" x14ac:dyDescent="0.25">
      <c r="A72" s="29">
        <v>71</v>
      </c>
      <c r="B72" s="30">
        <f t="shared" si="1"/>
        <v>43428</v>
      </c>
      <c r="C72" s="30"/>
      <c r="D72" s="30"/>
      <c r="E72" s="25" t="s">
        <v>161</v>
      </c>
      <c r="F72" s="26" t="s">
        <v>162</v>
      </c>
      <c r="G72" s="25" t="s">
        <v>869</v>
      </c>
      <c r="H72" s="25" t="s">
        <v>871</v>
      </c>
      <c r="I72" s="29">
        <v>14</v>
      </c>
      <c r="J72" s="31">
        <f>StockOutData[[#This Row],[Quantity]]*2.5</f>
        <v>35</v>
      </c>
    </row>
    <row r="73" spans="1:10" x14ac:dyDescent="0.25">
      <c r="A73" s="29">
        <v>72</v>
      </c>
      <c r="B73" s="30">
        <f t="shared" si="1"/>
        <v>43429</v>
      </c>
      <c r="C73" s="30"/>
      <c r="D73" s="30"/>
      <c r="E73" s="25" t="s">
        <v>163</v>
      </c>
      <c r="F73" s="26" t="s">
        <v>164</v>
      </c>
      <c r="G73" s="25" t="s">
        <v>869</v>
      </c>
      <c r="H73" s="25" t="s">
        <v>871</v>
      </c>
      <c r="I73" s="29">
        <v>13</v>
      </c>
      <c r="J73" s="31">
        <f>StockOutData[[#This Row],[Quantity]]*2.5</f>
        <v>32.5</v>
      </c>
    </row>
    <row r="74" spans="1:10" x14ac:dyDescent="0.25">
      <c r="A74" s="29">
        <v>73</v>
      </c>
      <c r="B74" s="30">
        <f t="shared" si="1"/>
        <v>43430</v>
      </c>
      <c r="C74" s="30"/>
      <c r="D74" s="30"/>
      <c r="E74" s="25" t="s">
        <v>165</v>
      </c>
      <c r="F74" s="26" t="s">
        <v>166</v>
      </c>
      <c r="G74" s="25" t="s">
        <v>869</v>
      </c>
      <c r="H74" s="25" t="s">
        <v>871</v>
      </c>
      <c r="I74" s="29">
        <v>5</v>
      </c>
      <c r="J74" s="31">
        <f>StockOutData[[#This Row],[Quantity]]*2.5</f>
        <v>12.5</v>
      </c>
    </row>
    <row r="75" spans="1:10" x14ac:dyDescent="0.25">
      <c r="A75" s="29">
        <v>74</v>
      </c>
      <c r="B75" s="30">
        <f t="shared" si="1"/>
        <v>43431</v>
      </c>
      <c r="C75" s="30"/>
      <c r="D75" s="30"/>
      <c r="E75" s="25" t="s">
        <v>167</v>
      </c>
      <c r="F75" s="26" t="s">
        <v>168</v>
      </c>
      <c r="G75" s="25" t="s">
        <v>869</v>
      </c>
      <c r="H75" s="25" t="s">
        <v>871</v>
      </c>
      <c r="I75" s="29">
        <v>7</v>
      </c>
      <c r="J75" s="31">
        <f>StockOutData[[#This Row],[Quantity]]*2.5</f>
        <v>17.5</v>
      </c>
    </row>
    <row r="76" spans="1:10" x14ac:dyDescent="0.25">
      <c r="A76" s="29">
        <v>75</v>
      </c>
      <c r="B76" s="30">
        <f t="shared" si="1"/>
        <v>43432</v>
      </c>
      <c r="C76" s="30"/>
      <c r="D76" s="30"/>
      <c r="E76" s="25" t="s">
        <v>169</v>
      </c>
      <c r="F76" s="26" t="s">
        <v>170</v>
      </c>
      <c r="G76" s="25" t="s">
        <v>869</v>
      </c>
      <c r="H76" s="25" t="s">
        <v>871</v>
      </c>
      <c r="I76" s="29">
        <v>15</v>
      </c>
      <c r="J76" s="31">
        <f>StockOutData[[#This Row],[Quantity]]*2.5</f>
        <v>37.5</v>
      </c>
    </row>
    <row r="77" spans="1:10" x14ac:dyDescent="0.25">
      <c r="A77" s="29">
        <v>76</v>
      </c>
      <c r="B77" s="30">
        <f t="shared" si="1"/>
        <v>43433</v>
      </c>
      <c r="C77" s="30"/>
      <c r="D77" s="30"/>
      <c r="E77" s="25" t="s">
        <v>171</v>
      </c>
      <c r="F77" s="26" t="s">
        <v>172</v>
      </c>
      <c r="G77" s="25" t="s">
        <v>869</v>
      </c>
      <c r="H77" s="25" t="s">
        <v>871</v>
      </c>
      <c r="I77" s="29">
        <v>18</v>
      </c>
      <c r="J77" s="31">
        <f>StockOutData[[#This Row],[Quantity]]*2.5</f>
        <v>45</v>
      </c>
    </row>
    <row r="78" spans="1:10" x14ac:dyDescent="0.25">
      <c r="A78" s="29">
        <v>77</v>
      </c>
      <c r="B78" s="30">
        <f t="shared" si="1"/>
        <v>43434</v>
      </c>
      <c r="C78" s="30"/>
      <c r="D78" s="30"/>
      <c r="E78" s="25" t="s">
        <v>173</v>
      </c>
      <c r="F78" s="26" t="s">
        <v>174</v>
      </c>
      <c r="G78" s="25" t="s">
        <v>869</v>
      </c>
      <c r="H78" s="25" t="s">
        <v>871</v>
      </c>
      <c r="I78" s="29">
        <v>12</v>
      </c>
      <c r="J78" s="31">
        <f>StockOutData[[#This Row],[Quantity]]*2.5</f>
        <v>30</v>
      </c>
    </row>
    <row r="79" spans="1:10" x14ac:dyDescent="0.25">
      <c r="A79" s="29">
        <v>78</v>
      </c>
      <c r="B79" s="30">
        <f t="shared" si="1"/>
        <v>43435</v>
      </c>
      <c r="C79" s="30"/>
      <c r="D79" s="30"/>
      <c r="E79" s="25" t="s">
        <v>175</v>
      </c>
      <c r="F79" s="26" t="s">
        <v>176</v>
      </c>
      <c r="G79" s="25" t="s">
        <v>869</v>
      </c>
      <c r="H79" s="25" t="s">
        <v>871</v>
      </c>
      <c r="I79" s="29">
        <v>14</v>
      </c>
      <c r="J79" s="31">
        <f>StockOutData[[#This Row],[Quantity]]*2.5</f>
        <v>35</v>
      </c>
    </row>
    <row r="80" spans="1:10" x14ac:dyDescent="0.25">
      <c r="A80" s="29">
        <v>79</v>
      </c>
      <c r="B80" s="30">
        <f t="shared" si="1"/>
        <v>43436</v>
      </c>
      <c r="C80" s="30"/>
      <c r="D80" s="30"/>
      <c r="E80" s="25" t="s">
        <v>177</v>
      </c>
      <c r="F80" s="26" t="s">
        <v>178</v>
      </c>
      <c r="G80" s="25" t="s">
        <v>869</v>
      </c>
      <c r="H80" s="25" t="s">
        <v>871</v>
      </c>
      <c r="I80" s="29">
        <v>13</v>
      </c>
      <c r="J80" s="31">
        <f>StockOutData[[#This Row],[Quantity]]*2.5</f>
        <v>32.5</v>
      </c>
    </row>
    <row r="81" spans="1:10" x14ac:dyDescent="0.25">
      <c r="A81" s="29">
        <v>80</v>
      </c>
      <c r="B81" s="30">
        <f t="shared" si="1"/>
        <v>43437</v>
      </c>
      <c r="C81" s="30"/>
      <c r="D81" s="30"/>
      <c r="E81" s="25" t="s">
        <v>179</v>
      </c>
      <c r="F81" s="26" t="s">
        <v>180</v>
      </c>
      <c r="G81" s="25" t="s">
        <v>869</v>
      </c>
      <c r="H81" s="25" t="s">
        <v>871</v>
      </c>
      <c r="I81" s="29">
        <v>5</v>
      </c>
      <c r="J81" s="31">
        <f>StockOutData[[#This Row],[Quantity]]*2.5</f>
        <v>12.5</v>
      </c>
    </row>
    <row r="82" spans="1:10" x14ac:dyDescent="0.25">
      <c r="A82" s="29">
        <v>81</v>
      </c>
      <c r="B82" s="30">
        <f t="shared" si="1"/>
        <v>43438</v>
      </c>
      <c r="C82" s="30"/>
      <c r="D82" s="30"/>
      <c r="E82" s="25" t="s">
        <v>181</v>
      </c>
      <c r="F82" s="26" t="s">
        <v>182</v>
      </c>
      <c r="G82" s="25" t="s">
        <v>869</v>
      </c>
      <c r="H82" s="25" t="s">
        <v>871</v>
      </c>
      <c r="I82" s="29">
        <v>7</v>
      </c>
      <c r="J82" s="31">
        <f>StockOutData[[#This Row],[Quantity]]*2.5</f>
        <v>17.5</v>
      </c>
    </row>
    <row r="83" spans="1:10" x14ac:dyDescent="0.25">
      <c r="A83" s="29">
        <v>82</v>
      </c>
      <c r="B83" s="30">
        <f t="shared" si="1"/>
        <v>43439</v>
      </c>
      <c r="C83" s="30"/>
      <c r="D83" s="30"/>
      <c r="E83" s="25" t="s">
        <v>183</v>
      </c>
      <c r="F83" s="26" t="s">
        <v>184</v>
      </c>
      <c r="G83" s="25" t="s">
        <v>869</v>
      </c>
      <c r="H83" s="25" t="s">
        <v>871</v>
      </c>
      <c r="I83" s="29">
        <v>15</v>
      </c>
      <c r="J83" s="31">
        <f>StockOutData[[#This Row],[Quantity]]*2.5</f>
        <v>37.5</v>
      </c>
    </row>
    <row r="84" spans="1:10" x14ac:dyDescent="0.25">
      <c r="A84" s="29">
        <v>83</v>
      </c>
      <c r="B84" s="30">
        <f t="shared" si="1"/>
        <v>43440</v>
      </c>
      <c r="C84" s="30"/>
      <c r="D84" s="30"/>
      <c r="E84" s="25" t="s">
        <v>185</v>
      </c>
      <c r="F84" s="26" t="s">
        <v>186</v>
      </c>
      <c r="G84" s="25" t="s">
        <v>869</v>
      </c>
      <c r="H84" s="25" t="s">
        <v>871</v>
      </c>
      <c r="I84" s="29">
        <v>18</v>
      </c>
      <c r="J84" s="31">
        <f>StockOutData[[#This Row],[Quantity]]*2.5</f>
        <v>45</v>
      </c>
    </row>
    <row r="85" spans="1:10" x14ac:dyDescent="0.25">
      <c r="A85" s="29">
        <v>84</v>
      </c>
      <c r="B85" s="30">
        <f t="shared" si="1"/>
        <v>43441</v>
      </c>
      <c r="C85" s="30"/>
      <c r="D85" s="30"/>
      <c r="E85" s="25" t="s">
        <v>187</v>
      </c>
      <c r="F85" s="26" t="s">
        <v>188</v>
      </c>
      <c r="G85" s="25" t="s">
        <v>869</v>
      </c>
      <c r="H85" s="25" t="s">
        <v>871</v>
      </c>
      <c r="I85" s="29">
        <v>12</v>
      </c>
      <c r="J85" s="31">
        <f>StockOutData[[#This Row],[Quantity]]*2.5</f>
        <v>30</v>
      </c>
    </row>
    <row r="86" spans="1:10" x14ac:dyDescent="0.25">
      <c r="A86" s="29">
        <v>85</v>
      </c>
      <c r="B86" s="30">
        <f t="shared" si="1"/>
        <v>43442</v>
      </c>
      <c r="C86" s="30"/>
      <c r="D86" s="30"/>
      <c r="E86" s="25" t="s">
        <v>189</v>
      </c>
      <c r="F86" s="26" t="s">
        <v>190</v>
      </c>
      <c r="G86" s="25" t="s">
        <v>869</v>
      </c>
      <c r="H86" s="25" t="s">
        <v>871</v>
      </c>
      <c r="I86" s="29">
        <v>10</v>
      </c>
      <c r="J86" s="31">
        <f>StockOutData[[#This Row],[Quantity]]*2.5</f>
        <v>25</v>
      </c>
    </row>
    <row r="87" spans="1:10" x14ac:dyDescent="0.25">
      <c r="A87" s="29">
        <v>86</v>
      </c>
      <c r="B87" s="30">
        <f t="shared" si="1"/>
        <v>43443</v>
      </c>
      <c r="C87" s="30"/>
      <c r="D87" s="30"/>
      <c r="E87" s="25" t="s">
        <v>191</v>
      </c>
      <c r="F87" s="26" t="s">
        <v>192</v>
      </c>
      <c r="G87" s="25" t="s">
        <v>869</v>
      </c>
      <c r="H87" s="25" t="s">
        <v>871</v>
      </c>
      <c r="I87" s="29">
        <v>10</v>
      </c>
      <c r="J87" s="31">
        <f>StockOutData[[#This Row],[Quantity]]*2.5</f>
        <v>25</v>
      </c>
    </row>
    <row r="88" spans="1:10" x14ac:dyDescent="0.25">
      <c r="A88" s="29">
        <v>87</v>
      </c>
      <c r="B88" s="30">
        <f t="shared" si="1"/>
        <v>43444</v>
      </c>
      <c r="C88" s="30"/>
      <c r="D88" s="30"/>
      <c r="E88" s="25" t="s">
        <v>193</v>
      </c>
      <c r="F88" s="26" t="s">
        <v>194</v>
      </c>
      <c r="G88" s="25" t="s">
        <v>869</v>
      </c>
      <c r="H88" s="25" t="s">
        <v>871</v>
      </c>
      <c r="I88" s="29">
        <v>7</v>
      </c>
      <c r="J88" s="31">
        <f>StockOutData[[#This Row],[Quantity]]*2.5</f>
        <v>17.5</v>
      </c>
    </row>
    <row r="89" spans="1:10" x14ac:dyDescent="0.25">
      <c r="A89" s="29">
        <v>88</v>
      </c>
      <c r="B89" s="30">
        <f t="shared" si="1"/>
        <v>43445</v>
      </c>
      <c r="C89" s="30"/>
      <c r="D89" s="30"/>
      <c r="E89" s="25" t="s">
        <v>195</v>
      </c>
      <c r="F89" s="26" t="s">
        <v>196</v>
      </c>
      <c r="G89" s="25" t="s">
        <v>869</v>
      </c>
      <c r="H89" s="25" t="s">
        <v>871</v>
      </c>
      <c r="I89" s="29">
        <v>15</v>
      </c>
      <c r="J89" s="31">
        <f>StockOutData[[#This Row],[Quantity]]*2.5</f>
        <v>37.5</v>
      </c>
    </row>
    <row r="90" spans="1:10" x14ac:dyDescent="0.25">
      <c r="A90" s="29">
        <v>89</v>
      </c>
      <c r="B90" s="30">
        <f t="shared" si="1"/>
        <v>43446</v>
      </c>
      <c r="C90" s="30"/>
      <c r="D90" s="30"/>
      <c r="E90" s="25" t="s">
        <v>197</v>
      </c>
      <c r="F90" s="26" t="s">
        <v>198</v>
      </c>
      <c r="G90" s="25" t="s">
        <v>869</v>
      </c>
      <c r="H90" s="25" t="s">
        <v>871</v>
      </c>
      <c r="I90" s="29">
        <v>18</v>
      </c>
      <c r="J90" s="31">
        <f>StockOutData[[#This Row],[Quantity]]*2.5</f>
        <v>45</v>
      </c>
    </row>
    <row r="91" spans="1:10" x14ac:dyDescent="0.25">
      <c r="A91" s="29">
        <v>90</v>
      </c>
      <c r="B91" s="30">
        <f t="shared" si="1"/>
        <v>43447</v>
      </c>
      <c r="C91" s="30"/>
      <c r="D91" s="30"/>
      <c r="E91" s="25" t="s">
        <v>199</v>
      </c>
      <c r="F91" s="26" t="s">
        <v>200</v>
      </c>
      <c r="G91" s="25" t="s">
        <v>869</v>
      </c>
      <c r="H91" s="25" t="s">
        <v>871</v>
      </c>
      <c r="I91" s="29">
        <v>12</v>
      </c>
      <c r="J91" s="31">
        <f>StockOutData[[#This Row],[Quantity]]*2.5</f>
        <v>30</v>
      </c>
    </row>
    <row r="92" spans="1:10" x14ac:dyDescent="0.25">
      <c r="A92" s="29">
        <v>91</v>
      </c>
      <c r="B92" s="30">
        <f t="shared" si="1"/>
        <v>43448</v>
      </c>
      <c r="C92" s="30"/>
      <c r="D92" s="30"/>
      <c r="E92" s="25" t="s">
        <v>201</v>
      </c>
      <c r="F92" s="26" t="s">
        <v>202</v>
      </c>
      <c r="G92" s="25" t="s">
        <v>869</v>
      </c>
      <c r="H92" s="25" t="s">
        <v>871</v>
      </c>
      <c r="I92" s="29">
        <v>14</v>
      </c>
      <c r="J92" s="31">
        <f>StockOutData[[#This Row],[Quantity]]*2.5</f>
        <v>35</v>
      </c>
    </row>
    <row r="93" spans="1:10" x14ac:dyDescent="0.25">
      <c r="A93" s="29">
        <v>92</v>
      </c>
      <c r="B93" s="30">
        <f t="shared" si="1"/>
        <v>43449</v>
      </c>
      <c r="C93" s="30"/>
      <c r="D93" s="30"/>
      <c r="E93" s="25" t="s">
        <v>203</v>
      </c>
      <c r="F93" s="26" t="s">
        <v>204</v>
      </c>
      <c r="G93" s="25" t="s">
        <v>869</v>
      </c>
      <c r="H93" s="25" t="s">
        <v>871</v>
      </c>
      <c r="I93" s="29">
        <v>13</v>
      </c>
      <c r="J93" s="31">
        <f>StockOutData[[#This Row],[Quantity]]*2.5</f>
        <v>32.5</v>
      </c>
    </row>
    <row r="94" spans="1:10" x14ac:dyDescent="0.25">
      <c r="A94" s="29">
        <v>93</v>
      </c>
      <c r="B94" s="30">
        <f t="shared" si="1"/>
        <v>43450</v>
      </c>
      <c r="C94" s="30"/>
      <c r="D94" s="30"/>
      <c r="E94" s="25" t="s">
        <v>205</v>
      </c>
      <c r="F94" s="26" t="s">
        <v>206</v>
      </c>
      <c r="G94" s="25" t="s">
        <v>869</v>
      </c>
      <c r="H94" s="25" t="s">
        <v>871</v>
      </c>
      <c r="I94" s="29">
        <v>5</v>
      </c>
      <c r="J94" s="31">
        <f>StockOutData[[#This Row],[Quantity]]*2.5</f>
        <v>12.5</v>
      </c>
    </row>
    <row r="95" spans="1:10" x14ac:dyDescent="0.25">
      <c r="A95" s="29">
        <v>94</v>
      </c>
      <c r="B95" s="30">
        <f t="shared" si="1"/>
        <v>43451</v>
      </c>
      <c r="C95" s="30"/>
      <c r="D95" s="30"/>
      <c r="E95" s="25" t="s">
        <v>207</v>
      </c>
      <c r="F95" s="26" t="s">
        <v>208</v>
      </c>
      <c r="G95" s="25" t="s">
        <v>869</v>
      </c>
      <c r="H95" s="25" t="s">
        <v>871</v>
      </c>
      <c r="I95" s="29">
        <v>7</v>
      </c>
      <c r="J95" s="31">
        <f>StockOutData[[#This Row],[Quantity]]*2.5</f>
        <v>17.5</v>
      </c>
    </row>
    <row r="96" spans="1:10" x14ac:dyDescent="0.25">
      <c r="A96" s="29">
        <v>95</v>
      </c>
      <c r="B96" s="30">
        <f t="shared" si="1"/>
        <v>43452</v>
      </c>
      <c r="C96" s="30"/>
      <c r="D96" s="30"/>
      <c r="E96" s="25" t="s">
        <v>209</v>
      </c>
      <c r="F96" s="26" t="s">
        <v>210</v>
      </c>
      <c r="G96" s="25" t="s">
        <v>869</v>
      </c>
      <c r="H96" s="25" t="s">
        <v>871</v>
      </c>
      <c r="I96" s="29">
        <v>15</v>
      </c>
      <c r="J96" s="31">
        <f>StockOutData[[#This Row],[Quantity]]*2.5</f>
        <v>37.5</v>
      </c>
    </row>
    <row r="97" spans="1:10" x14ac:dyDescent="0.25">
      <c r="A97" s="29">
        <v>96</v>
      </c>
      <c r="B97" s="30">
        <f t="shared" si="1"/>
        <v>43453</v>
      </c>
      <c r="C97" s="30"/>
      <c r="D97" s="30"/>
      <c r="E97" s="25" t="s">
        <v>211</v>
      </c>
      <c r="F97" s="26" t="s">
        <v>212</v>
      </c>
      <c r="G97" s="25" t="s">
        <v>869</v>
      </c>
      <c r="H97" s="25" t="s">
        <v>871</v>
      </c>
      <c r="I97" s="29">
        <v>18</v>
      </c>
      <c r="J97" s="31">
        <f>StockOutData[[#This Row],[Quantity]]*2.5</f>
        <v>45</v>
      </c>
    </row>
    <row r="98" spans="1:10" x14ac:dyDescent="0.25">
      <c r="A98" s="29">
        <v>97</v>
      </c>
      <c r="B98" s="30">
        <f t="shared" si="1"/>
        <v>43454</v>
      </c>
      <c r="C98" s="30"/>
      <c r="D98" s="30"/>
      <c r="E98" s="25" t="s">
        <v>213</v>
      </c>
      <c r="F98" s="26" t="s">
        <v>214</v>
      </c>
      <c r="G98" s="25" t="s">
        <v>869</v>
      </c>
      <c r="H98" s="25" t="s">
        <v>871</v>
      </c>
      <c r="I98" s="29">
        <v>12</v>
      </c>
      <c r="J98" s="31">
        <f>StockOutData[[#This Row],[Quantity]]*2.5</f>
        <v>30</v>
      </c>
    </row>
    <row r="99" spans="1:10" x14ac:dyDescent="0.25">
      <c r="A99" s="29">
        <v>98</v>
      </c>
      <c r="B99" s="30">
        <f t="shared" si="1"/>
        <v>43455</v>
      </c>
      <c r="C99" s="30"/>
      <c r="D99" s="30"/>
      <c r="E99" s="25" t="s">
        <v>215</v>
      </c>
      <c r="F99" s="26" t="s">
        <v>216</v>
      </c>
      <c r="G99" s="25" t="s">
        <v>869</v>
      </c>
      <c r="H99" s="25" t="s">
        <v>871</v>
      </c>
      <c r="I99" s="29">
        <v>14</v>
      </c>
      <c r="J99" s="31">
        <f>StockOutData[[#This Row],[Quantity]]*2.5</f>
        <v>35</v>
      </c>
    </row>
    <row r="100" spans="1:10" x14ac:dyDescent="0.25">
      <c r="A100" s="29">
        <v>99</v>
      </c>
      <c r="B100" s="30">
        <f t="shared" si="1"/>
        <v>43456</v>
      </c>
      <c r="C100" s="30"/>
      <c r="D100" s="30"/>
      <c r="E100" s="25" t="s">
        <v>217</v>
      </c>
      <c r="F100" s="26" t="s">
        <v>218</v>
      </c>
      <c r="G100" s="25" t="s">
        <v>869</v>
      </c>
      <c r="H100" s="25" t="s">
        <v>871</v>
      </c>
      <c r="I100" s="29">
        <v>13</v>
      </c>
      <c r="J100" s="31">
        <f>StockOutData[[#This Row],[Quantity]]*2.5</f>
        <v>32.5</v>
      </c>
    </row>
    <row r="101" spans="1:10" x14ac:dyDescent="0.25">
      <c r="A101" s="29">
        <v>100</v>
      </c>
      <c r="B101" s="30">
        <f t="shared" si="1"/>
        <v>43457</v>
      </c>
      <c r="C101" s="30"/>
      <c r="D101" s="30"/>
      <c r="E101" s="25" t="s">
        <v>219</v>
      </c>
      <c r="F101" s="26" t="s">
        <v>220</v>
      </c>
      <c r="G101" s="25" t="s">
        <v>869</v>
      </c>
      <c r="H101" s="25" t="s">
        <v>871</v>
      </c>
      <c r="I101" s="29">
        <v>5</v>
      </c>
      <c r="J101" s="31">
        <f>StockOutData[[#This Row],[Quantity]]*2.5</f>
        <v>12.5</v>
      </c>
    </row>
    <row r="102" spans="1:10" x14ac:dyDescent="0.25">
      <c r="A102" s="29">
        <v>101</v>
      </c>
      <c r="B102" s="30">
        <f t="shared" si="1"/>
        <v>43458</v>
      </c>
      <c r="C102" s="30"/>
      <c r="D102" s="30"/>
      <c r="E102" s="25" t="s">
        <v>221</v>
      </c>
      <c r="F102" s="26" t="s">
        <v>222</v>
      </c>
      <c r="G102" s="25" t="s">
        <v>869</v>
      </c>
      <c r="H102" s="25" t="s">
        <v>871</v>
      </c>
      <c r="I102" s="29">
        <v>7</v>
      </c>
      <c r="J102" s="31">
        <f>StockOutData[[#This Row],[Quantity]]*2.5</f>
        <v>17.5</v>
      </c>
    </row>
    <row r="103" spans="1:10" x14ac:dyDescent="0.25">
      <c r="A103" s="29">
        <v>102</v>
      </c>
      <c r="B103" s="30">
        <f t="shared" si="1"/>
        <v>43459</v>
      </c>
      <c r="C103" s="30"/>
      <c r="D103" s="30"/>
      <c r="E103" s="25" t="s">
        <v>223</v>
      </c>
      <c r="F103" s="26" t="s">
        <v>224</v>
      </c>
      <c r="G103" s="25" t="s">
        <v>869</v>
      </c>
      <c r="H103" s="25" t="s">
        <v>871</v>
      </c>
      <c r="I103" s="29">
        <v>15</v>
      </c>
      <c r="J103" s="31">
        <f>StockOutData[[#This Row],[Quantity]]*2.5</f>
        <v>37.5</v>
      </c>
    </row>
    <row r="104" spans="1:10" x14ac:dyDescent="0.25">
      <c r="A104" s="29">
        <v>103</v>
      </c>
      <c r="B104" s="30">
        <f t="shared" si="1"/>
        <v>43460</v>
      </c>
      <c r="C104" s="30"/>
      <c r="D104" s="30"/>
      <c r="E104" s="25" t="s">
        <v>225</v>
      </c>
      <c r="F104" s="26" t="s">
        <v>226</v>
      </c>
      <c r="G104" s="25" t="s">
        <v>869</v>
      </c>
      <c r="H104" s="25" t="s">
        <v>871</v>
      </c>
      <c r="I104" s="29">
        <v>18</v>
      </c>
      <c r="J104" s="31">
        <f>StockOutData[[#This Row],[Quantity]]*2.5</f>
        <v>45</v>
      </c>
    </row>
    <row r="105" spans="1:10" x14ac:dyDescent="0.25">
      <c r="A105" s="29">
        <v>104</v>
      </c>
      <c r="B105" s="30">
        <f t="shared" si="1"/>
        <v>43461</v>
      </c>
      <c r="C105" s="30"/>
      <c r="D105" s="30"/>
      <c r="E105" s="25" t="s">
        <v>227</v>
      </c>
      <c r="F105" s="26" t="s">
        <v>228</v>
      </c>
      <c r="G105" s="25" t="s">
        <v>869</v>
      </c>
      <c r="H105" s="25" t="s">
        <v>871</v>
      </c>
      <c r="I105" s="29">
        <v>12</v>
      </c>
      <c r="J105" s="31">
        <f>StockOutData[[#This Row],[Quantity]]*2.5</f>
        <v>30</v>
      </c>
    </row>
    <row r="106" spans="1:10" x14ac:dyDescent="0.25">
      <c r="A106" s="29">
        <v>105</v>
      </c>
      <c r="B106" s="30">
        <f t="shared" si="1"/>
        <v>43462</v>
      </c>
      <c r="C106" s="30"/>
      <c r="D106" s="30"/>
      <c r="E106" s="25" t="s">
        <v>229</v>
      </c>
      <c r="F106" s="26" t="s">
        <v>230</v>
      </c>
      <c r="G106" s="25" t="s">
        <v>869</v>
      </c>
      <c r="H106" s="25" t="s">
        <v>871</v>
      </c>
      <c r="I106" s="29">
        <v>10</v>
      </c>
      <c r="J106" s="31">
        <f>StockOutData[[#This Row],[Quantity]]*2.5</f>
        <v>25</v>
      </c>
    </row>
    <row r="107" spans="1:10" x14ac:dyDescent="0.25">
      <c r="A107" s="29">
        <v>106</v>
      </c>
      <c r="B107" s="30">
        <f t="shared" si="1"/>
        <v>43463</v>
      </c>
      <c r="C107" s="30"/>
      <c r="D107" s="30"/>
      <c r="E107" s="25" t="s">
        <v>231</v>
      </c>
      <c r="F107" s="26" t="s">
        <v>232</v>
      </c>
      <c r="G107" s="25" t="s">
        <v>869</v>
      </c>
      <c r="H107" s="25" t="s">
        <v>871</v>
      </c>
      <c r="I107" s="29">
        <v>10</v>
      </c>
      <c r="J107" s="31">
        <f>StockOutData[[#This Row],[Quantity]]*2.5</f>
        <v>25</v>
      </c>
    </row>
    <row r="108" spans="1:10" x14ac:dyDescent="0.25">
      <c r="A108" s="29">
        <v>107</v>
      </c>
      <c r="B108" s="30">
        <f t="shared" si="1"/>
        <v>43464</v>
      </c>
      <c r="C108" s="30"/>
      <c r="D108" s="30"/>
      <c r="E108" s="25" t="s">
        <v>233</v>
      </c>
      <c r="F108" s="26" t="s">
        <v>234</v>
      </c>
      <c r="G108" s="25" t="s">
        <v>869</v>
      </c>
      <c r="H108" s="25" t="s">
        <v>871</v>
      </c>
      <c r="I108" s="29">
        <v>7</v>
      </c>
      <c r="J108" s="31">
        <f>StockOutData[[#This Row],[Quantity]]*2.5</f>
        <v>17.5</v>
      </c>
    </row>
    <row r="109" spans="1:10" x14ac:dyDescent="0.25">
      <c r="A109" s="29">
        <v>108</v>
      </c>
      <c r="B109" s="30">
        <f t="shared" si="1"/>
        <v>43465</v>
      </c>
      <c r="C109" s="30"/>
      <c r="D109" s="30"/>
      <c r="E109" s="25" t="s">
        <v>235</v>
      </c>
      <c r="F109" s="26" t="s">
        <v>236</v>
      </c>
      <c r="G109" s="25" t="s">
        <v>869</v>
      </c>
      <c r="H109" s="25" t="s">
        <v>871</v>
      </c>
      <c r="I109" s="29">
        <v>15</v>
      </c>
      <c r="J109" s="31">
        <f>StockOutData[[#This Row],[Quantity]]*2.5</f>
        <v>37.5</v>
      </c>
    </row>
    <row r="110" spans="1:10" x14ac:dyDescent="0.25">
      <c r="A110" s="29">
        <v>109</v>
      </c>
      <c r="B110" s="30">
        <f t="shared" si="1"/>
        <v>43466</v>
      </c>
      <c r="C110" s="30"/>
      <c r="D110" s="30"/>
      <c r="E110" s="25" t="s">
        <v>237</v>
      </c>
      <c r="F110" s="26" t="s">
        <v>238</v>
      </c>
      <c r="G110" s="25" t="s">
        <v>869</v>
      </c>
      <c r="H110" s="25" t="s">
        <v>871</v>
      </c>
      <c r="I110" s="29">
        <v>18</v>
      </c>
      <c r="J110" s="31">
        <f>StockOutData[[#This Row],[Quantity]]*2.5</f>
        <v>45</v>
      </c>
    </row>
    <row r="111" spans="1:10" x14ac:dyDescent="0.25">
      <c r="A111" s="29">
        <v>110</v>
      </c>
      <c r="B111" s="30">
        <f t="shared" si="1"/>
        <v>43467</v>
      </c>
      <c r="C111" s="30"/>
      <c r="D111" s="30"/>
      <c r="E111" s="25" t="s">
        <v>239</v>
      </c>
      <c r="F111" s="26" t="s">
        <v>240</v>
      </c>
      <c r="G111" s="25" t="s">
        <v>869</v>
      </c>
      <c r="H111" s="25" t="s">
        <v>871</v>
      </c>
      <c r="I111" s="29">
        <v>12</v>
      </c>
      <c r="J111" s="31">
        <f>StockOutData[[#This Row],[Quantity]]*2.5</f>
        <v>30</v>
      </c>
    </row>
    <row r="112" spans="1:10" x14ac:dyDescent="0.25">
      <c r="A112" s="29">
        <v>111</v>
      </c>
      <c r="B112" s="30">
        <f t="shared" si="1"/>
        <v>43468</v>
      </c>
      <c r="C112" s="30"/>
      <c r="D112" s="30"/>
      <c r="E112" s="25" t="s">
        <v>241</v>
      </c>
      <c r="F112" s="26" t="s">
        <v>242</v>
      </c>
      <c r="G112" s="25" t="s">
        <v>869</v>
      </c>
      <c r="H112" s="25" t="s">
        <v>871</v>
      </c>
      <c r="I112" s="29">
        <v>14</v>
      </c>
      <c r="J112" s="31">
        <f>StockOutData[[#This Row],[Quantity]]*2.5</f>
        <v>35</v>
      </c>
    </row>
    <row r="113" spans="1:10" x14ac:dyDescent="0.25">
      <c r="A113" s="29">
        <v>112</v>
      </c>
      <c r="B113" s="30">
        <f t="shared" si="1"/>
        <v>43469</v>
      </c>
      <c r="C113" s="30"/>
      <c r="D113" s="30"/>
      <c r="E113" s="25" t="s">
        <v>243</v>
      </c>
      <c r="F113" s="26" t="s">
        <v>244</v>
      </c>
      <c r="G113" s="25" t="s">
        <v>869</v>
      </c>
      <c r="H113" s="25" t="s">
        <v>871</v>
      </c>
      <c r="I113" s="29">
        <v>13</v>
      </c>
      <c r="J113" s="31">
        <f>StockOutData[[#This Row],[Quantity]]*2.5</f>
        <v>32.5</v>
      </c>
    </row>
    <row r="114" spans="1:10" x14ac:dyDescent="0.25">
      <c r="A114" s="29">
        <v>113</v>
      </c>
      <c r="B114" s="30">
        <f t="shared" si="1"/>
        <v>43470</v>
      </c>
      <c r="C114" s="30"/>
      <c r="D114" s="30"/>
      <c r="E114" s="25" t="s">
        <v>245</v>
      </c>
      <c r="F114" s="26" t="s">
        <v>246</v>
      </c>
      <c r="G114" s="25" t="s">
        <v>869</v>
      </c>
      <c r="H114" s="25" t="s">
        <v>871</v>
      </c>
      <c r="I114" s="29">
        <v>5</v>
      </c>
      <c r="J114" s="31">
        <f>StockOutData[[#This Row],[Quantity]]*2.5</f>
        <v>12.5</v>
      </c>
    </row>
    <row r="115" spans="1:10" x14ac:dyDescent="0.25">
      <c r="A115" s="29">
        <v>114</v>
      </c>
      <c r="B115" s="30">
        <f t="shared" si="1"/>
        <v>43471</v>
      </c>
      <c r="C115" s="30"/>
      <c r="D115" s="30"/>
      <c r="E115" s="25" t="s">
        <v>247</v>
      </c>
      <c r="F115" s="26" t="s">
        <v>248</v>
      </c>
      <c r="G115" s="25" t="s">
        <v>869</v>
      </c>
      <c r="H115" s="25" t="s">
        <v>871</v>
      </c>
      <c r="I115" s="29">
        <v>7</v>
      </c>
      <c r="J115" s="31">
        <f>StockOutData[[#This Row],[Quantity]]*2.5</f>
        <v>17.5</v>
      </c>
    </row>
    <row r="116" spans="1:10" x14ac:dyDescent="0.25">
      <c r="A116" s="29">
        <v>115</v>
      </c>
      <c r="B116" s="30">
        <f t="shared" si="1"/>
        <v>43472</v>
      </c>
      <c r="C116" s="30"/>
      <c r="D116" s="30"/>
      <c r="E116" s="25" t="s">
        <v>249</v>
      </c>
      <c r="F116" s="26" t="s">
        <v>250</v>
      </c>
      <c r="G116" s="25" t="s">
        <v>869</v>
      </c>
      <c r="H116" s="25" t="s">
        <v>871</v>
      </c>
      <c r="I116" s="29">
        <v>15</v>
      </c>
      <c r="J116" s="31">
        <f>StockOutData[[#This Row],[Quantity]]*2.5</f>
        <v>37.5</v>
      </c>
    </row>
    <row r="117" spans="1:10" x14ac:dyDescent="0.25">
      <c r="A117" s="29">
        <v>116</v>
      </c>
      <c r="B117" s="30">
        <f t="shared" si="1"/>
        <v>43473</v>
      </c>
      <c r="C117" s="30"/>
      <c r="D117" s="30"/>
      <c r="E117" s="25" t="s">
        <v>251</v>
      </c>
      <c r="F117" s="26" t="s">
        <v>252</v>
      </c>
      <c r="G117" s="25" t="s">
        <v>869</v>
      </c>
      <c r="H117" s="25" t="s">
        <v>871</v>
      </c>
      <c r="I117" s="29">
        <v>18</v>
      </c>
      <c r="J117" s="31">
        <f>StockOutData[[#This Row],[Quantity]]*2.5</f>
        <v>45</v>
      </c>
    </row>
    <row r="118" spans="1:10" x14ac:dyDescent="0.25">
      <c r="A118" s="29">
        <v>117</v>
      </c>
      <c r="B118" s="30">
        <f t="shared" si="1"/>
        <v>43474</v>
      </c>
      <c r="C118" s="30"/>
      <c r="D118" s="30"/>
      <c r="E118" s="25" t="s">
        <v>253</v>
      </c>
      <c r="F118" s="26" t="s">
        <v>254</v>
      </c>
      <c r="G118" s="25" t="s">
        <v>869</v>
      </c>
      <c r="H118" s="25" t="s">
        <v>871</v>
      </c>
      <c r="I118" s="29">
        <v>12</v>
      </c>
      <c r="J118" s="31">
        <f>StockOutData[[#This Row],[Quantity]]*2.5</f>
        <v>30</v>
      </c>
    </row>
    <row r="119" spans="1:10" x14ac:dyDescent="0.25">
      <c r="A119" s="29">
        <v>118</v>
      </c>
      <c r="B119" s="30">
        <f t="shared" si="1"/>
        <v>43475</v>
      </c>
      <c r="C119" s="30"/>
      <c r="D119" s="30"/>
      <c r="E119" s="25" t="s">
        <v>255</v>
      </c>
      <c r="F119" s="26" t="s">
        <v>256</v>
      </c>
      <c r="G119" s="25" t="s">
        <v>869</v>
      </c>
      <c r="H119" s="25" t="s">
        <v>871</v>
      </c>
      <c r="I119" s="29">
        <v>14</v>
      </c>
      <c r="J119" s="31">
        <f>StockOutData[[#This Row],[Quantity]]*2.5</f>
        <v>35</v>
      </c>
    </row>
    <row r="120" spans="1:10" x14ac:dyDescent="0.25">
      <c r="A120" s="29">
        <v>119</v>
      </c>
      <c r="B120" s="30">
        <f t="shared" si="1"/>
        <v>43476</v>
      </c>
      <c r="C120" s="30"/>
      <c r="D120" s="30"/>
      <c r="E120" s="25" t="s">
        <v>257</v>
      </c>
      <c r="F120" s="26" t="s">
        <v>258</v>
      </c>
      <c r="G120" s="25" t="s">
        <v>869</v>
      </c>
      <c r="H120" s="25" t="s">
        <v>871</v>
      </c>
      <c r="I120" s="29">
        <v>13</v>
      </c>
      <c r="J120" s="31">
        <f>StockOutData[[#This Row],[Quantity]]*2.5</f>
        <v>32.5</v>
      </c>
    </row>
    <row r="121" spans="1:10" x14ac:dyDescent="0.25">
      <c r="A121" s="29">
        <v>120</v>
      </c>
      <c r="B121" s="30">
        <f t="shared" si="1"/>
        <v>43477</v>
      </c>
      <c r="C121" s="30"/>
      <c r="D121" s="30"/>
      <c r="E121" s="25" t="s">
        <v>259</v>
      </c>
      <c r="F121" s="26" t="s">
        <v>260</v>
      </c>
      <c r="G121" s="25" t="s">
        <v>869</v>
      </c>
      <c r="H121" s="25" t="s">
        <v>871</v>
      </c>
      <c r="I121" s="29">
        <v>5</v>
      </c>
      <c r="J121" s="31">
        <f>StockOutData[[#This Row],[Quantity]]*2.5</f>
        <v>12.5</v>
      </c>
    </row>
    <row r="122" spans="1:10" x14ac:dyDescent="0.25">
      <c r="A122" s="29">
        <v>121</v>
      </c>
      <c r="B122" s="30">
        <f t="shared" si="1"/>
        <v>43478</v>
      </c>
      <c r="C122" s="30"/>
      <c r="D122" s="30"/>
      <c r="E122" s="25" t="s">
        <v>261</v>
      </c>
      <c r="F122" s="26" t="s">
        <v>262</v>
      </c>
      <c r="G122" s="25" t="s">
        <v>869</v>
      </c>
      <c r="H122" s="25" t="s">
        <v>871</v>
      </c>
      <c r="I122" s="29">
        <v>7</v>
      </c>
      <c r="J122" s="31">
        <f>StockOutData[[#This Row],[Quantity]]*2.5</f>
        <v>17.5</v>
      </c>
    </row>
    <row r="123" spans="1:10" x14ac:dyDescent="0.25">
      <c r="A123" s="29">
        <v>122</v>
      </c>
      <c r="B123" s="30">
        <f t="shared" si="1"/>
        <v>43479</v>
      </c>
      <c r="C123" s="30"/>
      <c r="D123" s="30"/>
      <c r="E123" s="25" t="s">
        <v>263</v>
      </c>
      <c r="F123" s="26" t="s">
        <v>264</v>
      </c>
      <c r="G123" s="25" t="s">
        <v>869</v>
      </c>
      <c r="H123" s="25" t="s">
        <v>871</v>
      </c>
      <c r="I123" s="29">
        <v>15</v>
      </c>
      <c r="J123" s="31">
        <f>StockOutData[[#This Row],[Quantity]]*2.5</f>
        <v>37.5</v>
      </c>
    </row>
    <row r="124" spans="1:10" x14ac:dyDescent="0.25">
      <c r="A124" s="29">
        <v>123</v>
      </c>
      <c r="B124" s="30">
        <f t="shared" si="1"/>
        <v>43480</v>
      </c>
      <c r="C124" s="30"/>
      <c r="D124" s="30"/>
      <c r="E124" s="25" t="s">
        <v>265</v>
      </c>
      <c r="F124" s="26" t="s">
        <v>266</v>
      </c>
      <c r="G124" s="25" t="s">
        <v>869</v>
      </c>
      <c r="H124" s="25" t="s">
        <v>871</v>
      </c>
      <c r="I124" s="29">
        <v>18</v>
      </c>
      <c r="J124" s="31">
        <f>StockOutData[[#This Row],[Quantity]]*2.5</f>
        <v>45</v>
      </c>
    </row>
    <row r="125" spans="1:10" x14ac:dyDescent="0.25">
      <c r="A125" s="29">
        <v>124</v>
      </c>
      <c r="B125" s="30">
        <f t="shared" si="1"/>
        <v>43481</v>
      </c>
      <c r="C125" s="30"/>
      <c r="D125" s="30"/>
      <c r="E125" s="25" t="s">
        <v>267</v>
      </c>
      <c r="F125" s="26" t="s">
        <v>268</v>
      </c>
      <c r="G125" s="25" t="s">
        <v>869</v>
      </c>
      <c r="H125" s="25" t="s">
        <v>871</v>
      </c>
      <c r="I125" s="29">
        <v>12</v>
      </c>
      <c r="J125" s="31">
        <f>StockOutData[[#This Row],[Quantity]]*2.5</f>
        <v>30</v>
      </c>
    </row>
    <row r="126" spans="1:10" x14ac:dyDescent="0.25">
      <c r="A126" s="29">
        <v>125</v>
      </c>
      <c r="B126" s="30">
        <f t="shared" si="1"/>
        <v>43482</v>
      </c>
      <c r="C126" s="30"/>
      <c r="D126" s="30"/>
      <c r="E126" s="25" t="s">
        <v>269</v>
      </c>
      <c r="F126" s="26" t="s">
        <v>270</v>
      </c>
      <c r="G126" s="25" t="s">
        <v>869</v>
      </c>
      <c r="H126" s="25" t="s">
        <v>871</v>
      </c>
      <c r="I126" s="29">
        <v>10</v>
      </c>
      <c r="J126" s="31">
        <f>StockOutData[[#This Row],[Quantity]]*2.5</f>
        <v>25</v>
      </c>
    </row>
    <row r="127" spans="1:10" x14ac:dyDescent="0.25">
      <c r="A127" s="29">
        <v>126</v>
      </c>
      <c r="B127" s="30">
        <f t="shared" si="1"/>
        <v>43483</v>
      </c>
      <c r="C127" s="30"/>
      <c r="D127" s="30"/>
      <c r="E127" s="25" t="s">
        <v>271</v>
      </c>
      <c r="F127" s="26" t="s">
        <v>272</v>
      </c>
      <c r="G127" s="25" t="s">
        <v>869</v>
      </c>
      <c r="H127" s="25" t="s">
        <v>871</v>
      </c>
      <c r="I127" s="29">
        <v>10</v>
      </c>
      <c r="J127" s="31">
        <f>StockOutData[[#This Row],[Quantity]]*2.5</f>
        <v>25</v>
      </c>
    </row>
    <row r="128" spans="1:10" x14ac:dyDescent="0.25">
      <c r="A128" s="29">
        <v>127</v>
      </c>
      <c r="B128" s="30">
        <f t="shared" si="1"/>
        <v>43484</v>
      </c>
      <c r="C128" s="30"/>
      <c r="D128" s="30"/>
      <c r="E128" s="25" t="s">
        <v>273</v>
      </c>
      <c r="F128" s="26" t="s">
        <v>274</v>
      </c>
      <c r="G128" s="25" t="s">
        <v>869</v>
      </c>
      <c r="H128" s="25" t="s">
        <v>871</v>
      </c>
      <c r="I128" s="29">
        <v>10</v>
      </c>
      <c r="J128" s="31">
        <f>StockOutData[[#This Row],[Quantity]]*2.5</f>
        <v>25</v>
      </c>
    </row>
    <row r="129" spans="1:10" x14ac:dyDescent="0.25">
      <c r="A129" s="29">
        <v>128</v>
      </c>
      <c r="B129" s="30">
        <f t="shared" si="1"/>
        <v>43485</v>
      </c>
      <c r="C129" s="30"/>
      <c r="D129" s="30"/>
      <c r="E129" s="25" t="s">
        <v>275</v>
      </c>
      <c r="F129" s="26" t="s">
        <v>276</v>
      </c>
      <c r="G129" s="25" t="s">
        <v>869</v>
      </c>
      <c r="H129" s="25" t="s">
        <v>871</v>
      </c>
      <c r="I129" s="29">
        <v>10</v>
      </c>
      <c r="J129" s="31">
        <f>StockOutData[[#This Row],[Quantity]]*2.5</f>
        <v>25</v>
      </c>
    </row>
    <row r="130" spans="1:10" x14ac:dyDescent="0.25">
      <c r="A130" s="29">
        <v>129</v>
      </c>
      <c r="B130" s="30">
        <f t="shared" si="1"/>
        <v>43486</v>
      </c>
      <c r="C130" s="30"/>
      <c r="D130" s="30"/>
      <c r="E130" s="25" t="s">
        <v>277</v>
      </c>
      <c r="F130" s="26" t="s">
        <v>278</v>
      </c>
      <c r="G130" s="25" t="s">
        <v>869</v>
      </c>
      <c r="H130" s="25" t="s">
        <v>871</v>
      </c>
      <c r="I130" s="29">
        <v>10</v>
      </c>
      <c r="J130" s="31">
        <f>StockOutData[[#This Row],[Quantity]]*2.5</f>
        <v>25</v>
      </c>
    </row>
    <row r="131" spans="1:10" x14ac:dyDescent="0.25">
      <c r="A131" s="29">
        <v>130</v>
      </c>
      <c r="B131" s="30">
        <f t="shared" si="1"/>
        <v>43487</v>
      </c>
      <c r="C131" s="30"/>
      <c r="D131" s="30"/>
      <c r="E131" s="25" t="s">
        <v>279</v>
      </c>
      <c r="F131" s="26" t="s">
        <v>280</v>
      </c>
      <c r="G131" s="25" t="s">
        <v>869</v>
      </c>
      <c r="H131" s="25" t="s">
        <v>871</v>
      </c>
      <c r="I131" s="29">
        <v>10</v>
      </c>
      <c r="J131" s="31">
        <f>StockOutData[[#This Row],[Quantity]]*2.5</f>
        <v>25</v>
      </c>
    </row>
    <row r="132" spans="1:10" x14ac:dyDescent="0.25">
      <c r="A132" s="29">
        <v>131</v>
      </c>
      <c r="B132" s="30">
        <f t="shared" ref="B132:B195" si="2">B131+1</f>
        <v>43488</v>
      </c>
      <c r="C132" s="30"/>
      <c r="D132" s="30"/>
      <c r="E132" s="25" t="s">
        <v>281</v>
      </c>
      <c r="F132" s="26" t="s">
        <v>282</v>
      </c>
      <c r="G132" s="25" t="s">
        <v>869</v>
      </c>
      <c r="H132" s="25" t="s">
        <v>871</v>
      </c>
      <c r="I132" s="29">
        <v>10</v>
      </c>
      <c r="J132" s="31">
        <f>StockOutData[[#This Row],[Quantity]]*2.5</f>
        <v>25</v>
      </c>
    </row>
    <row r="133" spans="1:10" x14ac:dyDescent="0.25">
      <c r="A133" s="29">
        <v>132</v>
      </c>
      <c r="B133" s="30">
        <f t="shared" si="2"/>
        <v>43489</v>
      </c>
      <c r="C133" s="30"/>
      <c r="D133" s="30"/>
      <c r="E133" s="25" t="s">
        <v>283</v>
      </c>
      <c r="F133" s="26" t="s">
        <v>284</v>
      </c>
      <c r="G133" s="25" t="s">
        <v>869</v>
      </c>
      <c r="H133" s="25" t="s">
        <v>871</v>
      </c>
      <c r="I133" s="29">
        <v>10</v>
      </c>
      <c r="J133" s="31">
        <f>StockOutData[[#This Row],[Quantity]]*2.5</f>
        <v>25</v>
      </c>
    </row>
    <row r="134" spans="1:10" x14ac:dyDescent="0.25">
      <c r="A134" s="29">
        <v>133</v>
      </c>
      <c r="B134" s="30">
        <f t="shared" si="2"/>
        <v>43490</v>
      </c>
      <c r="C134" s="30"/>
      <c r="D134" s="30"/>
      <c r="E134" s="25" t="s">
        <v>285</v>
      </c>
      <c r="F134" s="26" t="s">
        <v>286</v>
      </c>
      <c r="G134" s="25" t="s">
        <v>869</v>
      </c>
      <c r="H134" s="25" t="s">
        <v>871</v>
      </c>
      <c r="I134" s="29">
        <v>10</v>
      </c>
      <c r="J134" s="31">
        <f>StockOutData[[#This Row],[Quantity]]*2.5</f>
        <v>25</v>
      </c>
    </row>
    <row r="135" spans="1:10" x14ac:dyDescent="0.25">
      <c r="A135" s="29">
        <v>134</v>
      </c>
      <c r="B135" s="30">
        <f t="shared" si="2"/>
        <v>43491</v>
      </c>
      <c r="C135" s="30"/>
      <c r="D135" s="30"/>
      <c r="E135" s="25" t="s">
        <v>287</v>
      </c>
      <c r="F135" s="26" t="s">
        <v>288</v>
      </c>
      <c r="G135" s="25" t="s">
        <v>869</v>
      </c>
      <c r="H135" s="25" t="s">
        <v>871</v>
      </c>
      <c r="I135" s="29">
        <v>10</v>
      </c>
      <c r="J135" s="31">
        <f>StockOutData[[#This Row],[Quantity]]*2.5</f>
        <v>25</v>
      </c>
    </row>
    <row r="136" spans="1:10" x14ac:dyDescent="0.25">
      <c r="A136" s="29">
        <v>135</v>
      </c>
      <c r="B136" s="30">
        <f t="shared" si="2"/>
        <v>43492</v>
      </c>
      <c r="C136" s="30"/>
      <c r="D136" s="30"/>
      <c r="E136" s="25" t="s">
        <v>289</v>
      </c>
      <c r="F136" s="26" t="s">
        <v>290</v>
      </c>
      <c r="G136" s="25" t="s">
        <v>869</v>
      </c>
      <c r="H136" s="25" t="s">
        <v>871</v>
      </c>
      <c r="I136" s="29">
        <v>10</v>
      </c>
      <c r="J136" s="31">
        <f>StockOutData[[#This Row],[Quantity]]*2.5</f>
        <v>25</v>
      </c>
    </row>
    <row r="137" spans="1:10" x14ac:dyDescent="0.25">
      <c r="A137" s="29">
        <v>136</v>
      </c>
      <c r="B137" s="30">
        <f t="shared" si="2"/>
        <v>43493</v>
      </c>
      <c r="C137" s="30"/>
      <c r="D137" s="30"/>
      <c r="E137" s="25" t="s">
        <v>291</v>
      </c>
      <c r="F137" s="26" t="s">
        <v>292</v>
      </c>
      <c r="G137" s="25" t="s">
        <v>869</v>
      </c>
      <c r="H137" s="25" t="s">
        <v>871</v>
      </c>
      <c r="I137" s="29">
        <v>10</v>
      </c>
      <c r="J137" s="31">
        <f>StockOutData[[#This Row],[Quantity]]*2.5</f>
        <v>25</v>
      </c>
    </row>
    <row r="138" spans="1:10" x14ac:dyDescent="0.25">
      <c r="A138" s="29">
        <v>137</v>
      </c>
      <c r="B138" s="30">
        <f t="shared" si="2"/>
        <v>43494</v>
      </c>
      <c r="C138" s="30"/>
      <c r="D138" s="30"/>
      <c r="E138" s="25" t="s">
        <v>293</v>
      </c>
      <c r="F138" s="26" t="s">
        <v>294</v>
      </c>
      <c r="G138" s="25" t="s">
        <v>869</v>
      </c>
      <c r="H138" s="25" t="s">
        <v>871</v>
      </c>
      <c r="I138" s="29">
        <v>10</v>
      </c>
      <c r="J138" s="31">
        <f>StockOutData[[#This Row],[Quantity]]*2.5</f>
        <v>25</v>
      </c>
    </row>
    <row r="139" spans="1:10" x14ac:dyDescent="0.25">
      <c r="A139" s="29">
        <v>138</v>
      </c>
      <c r="B139" s="30">
        <f t="shared" si="2"/>
        <v>43495</v>
      </c>
      <c r="C139" s="30"/>
      <c r="D139" s="30"/>
      <c r="E139" s="25" t="s">
        <v>295</v>
      </c>
      <c r="F139" s="26" t="s">
        <v>296</v>
      </c>
      <c r="G139" s="25" t="s">
        <v>869</v>
      </c>
      <c r="H139" s="25" t="s">
        <v>871</v>
      </c>
      <c r="I139" s="29">
        <v>10</v>
      </c>
      <c r="J139" s="31">
        <f>StockOutData[[#This Row],[Quantity]]*2.5</f>
        <v>25</v>
      </c>
    </row>
    <row r="140" spans="1:10" x14ac:dyDescent="0.25">
      <c r="A140" s="29">
        <v>139</v>
      </c>
      <c r="B140" s="30">
        <f t="shared" si="2"/>
        <v>43496</v>
      </c>
      <c r="C140" s="30"/>
      <c r="D140" s="30"/>
      <c r="E140" s="25" t="s">
        <v>297</v>
      </c>
      <c r="F140" s="26" t="s">
        <v>298</v>
      </c>
      <c r="G140" s="25" t="s">
        <v>869</v>
      </c>
      <c r="H140" s="25" t="s">
        <v>871</v>
      </c>
      <c r="I140" s="29">
        <v>7</v>
      </c>
      <c r="J140" s="31">
        <f>StockOutData[[#This Row],[Quantity]]*2.5</f>
        <v>17.5</v>
      </c>
    </row>
    <row r="141" spans="1:10" x14ac:dyDescent="0.25">
      <c r="A141" s="29">
        <v>140</v>
      </c>
      <c r="B141" s="30">
        <f t="shared" si="2"/>
        <v>43497</v>
      </c>
      <c r="C141" s="30"/>
      <c r="D141" s="30"/>
      <c r="E141" s="25" t="s">
        <v>299</v>
      </c>
      <c r="F141" s="26" t="s">
        <v>300</v>
      </c>
      <c r="G141" s="25" t="s">
        <v>869</v>
      </c>
      <c r="H141" s="25" t="s">
        <v>871</v>
      </c>
      <c r="I141" s="29">
        <v>15</v>
      </c>
      <c r="J141" s="31">
        <f>StockOutData[[#This Row],[Quantity]]*2.5</f>
        <v>37.5</v>
      </c>
    </row>
    <row r="142" spans="1:10" x14ac:dyDescent="0.25">
      <c r="A142" s="29">
        <v>141</v>
      </c>
      <c r="B142" s="30">
        <f t="shared" si="2"/>
        <v>43498</v>
      </c>
      <c r="C142" s="30"/>
      <c r="D142" s="30"/>
      <c r="E142" s="25" t="s">
        <v>301</v>
      </c>
      <c r="F142" s="26" t="s">
        <v>302</v>
      </c>
      <c r="G142" s="25" t="s">
        <v>869</v>
      </c>
      <c r="H142" s="25" t="s">
        <v>871</v>
      </c>
      <c r="I142" s="29">
        <v>18</v>
      </c>
      <c r="J142" s="31">
        <f>StockOutData[[#This Row],[Quantity]]*2.5</f>
        <v>45</v>
      </c>
    </row>
    <row r="143" spans="1:10" x14ac:dyDescent="0.25">
      <c r="A143" s="29">
        <v>142</v>
      </c>
      <c r="B143" s="30">
        <f t="shared" si="2"/>
        <v>43499</v>
      </c>
      <c r="C143" s="30"/>
      <c r="D143" s="30"/>
      <c r="E143" s="25" t="s">
        <v>303</v>
      </c>
      <c r="F143" s="26" t="s">
        <v>304</v>
      </c>
      <c r="G143" s="25" t="s">
        <v>869</v>
      </c>
      <c r="H143" s="25" t="s">
        <v>871</v>
      </c>
      <c r="I143" s="29">
        <v>12</v>
      </c>
      <c r="J143" s="31">
        <f>StockOutData[[#This Row],[Quantity]]*2.5</f>
        <v>30</v>
      </c>
    </row>
    <row r="144" spans="1:10" x14ac:dyDescent="0.25">
      <c r="A144" s="29">
        <v>143</v>
      </c>
      <c r="B144" s="30">
        <f t="shared" si="2"/>
        <v>43500</v>
      </c>
      <c r="C144" s="30"/>
      <c r="D144" s="30"/>
      <c r="E144" s="25" t="s">
        <v>305</v>
      </c>
      <c r="F144" s="26" t="s">
        <v>306</v>
      </c>
      <c r="G144" s="25" t="s">
        <v>869</v>
      </c>
      <c r="H144" s="25" t="s">
        <v>871</v>
      </c>
      <c r="I144" s="29">
        <v>14</v>
      </c>
      <c r="J144" s="31">
        <f>StockOutData[[#This Row],[Quantity]]*2.5</f>
        <v>35</v>
      </c>
    </row>
    <row r="145" spans="1:10" x14ac:dyDescent="0.25">
      <c r="A145" s="29">
        <v>144</v>
      </c>
      <c r="B145" s="30">
        <f t="shared" si="2"/>
        <v>43501</v>
      </c>
      <c r="C145" s="30"/>
      <c r="D145" s="30"/>
      <c r="E145" s="25" t="s">
        <v>307</v>
      </c>
      <c r="F145" s="26" t="s">
        <v>308</v>
      </c>
      <c r="G145" s="25" t="s">
        <v>869</v>
      </c>
      <c r="H145" s="25" t="s">
        <v>871</v>
      </c>
      <c r="I145" s="29">
        <v>13</v>
      </c>
      <c r="J145" s="31">
        <f>StockOutData[[#This Row],[Quantity]]*2.5</f>
        <v>32.5</v>
      </c>
    </row>
    <row r="146" spans="1:10" x14ac:dyDescent="0.25">
      <c r="A146" s="29">
        <v>145</v>
      </c>
      <c r="B146" s="30">
        <f t="shared" si="2"/>
        <v>43502</v>
      </c>
      <c r="C146" s="30"/>
      <c r="D146" s="30"/>
      <c r="E146" s="25" t="s">
        <v>309</v>
      </c>
      <c r="F146" s="26" t="s">
        <v>310</v>
      </c>
      <c r="G146" s="25" t="s">
        <v>869</v>
      </c>
      <c r="H146" s="25" t="s">
        <v>871</v>
      </c>
      <c r="I146" s="29">
        <v>5</v>
      </c>
      <c r="J146" s="31">
        <f>StockOutData[[#This Row],[Quantity]]*2.5</f>
        <v>12.5</v>
      </c>
    </row>
    <row r="147" spans="1:10" x14ac:dyDescent="0.25">
      <c r="A147" s="29">
        <v>146</v>
      </c>
      <c r="B147" s="30">
        <f t="shared" si="2"/>
        <v>43503</v>
      </c>
      <c r="C147" s="30"/>
      <c r="D147" s="30"/>
      <c r="E147" s="25" t="s">
        <v>311</v>
      </c>
      <c r="F147" s="26" t="s">
        <v>312</v>
      </c>
      <c r="G147" s="25" t="s">
        <v>869</v>
      </c>
      <c r="H147" s="25" t="s">
        <v>871</v>
      </c>
      <c r="I147" s="29">
        <v>7</v>
      </c>
      <c r="J147" s="31">
        <f>StockOutData[[#This Row],[Quantity]]*2.5</f>
        <v>17.5</v>
      </c>
    </row>
    <row r="148" spans="1:10" x14ac:dyDescent="0.25">
      <c r="A148" s="29">
        <v>147</v>
      </c>
      <c r="B148" s="30">
        <f t="shared" si="2"/>
        <v>43504</v>
      </c>
      <c r="C148" s="30"/>
      <c r="D148" s="30"/>
      <c r="E148" s="25" t="s">
        <v>313</v>
      </c>
      <c r="F148" s="26" t="s">
        <v>314</v>
      </c>
      <c r="G148" s="25" t="s">
        <v>869</v>
      </c>
      <c r="H148" s="25" t="s">
        <v>871</v>
      </c>
      <c r="I148" s="29">
        <v>15</v>
      </c>
      <c r="J148" s="31">
        <f>StockOutData[[#This Row],[Quantity]]*2.5</f>
        <v>37.5</v>
      </c>
    </row>
    <row r="149" spans="1:10" x14ac:dyDescent="0.25">
      <c r="A149" s="29">
        <v>148</v>
      </c>
      <c r="B149" s="30">
        <f t="shared" si="2"/>
        <v>43505</v>
      </c>
      <c r="C149" s="30"/>
      <c r="D149" s="30"/>
      <c r="E149" s="25" t="s">
        <v>315</v>
      </c>
      <c r="F149" s="26" t="s">
        <v>316</v>
      </c>
      <c r="G149" s="25" t="s">
        <v>869</v>
      </c>
      <c r="H149" s="25" t="s">
        <v>871</v>
      </c>
      <c r="I149" s="29">
        <v>18</v>
      </c>
      <c r="J149" s="31">
        <f>StockOutData[[#This Row],[Quantity]]*2.5</f>
        <v>45</v>
      </c>
    </row>
    <row r="150" spans="1:10" x14ac:dyDescent="0.25">
      <c r="A150" s="29">
        <v>149</v>
      </c>
      <c r="B150" s="30">
        <f t="shared" si="2"/>
        <v>43506</v>
      </c>
      <c r="C150" s="30"/>
      <c r="D150" s="30"/>
      <c r="E150" s="25" t="s">
        <v>317</v>
      </c>
      <c r="F150" s="26" t="s">
        <v>318</v>
      </c>
      <c r="G150" s="25" t="s">
        <v>869</v>
      </c>
      <c r="H150" s="25" t="s">
        <v>871</v>
      </c>
      <c r="I150" s="29">
        <v>12</v>
      </c>
      <c r="J150" s="31">
        <f>StockOutData[[#This Row],[Quantity]]*2.5</f>
        <v>30</v>
      </c>
    </row>
    <row r="151" spans="1:10" x14ac:dyDescent="0.25">
      <c r="A151" s="29">
        <v>150</v>
      </c>
      <c r="B151" s="30">
        <f t="shared" si="2"/>
        <v>43507</v>
      </c>
      <c r="C151" s="30"/>
      <c r="D151" s="30"/>
      <c r="E151" s="25" t="s">
        <v>319</v>
      </c>
      <c r="F151" s="26" t="s">
        <v>320</v>
      </c>
      <c r="G151" s="25" t="s">
        <v>869</v>
      </c>
      <c r="H151" s="25" t="s">
        <v>871</v>
      </c>
      <c r="I151" s="29">
        <v>14</v>
      </c>
      <c r="J151" s="31">
        <f>StockOutData[[#This Row],[Quantity]]*2.5</f>
        <v>35</v>
      </c>
    </row>
    <row r="152" spans="1:10" x14ac:dyDescent="0.25">
      <c r="A152" s="29">
        <v>151</v>
      </c>
      <c r="B152" s="30">
        <f t="shared" si="2"/>
        <v>43508</v>
      </c>
      <c r="C152" s="30"/>
      <c r="D152" s="30"/>
      <c r="E152" s="25" t="s">
        <v>321</v>
      </c>
      <c r="F152" s="26" t="s">
        <v>322</v>
      </c>
      <c r="G152" s="25" t="s">
        <v>869</v>
      </c>
      <c r="H152" s="25" t="s">
        <v>871</v>
      </c>
      <c r="I152" s="29">
        <v>13</v>
      </c>
      <c r="J152" s="31">
        <f>StockOutData[[#This Row],[Quantity]]*2.5</f>
        <v>32.5</v>
      </c>
    </row>
    <row r="153" spans="1:10" x14ac:dyDescent="0.25">
      <c r="A153" s="29">
        <v>152</v>
      </c>
      <c r="B153" s="30">
        <f t="shared" si="2"/>
        <v>43509</v>
      </c>
      <c r="C153" s="30"/>
      <c r="D153" s="30"/>
      <c r="E153" s="25" t="s">
        <v>323</v>
      </c>
      <c r="F153" s="26" t="s">
        <v>324</v>
      </c>
      <c r="G153" s="25" t="s">
        <v>869</v>
      </c>
      <c r="H153" s="25" t="s">
        <v>871</v>
      </c>
      <c r="I153" s="29">
        <v>5</v>
      </c>
      <c r="J153" s="31">
        <f>StockOutData[[#This Row],[Quantity]]*2.5</f>
        <v>12.5</v>
      </c>
    </row>
    <row r="154" spans="1:10" x14ac:dyDescent="0.25">
      <c r="A154" s="29">
        <v>153</v>
      </c>
      <c r="B154" s="30">
        <f t="shared" si="2"/>
        <v>43510</v>
      </c>
      <c r="C154" s="30"/>
      <c r="D154" s="30"/>
      <c r="E154" s="25" t="s">
        <v>325</v>
      </c>
      <c r="F154" s="26" t="s">
        <v>326</v>
      </c>
      <c r="G154" s="25" t="s">
        <v>869</v>
      </c>
      <c r="H154" s="25" t="s">
        <v>871</v>
      </c>
      <c r="I154" s="29">
        <v>7</v>
      </c>
      <c r="J154" s="31">
        <f>StockOutData[[#This Row],[Quantity]]*2.5</f>
        <v>17.5</v>
      </c>
    </row>
    <row r="155" spans="1:10" x14ac:dyDescent="0.25">
      <c r="A155" s="29">
        <v>154</v>
      </c>
      <c r="B155" s="30">
        <f t="shared" si="2"/>
        <v>43511</v>
      </c>
      <c r="C155" s="30"/>
      <c r="D155" s="30"/>
      <c r="E155" s="25" t="s">
        <v>327</v>
      </c>
      <c r="F155" s="26" t="s">
        <v>328</v>
      </c>
      <c r="G155" s="25" t="s">
        <v>869</v>
      </c>
      <c r="H155" s="25" t="s">
        <v>871</v>
      </c>
      <c r="I155" s="29">
        <v>15</v>
      </c>
      <c r="J155" s="31">
        <f>StockOutData[[#This Row],[Quantity]]*2.5</f>
        <v>37.5</v>
      </c>
    </row>
    <row r="156" spans="1:10" x14ac:dyDescent="0.25">
      <c r="A156" s="29">
        <v>155</v>
      </c>
      <c r="B156" s="30">
        <f t="shared" si="2"/>
        <v>43512</v>
      </c>
      <c r="C156" s="30"/>
      <c r="D156" s="30"/>
      <c r="E156" s="25" t="s">
        <v>329</v>
      </c>
      <c r="F156" s="26" t="s">
        <v>330</v>
      </c>
      <c r="G156" s="25" t="s">
        <v>869</v>
      </c>
      <c r="H156" s="25" t="s">
        <v>871</v>
      </c>
      <c r="I156" s="29">
        <v>18</v>
      </c>
      <c r="J156" s="31">
        <f>StockOutData[[#This Row],[Quantity]]*2.5</f>
        <v>45</v>
      </c>
    </row>
    <row r="157" spans="1:10" x14ac:dyDescent="0.25">
      <c r="A157" s="29">
        <v>156</v>
      </c>
      <c r="B157" s="30">
        <f t="shared" si="2"/>
        <v>43513</v>
      </c>
      <c r="C157" s="30"/>
      <c r="D157" s="30"/>
      <c r="E157" s="25" t="s">
        <v>331</v>
      </c>
      <c r="F157" s="26" t="s">
        <v>332</v>
      </c>
      <c r="G157" s="25" t="s">
        <v>869</v>
      </c>
      <c r="H157" s="25" t="s">
        <v>871</v>
      </c>
      <c r="I157" s="29">
        <v>12</v>
      </c>
      <c r="J157" s="31">
        <f>StockOutData[[#This Row],[Quantity]]*2.5</f>
        <v>30</v>
      </c>
    </row>
    <row r="158" spans="1:10" x14ac:dyDescent="0.25">
      <c r="A158" s="29">
        <v>157</v>
      </c>
      <c r="B158" s="30">
        <f t="shared" si="2"/>
        <v>43514</v>
      </c>
      <c r="C158" s="30"/>
      <c r="D158" s="30"/>
      <c r="E158" s="25" t="s">
        <v>333</v>
      </c>
      <c r="F158" s="26" t="s">
        <v>334</v>
      </c>
      <c r="G158" s="25" t="s">
        <v>869</v>
      </c>
      <c r="H158" s="25" t="s">
        <v>871</v>
      </c>
      <c r="I158" s="29">
        <v>10</v>
      </c>
      <c r="J158" s="31">
        <f>StockOutData[[#This Row],[Quantity]]*2.5</f>
        <v>25</v>
      </c>
    </row>
    <row r="159" spans="1:10" x14ac:dyDescent="0.25">
      <c r="A159" s="29">
        <v>158</v>
      </c>
      <c r="B159" s="30">
        <f t="shared" si="2"/>
        <v>43515</v>
      </c>
      <c r="C159" s="30"/>
      <c r="D159" s="30"/>
      <c r="E159" s="25" t="s">
        <v>335</v>
      </c>
      <c r="F159" s="26" t="s">
        <v>336</v>
      </c>
      <c r="G159" s="25" t="s">
        <v>869</v>
      </c>
      <c r="H159" s="25" t="s">
        <v>871</v>
      </c>
      <c r="I159" s="29">
        <v>10</v>
      </c>
      <c r="J159" s="31">
        <f>StockOutData[[#This Row],[Quantity]]*2.5</f>
        <v>25</v>
      </c>
    </row>
    <row r="160" spans="1:10" x14ac:dyDescent="0.25">
      <c r="A160" s="29">
        <v>159</v>
      </c>
      <c r="B160" s="30">
        <f t="shared" si="2"/>
        <v>43516</v>
      </c>
      <c r="C160" s="30"/>
      <c r="D160" s="30"/>
      <c r="E160" s="25" t="s">
        <v>337</v>
      </c>
      <c r="F160" s="26" t="s">
        <v>338</v>
      </c>
      <c r="G160" s="25" t="s">
        <v>869</v>
      </c>
      <c r="H160" s="25" t="s">
        <v>871</v>
      </c>
      <c r="I160" s="29">
        <v>10</v>
      </c>
      <c r="J160" s="31">
        <f>StockOutData[[#This Row],[Quantity]]*2.5</f>
        <v>25</v>
      </c>
    </row>
    <row r="161" spans="1:10" x14ac:dyDescent="0.25">
      <c r="A161" s="29">
        <v>160</v>
      </c>
      <c r="B161" s="30">
        <f t="shared" si="2"/>
        <v>43517</v>
      </c>
      <c r="C161" s="30"/>
      <c r="D161" s="30"/>
      <c r="E161" s="25" t="s">
        <v>339</v>
      </c>
      <c r="F161" s="26" t="s">
        <v>340</v>
      </c>
      <c r="G161" s="25" t="s">
        <v>869</v>
      </c>
      <c r="H161" s="25" t="s">
        <v>871</v>
      </c>
      <c r="I161" s="29">
        <v>10</v>
      </c>
      <c r="J161" s="31">
        <f>StockOutData[[#This Row],[Quantity]]*2.5</f>
        <v>25</v>
      </c>
    </row>
    <row r="162" spans="1:10" x14ac:dyDescent="0.25">
      <c r="A162" s="29">
        <v>161</v>
      </c>
      <c r="B162" s="30">
        <f t="shared" si="2"/>
        <v>43518</v>
      </c>
      <c r="C162" s="30"/>
      <c r="D162" s="30"/>
      <c r="E162" s="25" t="s">
        <v>341</v>
      </c>
      <c r="F162" s="26" t="s">
        <v>342</v>
      </c>
      <c r="G162" s="25" t="s">
        <v>869</v>
      </c>
      <c r="H162" s="25" t="s">
        <v>871</v>
      </c>
      <c r="I162" s="29">
        <v>10</v>
      </c>
      <c r="J162" s="31">
        <f>StockOutData[[#This Row],[Quantity]]*2.5</f>
        <v>25</v>
      </c>
    </row>
    <row r="163" spans="1:10" x14ac:dyDescent="0.25">
      <c r="A163" s="29">
        <v>162</v>
      </c>
      <c r="B163" s="30">
        <f t="shared" si="2"/>
        <v>43519</v>
      </c>
      <c r="C163" s="30"/>
      <c r="D163" s="30"/>
      <c r="E163" s="25" t="s">
        <v>343</v>
      </c>
      <c r="F163" s="26" t="s">
        <v>344</v>
      </c>
      <c r="G163" s="25" t="s">
        <v>869</v>
      </c>
      <c r="H163" s="25" t="s">
        <v>871</v>
      </c>
      <c r="I163" s="29">
        <v>10</v>
      </c>
      <c r="J163" s="31">
        <f>StockOutData[[#This Row],[Quantity]]*2.5</f>
        <v>25</v>
      </c>
    </row>
    <row r="164" spans="1:10" x14ac:dyDescent="0.25">
      <c r="A164" s="29">
        <v>163</v>
      </c>
      <c r="B164" s="30">
        <f t="shared" si="2"/>
        <v>43520</v>
      </c>
      <c r="C164" s="30"/>
      <c r="D164" s="30"/>
      <c r="E164" s="25" t="s">
        <v>345</v>
      </c>
      <c r="F164" s="26" t="s">
        <v>346</v>
      </c>
      <c r="G164" s="25" t="s">
        <v>869</v>
      </c>
      <c r="H164" s="25" t="s">
        <v>871</v>
      </c>
      <c r="I164" s="29">
        <v>7</v>
      </c>
      <c r="J164" s="31">
        <f>StockOutData[[#This Row],[Quantity]]*2.5</f>
        <v>17.5</v>
      </c>
    </row>
    <row r="165" spans="1:10" x14ac:dyDescent="0.25">
      <c r="A165" s="29">
        <v>164</v>
      </c>
      <c r="B165" s="30">
        <f t="shared" si="2"/>
        <v>43521</v>
      </c>
      <c r="C165" s="30"/>
      <c r="D165" s="30"/>
      <c r="E165" s="25" t="s">
        <v>347</v>
      </c>
      <c r="F165" s="26" t="s">
        <v>348</v>
      </c>
      <c r="G165" s="25" t="s">
        <v>869</v>
      </c>
      <c r="H165" s="25" t="s">
        <v>871</v>
      </c>
      <c r="I165" s="29">
        <v>15</v>
      </c>
      <c r="J165" s="31">
        <f>StockOutData[[#This Row],[Quantity]]*2.5</f>
        <v>37.5</v>
      </c>
    </row>
    <row r="166" spans="1:10" x14ac:dyDescent="0.25">
      <c r="A166" s="29">
        <v>165</v>
      </c>
      <c r="B166" s="30">
        <f t="shared" si="2"/>
        <v>43522</v>
      </c>
      <c r="C166" s="30"/>
      <c r="D166" s="30"/>
      <c r="E166" s="25" t="s">
        <v>349</v>
      </c>
      <c r="F166" s="26" t="s">
        <v>350</v>
      </c>
      <c r="G166" s="25" t="s">
        <v>869</v>
      </c>
      <c r="H166" s="25" t="s">
        <v>871</v>
      </c>
      <c r="I166" s="29">
        <v>18</v>
      </c>
      <c r="J166" s="31">
        <f>StockOutData[[#This Row],[Quantity]]*2.5</f>
        <v>45</v>
      </c>
    </row>
    <row r="167" spans="1:10" x14ac:dyDescent="0.25">
      <c r="A167" s="29">
        <v>166</v>
      </c>
      <c r="B167" s="30">
        <f t="shared" si="2"/>
        <v>43523</v>
      </c>
      <c r="C167" s="30"/>
      <c r="D167" s="30"/>
      <c r="E167" s="25" t="s">
        <v>351</v>
      </c>
      <c r="F167" s="26" t="s">
        <v>352</v>
      </c>
      <c r="G167" s="25" t="s">
        <v>869</v>
      </c>
      <c r="H167" s="25" t="s">
        <v>871</v>
      </c>
      <c r="I167" s="29">
        <v>12</v>
      </c>
      <c r="J167" s="31">
        <f>StockOutData[[#This Row],[Quantity]]*2.5</f>
        <v>30</v>
      </c>
    </row>
    <row r="168" spans="1:10" x14ac:dyDescent="0.25">
      <c r="A168" s="29">
        <v>167</v>
      </c>
      <c r="B168" s="30">
        <f t="shared" si="2"/>
        <v>43524</v>
      </c>
      <c r="C168" s="30"/>
      <c r="D168" s="30"/>
      <c r="E168" s="25" t="s">
        <v>353</v>
      </c>
      <c r="F168" s="26" t="s">
        <v>354</v>
      </c>
      <c r="G168" s="25" t="s">
        <v>869</v>
      </c>
      <c r="H168" s="25" t="s">
        <v>871</v>
      </c>
      <c r="I168" s="29">
        <v>14</v>
      </c>
      <c r="J168" s="31">
        <f>StockOutData[[#This Row],[Quantity]]*2.5</f>
        <v>35</v>
      </c>
    </row>
    <row r="169" spans="1:10" x14ac:dyDescent="0.25">
      <c r="A169" s="29">
        <v>168</v>
      </c>
      <c r="B169" s="30">
        <f t="shared" si="2"/>
        <v>43525</v>
      </c>
      <c r="C169" s="30"/>
      <c r="D169" s="30"/>
      <c r="E169" s="25" t="s">
        <v>355</v>
      </c>
      <c r="F169" s="26" t="s">
        <v>356</v>
      </c>
      <c r="G169" s="25" t="s">
        <v>869</v>
      </c>
      <c r="H169" s="25" t="s">
        <v>871</v>
      </c>
      <c r="I169" s="29">
        <v>13</v>
      </c>
      <c r="J169" s="31">
        <f>StockOutData[[#This Row],[Quantity]]*2.5</f>
        <v>32.5</v>
      </c>
    </row>
    <row r="170" spans="1:10" x14ac:dyDescent="0.25">
      <c r="A170" s="29">
        <v>169</v>
      </c>
      <c r="B170" s="30">
        <f t="shared" si="2"/>
        <v>43526</v>
      </c>
      <c r="C170" s="30"/>
      <c r="D170" s="30"/>
      <c r="E170" s="25" t="s">
        <v>357</v>
      </c>
      <c r="F170" s="26" t="s">
        <v>358</v>
      </c>
      <c r="G170" s="25" t="s">
        <v>869</v>
      </c>
      <c r="H170" s="25" t="s">
        <v>871</v>
      </c>
      <c r="I170" s="29">
        <v>5</v>
      </c>
      <c r="J170" s="31">
        <f>StockOutData[[#This Row],[Quantity]]*2.5</f>
        <v>12.5</v>
      </c>
    </row>
    <row r="171" spans="1:10" x14ac:dyDescent="0.25">
      <c r="A171" s="29">
        <v>170</v>
      </c>
      <c r="B171" s="30">
        <f t="shared" si="2"/>
        <v>43527</v>
      </c>
      <c r="C171" s="30"/>
      <c r="D171" s="30"/>
      <c r="E171" s="25" t="s">
        <v>359</v>
      </c>
      <c r="F171" s="26" t="s">
        <v>360</v>
      </c>
      <c r="G171" s="25" t="s">
        <v>869</v>
      </c>
      <c r="H171" s="25" t="s">
        <v>871</v>
      </c>
      <c r="I171" s="29">
        <v>7</v>
      </c>
      <c r="J171" s="31">
        <f>StockOutData[[#This Row],[Quantity]]*2.5</f>
        <v>17.5</v>
      </c>
    </row>
    <row r="172" spans="1:10" x14ac:dyDescent="0.25">
      <c r="A172" s="29">
        <v>171</v>
      </c>
      <c r="B172" s="30">
        <f t="shared" si="2"/>
        <v>43528</v>
      </c>
      <c r="C172" s="30"/>
      <c r="D172" s="30"/>
      <c r="E172" s="25" t="s">
        <v>361</v>
      </c>
      <c r="F172" s="26" t="s">
        <v>362</v>
      </c>
      <c r="G172" s="25" t="s">
        <v>869</v>
      </c>
      <c r="H172" s="25" t="s">
        <v>871</v>
      </c>
      <c r="I172" s="29">
        <v>15</v>
      </c>
      <c r="J172" s="31">
        <f>StockOutData[[#This Row],[Quantity]]*2.5</f>
        <v>37.5</v>
      </c>
    </row>
    <row r="173" spans="1:10" x14ac:dyDescent="0.25">
      <c r="A173" s="29">
        <v>172</v>
      </c>
      <c r="B173" s="30">
        <f t="shared" si="2"/>
        <v>43529</v>
      </c>
      <c r="C173" s="30"/>
      <c r="D173" s="30"/>
      <c r="E173" s="25" t="s">
        <v>363</v>
      </c>
      <c r="F173" s="26" t="s">
        <v>364</v>
      </c>
      <c r="G173" s="25" t="s">
        <v>869</v>
      </c>
      <c r="H173" s="25" t="s">
        <v>871</v>
      </c>
      <c r="I173" s="29">
        <v>18</v>
      </c>
      <c r="J173" s="31">
        <f>StockOutData[[#This Row],[Quantity]]*2.5</f>
        <v>45</v>
      </c>
    </row>
    <row r="174" spans="1:10" x14ac:dyDescent="0.25">
      <c r="A174" s="29">
        <v>173</v>
      </c>
      <c r="B174" s="30">
        <f t="shared" si="2"/>
        <v>43530</v>
      </c>
      <c r="C174" s="30"/>
      <c r="D174" s="30"/>
      <c r="E174" s="25" t="s">
        <v>365</v>
      </c>
      <c r="F174" s="26" t="s">
        <v>366</v>
      </c>
      <c r="G174" s="25" t="s">
        <v>869</v>
      </c>
      <c r="H174" s="25" t="s">
        <v>871</v>
      </c>
      <c r="I174" s="29">
        <v>12</v>
      </c>
      <c r="J174" s="31">
        <f>StockOutData[[#This Row],[Quantity]]*2.5</f>
        <v>30</v>
      </c>
    </row>
    <row r="175" spans="1:10" x14ac:dyDescent="0.25">
      <c r="A175" s="29">
        <v>174</v>
      </c>
      <c r="B175" s="30">
        <f t="shared" si="2"/>
        <v>43531</v>
      </c>
      <c r="C175" s="30"/>
      <c r="D175" s="30"/>
      <c r="E175" s="25" t="s">
        <v>367</v>
      </c>
      <c r="F175" s="26" t="s">
        <v>368</v>
      </c>
      <c r="G175" s="25" t="s">
        <v>869</v>
      </c>
      <c r="H175" s="25" t="s">
        <v>871</v>
      </c>
      <c r="I175" s="29">
        <v>14</v>
      </c>
      <c r="J175" s="31">
        <f>StockOutData[[#This Row],[Quantity]]*2.5</f>
        <v>35</v>
      </c>
    </row>
    <row r="176" spans="1:10" x14ac:dyDescent="0.25">
      <c r="A176" s="29">
        <v>175</v>
      </c>
      <c r="B176" s="30">
        <f t="shared" si="2"/>
        <v>43532</v>
      </c>
      <c r="C176" s="30"/>
      <c r="D176" s="30"/>
      <c r="E176" s="25" t="s">
        <v>369</v>
      </c>
      <c r="F176" s="26" t="s">
        <v>370</v>
      </c>
      <c r="G176" s="25" t="s">
        <v>869</v>
      </c>
      <c r="H176" s="25" t="s">
        <v>871</v>
      </c>
      <c r="I176" s="29">
        <v>13</v>
      </c>
      <c r="J176" s="31">
        <f>StockOutData[[#This Row],[Quantity]]*2.5</f>
        <v>32.5</v>
      </c>
    </row>
    <row r="177" spans="1:10" x14ac:dyDescent="0.25">
      <c r="A177" s="29">
        <v>176</v>
      </c>
      <c r="B177" s="30">
        <f t="shared" si="2"/>
        <v>43533</v>
      </c>
      <c r="C177" s="30"/>
      <c r="D177" s="30"/>
      <c r="E177" s="25" t="s">
        <v>371</v>
      </c>
      <c r="F177" s="26" t="s">
        <v>372</v>
      </c>
      <c r="G177" s="25" t="s">
        <v>869</v>
      </c>
      <c r="H177" s="25" t="s">
        <v>871</v>
      </c>
      <c r="I177" s="29">
        <v>5</v>
      </c>
      <c r="J177" s="31">
        <f>StockOutData[[#This Row],[Quantity]]*2.5</f>
        <v>12.5</v>
      </c>
    </row>
    <row r="178" spans="1:10" x14ac:dyDescent="0.25">
      <c r="A178" s="29">
        <v>177</v>
      </c>
      <c r="B178" s="30">
        <f t="shared" si="2"/>
        <v>43534</v>
      </c>
      <c r="C178" s="30"/>
      <c r="D178" s="30"/>
      <c r="E178" s="25" t="s">
        <v>373</v>
      </c>
      <c r="F178" s="26" t="s">
        <v>374</v>
      </c>
      <c r="G178" s="25" t="s">
        <v>869</v>
      </c>
      <c r="H178" s="25" t="s">
        <v>871</v>
      </c>
      <c r="I178" s="29">
        <v>7</v>
      </c>
      <c r="J178" s="31">
        <f>StockOutData[[#This Row],[Quantity]]*2.5</f>
        <v>17.5</v>
      </c>
    </row>
    <row r="179" spans="1:10" x14ac:dyDescent="0.25">
      <c r="A179" s="29">
        <v>178</v>
      </c>
      <c r="B179" s="30">
        <f t="shared" si="2"/>
        <v>43535</v>
      </c>
      <c r="C179" s="30"/>
      <c r="D179" s="30"/>
      <c r="E179" s="25" t="s">
        <v>375</v>
      </c>
      <c r="F179" s="26" t="s">
        <v>376</v>
      </c>
      <c r="G179" s="25" t="s">
        <v>869</v>
      </c>
      <c r="H179" s="25" t="s">
        <v>871</v>
      </c>
      <c r="I179" s="29">
        <v>15</v>
      </c>
      <c r="J179" s="31">
        <f>StockOutData[[#This Row],[Quantity]]*2.5</f>
        <v>37.5</v>
      </c>
    </row>
    <row r="180" spans="1:10" x14ac:dyDescent="0.25">
      <c r="A180" s="29">
        <v>179</v>
      </c>
      <c r="B180" s="30">
        <f t="shared" si="2"/>
        <v>43536</v>
      </c>
      <c r="C180" s="30"/>
      <c r="D180" s="30"/>
      <c r="E180" s="25" t="s">
        <v>377</v>
      </c>
      <c r="F180" s="26" t="s">
        <v>378</v>
      </c>
      <c r="G180" s="25" t="s">
        <v>869</v>
      </c>
      <c r="H180" s="25" t="s">
        <v>871</v>
      </c>
      <c r="I180" s="29">
        <v>18</v>
      </c>
      <c r="J180" s="31">
        <f>StockOutData[[#This Row],[Quantity]]*2.5</f>
        <v>45</v>
      </c>
    </row>
    <row r="181" spans="1:10" x14ac:dyDescent="0.25">
      <c r="A181" s="29">
        <v>180</v>
      </c>
      <c r="B181" s="30">
        <f t="shared" si="2"/>
        <v>43537</v>
      </c>
      <c r="C181" s="30"/>
      <c r="D181" s="30"/>
      <c r="E181" s="25" t="s">
        <v>379</v>
      </c>
      <c r="F181" s="26" t="s">
        <v>380</v>
      </c>
      <c r="G181" s="25" t="s">
        <v>869</v>
      </c>
      <c r="H181" s="25" t="s">
        <v>871</v>
      </c>
      <c r="I181" s="29">
        <v>12</v>
      </c>
      <c r="J181" s="31">
        <f>StockOutData[[#This Row],[Quantity]]*2.5</f>
        <v>30</v>
      </c>
    </row>
    <row r="182" spans="1:10" x14ac:dyDescent="0.25">
      <c r="A182" s="29">
        <v>181</v>
      </c>
      <c r="B182" s="30">
        <f t="shared" si="2"/>
        <v>43538</v>
      </c>
      <c r="C182" s="30"/>
      <c r="D182" s="30"/>
      <c r="E182" s="25" t="s">
        <v>381</v>
      </c>
      <c r="F182" s="26" t="s">
        <v>382</v>
      </c>
      <c r="G182" s="25" t="s">
        <v>869</v>
      </c>
      <c r="H182" s="25" t="s">
        <v>871</v>
      </c>
      <c r="I182" s="29">
        <v>10</v>
      </c>
      <c r="J182" s="31">
        <f>StockOutData[[#This Row],[Quantity]]*2.5</f>
        <v>25</v>
      </c>
    </row>
    <row r="183" spans="1:10" x14ac:dyDescent="0.25">
      <c r="A183" s="29">
        <v>182</v>
      </c>
      <c r="B183" s="30">
        <f t="shared" si="2"/>
        <v>43539</v>
      </c>
      <c r="C183" s="30"/>
      <c r="D183" s="30"/>
      <c r="E183" s="25" t="s">
        <v>383</v>
      </c>
      <c r="F183" s="26" t="s">
        <v>384</v>
      </c>
      <c r="G183" s="25" t="s">
        <v>869</v>
      </c>
      <c r="H183" s="25" t="s">
        <v>871</v>
      </c>
      <c r="I183" s="29">
        <v>10</v>
      </c>
      <c r="J183" s="31">
        <f>StockOutData[[#This Row],[Quantity]]*2.5</f>
        <v>25</v>
      </c>
    </row>
    <row r="184" spans="1:10" x14ac:dyDescent="0.25">
      <c r="A184" s="29">
        <v>183</v>
      </c>
      <c r="B184" s="30">
        <f t="shared" si="2"/>
        <v>43540</v>
      </c>
      <c r="C184" s="30"/>
      <c r="D184" s="30"/>
      <c r="E184" s="25" t="s">
        <v>385</v>
      </c>
      <c r="F184" s="26" t="s">
        <v>386</v>
      </c>
      <c r="G184" s="25" t="s">
        <v>869</v>
      </c>
      <c r="H184" s="25" t="s">
        <v>871</v>
      </c>
      <c r="I184" s="29">
        <v>10</v>
      </c>
      <c r="J184" s="31">
        <f>StockOutData[[#This Row],[Quantity]]*2.5</f>
        <v>25</v>
      </c>
    </row>
    <row r="185" spans="1:10" x14ac:dyDescent="0.25">
      <c r="A185" s="29">
        <v>184</v>
      </c>
      <c r="B185" s="30">
        <f t="shared" si="2"/>
        <v>43541</v>
      </c>
      <c r="C185" s="30"/>
      <c r="D185" s="30"/>
      <c r="E185" s="25" t="s">
        <v>387</v>
      </c>
      <c r="F185" s="26" t="s">
        <v>388</v>
      </c>
      <c r="G185" s="25" t="s">
        <v>869</v>
      </c>
      <c r="H185" s="25" t="s">
        <v>871</v>
      </c>
      <c r="I185" s="29">
        <v>10</v>
      </c>
      <c r="J185" s="31">
        <f>StockOutData[[#This Row],[Quantity]]*2.5</f>
        <v>25</v>
      </c>
    </row>
    <row r="186" spans="1:10" x14ac:dyDescent="0.25">
      <c r="A186" s="29">
        <v>185</v>
      </c>
      <c r="B186" s="30">
        <f t="shared" si="2"/>
        <v>43542</v>
      </c>
      <c r="C186" s="30"/>
      <c r="D186" s="30"/>
      <c r="E186" s="25" t="s">
        <v>389</v>
      </c>
      <c r="F186" s="26" t="s">
        <v>390</v>
      </c>
      <c r="G186" s="25" t="s">
        <v>869</v>
      </c>
      <c r="H186" s="25" t="s">
        <v>871</v>
      </c>
      <c r="I186" s="29">
        <v>10</v>
      </c>
      <c r="J186" s="31">
        <f>StockOutData[[#This Row],[Quantity]]*2.5</f>
        <v>25</v>
      </c>
    </row>
    <row r="187" spans="1:10" x14ac:dyDescent="0.25">
      <c r="A187" s="29">
        <v>186</v>
      </c>
      <c r="B187" s="30">
        <f t="shared" si="2"/>
        <v>43543</v>
      </c>
      <c r="C187" s="30"/>
      <c r="D187" s="30"/>
      <c r="E187" s="25" t="s">
        <v>391</v>
      </c>
      <c r="F187" s="26" t="s">
        <v>392</v>
      </c>
      <c r="G187" s="25" t="s">
        <v>869</v>
      </c>
      <c r="H187" s="25" t="s">
        <v>871</v>
      </c>
      <c r="I187" s="29">
        <v>7</v>
      </c>
      <c r="J187" s="31">
        <f>StockOutData[[#This Row],[Quantity]]*2.5</f>
        <v>17.5</v>
      </c>
    </row>
    <row r="188" spans="1:10" x14ac:dyDescent="0.25">
      <c r="A188" s="29">
        <v>187</v>
      </c>
      <c r="B188" s="30">
        <f t="shared" si="2"/>
        <v>43544</v>
      </c>
      <c r="C188" s="30"/>
      <c r="D188" s="30"/>
      <c r="E188" s="25" t="s">
        <v>393</v>
      </c>
      <c r="F188" s="26" t="s">
        <v>394</v>
      </c>
      <c r="G188" s="25" t="s">
        <v>869</v>
      </c>
      <c r="H188" s="25" t="s">
        <v>871</v>
      </c>
      <c r="I188" s="29">
        <v>15</v>
      </c>
      <c r="J188" s="31">
        <f>StockOutData[[#This Row],[Quantity]]*2.5</f>
        <v>37.5</v>
      </c>
    </row>
    <row r="189" spans="1:10" x14ac:dyDescent="0.25">
      <c r="A189" s="29">
        <v>188</v>
      </c>
      <c r="B189" s="30">
        <f t="shared" si="2"/>
        <v>43545</v>
      </c>
      <c r="C189" s="30"/>
      <c r="D189" s="30"/>
      <c r="E189" s="25" t="s">
        <v>395</v>
      </c>
      <c r="F189" s="26" t="s">
        <v>396</v>
      </c>
      <c r="G189" s="25" t="s">
        <v>869</v>
      </c>
      <c r="H189" s="25" t="s">
        <v>871</v>
      </c>
      <c r="I189" s="29">
        <v>18</v>
      </c>
      <c r="J189" s="31">
        <f>StockOutData[[#This Row],[Quantity]]*2.5</f>
        <v>45</v>
      </c>
    </row>
    <row r="190" spans="1:10" x14ac:dyDescent="0.25">
      <c r="A190" s="29">
        <v>189</v>
      </c>
      <c r="B190" s="30">
        <f t="shared" si="2"/>
        <v>43546</v>
      </c>
      <c r="C190" s="30"/>
      <c r="D190" s="30"/>
      <c r="E190" s="25" t="s">
        <v>397</v>
      </c>
      <c r="F190" s="26" t="s">
        <v>398</v>
      </c>
      <c r="G190" s="25" t="s">
        <v>869</v>
      </c>
      <c r="H190" s="25" t="s">
        <v>871</v>
      </c>
      <c r="I190" s="29">
        <v>12</v>
      </c>
      <c r="J190" s="31">
        <f>StockOutData[[#This Row],[Quantity]]*2.5</f>
        <v>30</v>
      </c>
    </row>
    <row r="191" spans="1:10" x14ac:dyDescent="0.25">
      <c r="A191" s="29">
        <v>190</v>
      </c>
      <c r="B191" s="30">
        <f t="shared" si="2"/>
        <v>43547</v>
      </c>
      <c r="C191" s="30"/>
      <c r="D191" s="30"/>
      <c r="E191" s="25" t="s">
        <v>399</v>
      </c>
      <c r="F191" s="26" t="s">
        <v>400</v>
      </c>
      <c r="G191" s="25" t="s">
        <v>869</v>
      </c>
      <c r="H191" s="25" t="s">
        <v>871</v>
      </c>
      <c r="I191" s="29">
        <v>14</v>
      </c>
      <c r="J191" s="31">
        <f>StockOutData[[#This Row],[Quantity]]*2.5</f>
        <v>35</v>
      </c>
    </row>
    <row r="192" spans="1:10" x14ac:dyDescent="0.25">
      <c r="A192" s="29">
        <v>191</v>
      </c>
      <c r="B192" s="30">
        <f t="shared" si="2"/>
        <v>43548</v>
      </c>
      <c r="C192" s="30"/>
      <c r="D192" s="30"/>
      <c r="E192" s="25" t="s">
        <v>401</v>
      </c>
      <c r="F192" s="26" t="s">
        <v>402</v>
      </c>
      <c r="G192" s="25" t="s">
        <v>869</v>
      </c>
      <c r="H192" s="25" t="s">
        <v>871</v>
      </c>
      <c r="I192" s="29">
        <v>13</v>
      </c>
      <c r="J192" s="31">
        <f>StockOutData[[#This Row],[Quantity]]*2.5</f>
        <v>32.5</v>
      </c>
    </row>
    <row r="193" spans="1:10" x14ac:dyDescent="0.25">
      <c r="A193" s="29">
        <v>192</v>
      </c>
      <c r="B193" s="30">
        <f t="shared" si="2"/>
        <v>43549</v>
      </c>
      <c r="C193" s="30"/>
      <c r="D193" s="30"/>
      <c r="E193" s="25" t="s">
        <v>403</v>
      </c>
      <c r="F193" s="26" t="s">
        <v>404</v>
      </c>
      <c r="G193" s="25" t="s">
        <v>869</v>
      </c>
      <c r="H193" s="25" t="s">
        <v>871</v>
      </c>
      <c r="I193" s="29">
        <v>5</v>
      </c>
      <c r="J193" s="31">
        <f>StockOutData[[#This Row],[Quantity]]*2.5</f>
        <v>12.5</v>
      </c>
    </row>
    <row r="194" spans="1:10" x14ac:dyDescent="0.25">
      <c r="A194" s="29">
        <v>193</v>
      </c>
      <c r="B194" s="30">
        <f t="shared" si="2"/>
        <v>43550</v>
      </c>
      <c r="C194" s="30"/>
      <c r="D194" s="30"/>
      <c r="E194" s="25" t="s">
        <v>405</v>
      </c>
      <c r="F194" s="26" t="s">
        <v>406</v>
      </c>
      <c r="G194" s="25" t="s">
        <v>869</v>
      </c>
      <c r="H194" s="25" t="s">
        <v>871</v>
      </c>
      <c r="I194" s="29">
        <v>7</v>
      </c>
      <c r="J194" s="31">
        <f>StockOutData[[#This Row],[Quantity]]*2.5</f>
        <v>17.5</v>
      </c>
    </row>
    <row r="195" spans="1:10" x14ac:dyDescent="0.25">
      <c r="A195" s="29">
        <v>194</v>
      </c>
      <c r="B195" s="30">
        <f t="shared" si="2"/>
        <v>43551</v>
      </c>
      <c r="C195" s="30"/>
      <c r="D195" s="30"/>
      <c r="E195" s="25" t="s">
        <v>407</v>
      </c>
      <c r="F195" s="26" t="s">
        <v>408</v>
      </c>
      <c r="G195" s="25" t="s">
        <v>869</v>
      </c>
      <c r="H195" s="25" t="s">
        <v>871</v>
      </c>
      <c r="I195" s="29">
        <v>15</v>
      </c>
      <c r="J195" s="31">
        <f>StockOutData[[#This Row],[Quantity]]*2.5</f>
        <v>37.5</v>
      </c>
    </row>
    <row r="196" spans="1:10" x14ac:dyDescent="0.25">
      <c r="A196" s="29">
        <v>195</v>
      </c>
      <c r="B196" s="30">
        <f t="shared" ref="B196:B259" si="3">B195+1</f>
        <v>43552</v>
      </c>
      <c r="C196" s="30"/>
      <c r="D196" s="30"/>
      <c r="E196" s="25" t="s">
        <v>409</v>
      </c>
      <c r="F196" s="26" t="s">
        <v>410</v>
      </c>
      <c r="G196" s="25" t="s">
        <v>869</v>
      </c>
      <c r="H196" s="25" t="s">
        <v>871</v>
      </c>
      <c r="I196" s="29">
        <v>18</v>
      </c>
      <c r="J196" s="31">
        <f>StockOutData[[#This Row],[Quantity]]*2.5</f>
        <v>45</v>
      </c>
    </row>
    <row r="197" spans="1:10" x14ac:dyDescent="0.25">
      <c r="A197" s="29">
        <v>196</v>
      </c>
      <c r="B197" s="30">
        <f t="shared" si="3"/>
        <v>43553</v>
      </c>
      <c r="C197" s="30"/>
      <c r="D197" s="30"/>
      <c r="E197" s="25" t="s">
        <v>411</v>
      </c>
      <c r="F197" s="26" t="s">
        <v>412</v>
      </c>
      <c r="G197" s="25" t="s">
        <v>869</v>
      </c>
      <c r="H197" s="25" t="s">
        <v>871</v>
      </c>
      <c r="I197" s="29">
        <v>12</v>
      </c>
      <c r="J197" s="31">
        <f>StockOutData[[#This Row],[Quantity]]*2.5</f>
        <v>30</v>
      </c>
    </row>
    <row r="198" spans="1:10" x14ac:dyDescent="0.25">
      <c r="A198" s="29">
        <v>197</v>
      </c>
      <c r="B198" s="30">
        <f t="shared" si="3"/>
        <v>43554</v>
      </c>
      <c r="C198" s="30"/>
      <c r="D198" s="30"/>
      <c r="E198" s="25" t="s">
        <v>413</v>
      </c>
      <c r="F198" s="26" t="s">
        <v>414</v>
      </c>
      <c r="G198" s="25" t="s">
        <v>869</v>
      </c>
      <c r="H198" s="25" t="s">
        <v>871</v>
      </c>
      <c r="I198" s="29">
        <v>14</v>
      </c>
      <c r="J198" s="31">
        <f>StockOutData[[#This Row],[Quantity]]*2.5</f>
        <v>35</v>
      </c>
    </row>
    <row r="199" spans="1:10" x14ac:dyDescent="0.25">
      <c r="A199" s="29">
        <v>198</v>
      </c>
      <c r="B199" s="30">
        <f t="shared" si="3"/>
        <v>43555</v>
      </c>
      <c r="C199" s="30"/>
      <c r="D199" s="30"/>
      <c r="E199" s="25" t="s">
        <v>415</v>
      </c>
      <c r="F199" s="26" t="s">
        <v>416</v>
      </c>
      <c r="G199" s="25" t="s">
        <v>869</v>
      </c>
      <c r="H199" s="25" t="s">
        <v>871</v>
      </c>
      <c r="I199" s="29">
        <v>13</v>
      </c>
      <c r="J199" s="31">
        <f>StockOutData[[#This Row],[Quantity]]*2.5</f>
        <v>32.5</v>
      </c>
    </row>
    <row r="200" spans="1:10" x14ac:dyDescent="0.25">
      <c r="A200" s="29">
        <v>199</v>
      </c>
      <c r="B200" s="30">
        <f t="shared" si="3"/>
        <v>43556</v>
      </c>
      <c r="C200" s="30"/>
      <c r="D200" s="30"/>
      <c r="E200" s="25" t="s">
        <v>417</v>
      </c>
      <c r="F200" s="26" t="s">
        <v>418</v>
      </c>
      <c r="G200" s="25" t="s">
        <v>869</v>
      </c>
      <c r="H200" s="25" t="s">
        <v>871</v>
      </c>
      <c r="I200" s="29">
        <v>5</v>
      </c>
      <c r="J200" s="31">
        <f>StockOutData[[#This Row],[Quantity]]*2.5</f>
        <v>12.5</v>
      </c>
    </row>
    <row r="201" spans="1:10" x14ac:dyDescent="0.25">
      <c r="A201" s="29">
        <v>200</v>
      </c>
      <c r="B201" s="30">
        <f t="shared" si="3"/>
        <v>43557</v>
      </c>
      <c r="C201" s="30"/>
      <c r="D201" s="30"/>
      <c r="E201" s="25" t="s">
        <v>419</v>
      </c>
      <c r="F201" s="26" t="s">
        <v>420</v>
      </c>
      <c r="G201" s="25" t="s">
        <v>869</v>
      </c>
      <c r="H201" s="25" t="s">
        <v>871</v>
      </c>
      <c r="I201" s="29">
        <v>7</v>
      </c>
      <c r="J201" s="31">
        <f>StockOutData[[#This Row],[Quantity]]*2.5</f>
        <v>17.5</v>
      </c>
    </row>
    <row r="202" spans="1:10" x14ac:dyDescent="0.25">
      <c r="A202" s="29">
        <v>201</v>
      </c>
      <c r="B202" s="30">
        <f t="shared" si="3"/>
        <v>43558</v>
      </c>
      <c r="C202" s="30"/>
      <c r="D202" s="30"/>
      <c r="E202" s="25" t="s">
        <v>421</v>
      </c>
      <c r="F202" s="26" t="s">
        <v>422</v>
      </c>
      <c r="G202" s="25" t="s">
        <v>869</v>
      </c>
      <c r="H202" s="25" t="s">
        <v>871</v>
      </c>
      <c r="I202" s="29">
        <v>15</v>
      </c>
      <c r="J202" s="31">
        <f>StockOutData[[#This Row],[Quantity]]*2.5</f>
        <v>37.5</v>
      </c>
    </row>
    <row r="203" spans="1:10" x14ac:dyDescent="0.25">
      <c r="A203" s="29">
        <v>202</v>
      </c>
      <c r="B203" s="30">
        <f t="shared" si="3"/>
        <v>43559</v>
      </c>
      <c r="C203" s="30"/>
      <c r="D203" s="30"/>
      <c r="E203" s="25" t="s">
        <v>423</v>
      </c>
      <c r="F203" s="26" t="s">
        <v>424</v>
      </c>
      <c r="G203" s="25" t="s">
        <v>869</v>
      </c>
      <c r="H203" s="25" t="s">
        <v>871</v>
      </c>
      <c r="I203" s="29">
        <v>18</v>
      </c>
      <c r="J203" s="31">
        <f>StockOutData[[#This Row],[Quantity]]*2.5</f>
        <v>45</v>
      </c>
    </row>
    <row r="204" spans="1:10" x14ac:dyDescent="0.25">
      <c r="A204" s="29">
        <v>203</v>
      </c>
      <c r="B204" s="30">
        <f t="shared" si="3"/>
        <v>43560</v>
      </c>
      <c r="C204" s="30"/>
      <c r="D204" s="30"/>
      <c r="E204" s="25" t="s">
        <v>425</v>
      </c>
      <c r="F204" s="26" t="s">
        <v>426</v>
      </c>
      <c r="G204" s="25" t="s">
        <v>869</v>
      </c>
      <c r="H204" s="25" t="s">
        <v>871</v>
      </c>
      <c r="I204" s="29">
        <v>12</v>
      </c>
      <c r="J204" s="31">
        <f>StockOutData[[#This Row],[Quantity]]*2.5</f>
        <v>30</v>
      </c>
    </row>
    <row r="205" spans="1:10" x14ac:dyDescent="0.25">
      <c r="A205" s="29">
        <v>204</v>
      </c>
      <c r="B205" s="30">
        <f t="shared" si="3"/>
        <v>43561</v>
      </c>
      <c r="C205" s="30"/>
      <c r="D205" s="30"/>
      <c r="E205" s="25" t="s">
        <v>427</v>
      </c>
      <c r="F205" s="26" t="s">
        <v>428</v>
      </c>
      <c r="G205" s="25" t="s">
        <v>869</v>
      </c>
      <c r="H205" s="25" t="s">
        <v>871</v>
      </c>
      <c r="I205" s="29">
        <v>10</v>
      </c>
      <c r="J205" s="31">
        <f>StockOutData[[#This Row],[Quantity]]*2.5</f>
        <v>25</v>
      </c>
    </row>
    <row r="206" spans="1:10" x14ac:dyDescent="0.25">
      <c r="A206" s="29">
        <v>205</v>
      </c>
      <c r="B206" s="30">
        <f t="shared" si="3"/>
        <v>43562</v>
      </c>
      <c r="C206" s="30"/>
      <c r="D206" s="30"/>
      <c r="E206" s="25" t="s">
        <v>429</v>
      </c>
      <c r="F206" s="26" t="s">
        <v>430</v>
      </c>
      <c r="G206" s="25" t="s">
        <v>869</v>
      </c>
      <c r="H206" s="25" t="s">
        <v>871</v>
      </c>
      <c r="I206" s="29">
        <v>10</v>
      </c>
      <c r="J206" s="31">
        <f>StockOutData[[#This Row],[Quantity]]*2.5</f>
        <v>25</v>
      </c>
    </row>
    <row r="207" spans="1:10" x14ac:dyDescent="0.25">
      <c r="A207" s="29">
        <v>206</v>
      </c>
      <c r="B207" s="30">
        <f t="shared" si="3"/>
        <v>43563</v>
      </c>
      <c r="C207" s="30"/>
      <c r="D207" s="30"/>
      <c r="E207" s="25" t="s">
        <v>431</v>
      </c>
      <c r="F207" s="26" t="s">
        <v>432</v>
      </c>
      <c r="G207" s="25" t="s">
        <v>869</v>
      </c>
      <c r="H207" s="25" t="s">
        <v>871</v>
      </c>
      <c r="I207" s="29">
        <v>10</v>
      </c>
      <c r="J207" s="31">
        <f>StockOutData[[#This Row],[Quantity]]*2.5</f>
        <v>25</v>
      </c>
    </row>
    <row r="208" spans="1:10" x14ac:dyDescent="0.25">
      <c r="A208" s="29">
        <v>207</v>
      </c>
      <c r="B208" s="30">
        <f t="shared" si="3"/>
        <v>43564</v>
      </c>
      <c r="C208" s="30"/>
      <c r="D208" s="30"/>
      <c r="E208" s="25" t="s">
        <v>433</v>
      </c>
      <c r="F208" s="26" t="s">
        <v>434</v>
      </c>
      <c r="G208" s="25" t="s">
        <v>869</v>
      </c>
      <c r="H208" s="25" t="s">
        <v>871</v>
      </c>
      <c r="I208" s="29">
        <v>10</v>
      </c>
      <c r="J208" s="31">
        <f>StockOutData[[#This Row],[Quantity]]*2.5</f>
        <v>25</v>
      </c>
    </row>
    <row r="209" spans="1:10" x14ac:dyDescent="0.25">
      <c r="A209" s="29">
        <v>208</v>
      </c>
      <c r="B209" s="30">
        <f t="shared" si="3"/>
        <v>43565</v>
      </c>
      <c r="C209" s="30"/>
      <c r="D209" s="30"/>
      <c r="E209" s="25" t="s">
        <v>435</v>
      </c>
      <c r="F209" s="26" t="s">
        <v>436</v>
      </c>
      <c r="G209" s="25" t="s">
        <v>869</v>
      </c>
      <c r="H209" s="25" t="s">
        <v>871</v>
      </c>
      <c r="I209" s="29">
        <v>10</v>
      </c>
      <c r="J209" s="31">
        <f>StockOutData[[#This Row],[Quantity]]*2.5</f>
        <v>25</v>
      </c>
    </row>
    <row r="210" spans="1:10" x14ac:dyDescent="0.25">
      <c r="A210" s="29">
        <v>209</v>
      </c>
      <c r="B210" s="30">
        <f t="shared" si="3"/>
        <v>43566</v>
      </c>
      <c r="C210" s="30"/>
      <c r="D210" s="30"/>
      <c r="E210" s="25" t="s">
        <v>437</v>
      </c>
      <c r="F210" s="26" t="s">
        <v>438</v>
      </c>
      <c r="G210" s="25" t="s">
        <v>869</v>
      </c>
      <c r="H210" s="25" t="s">
        <v>871</v>
      </c>
      <c r="I210" s="29">
        <v>7</v>
      </c>
      <c r="J210" s="31">
        <f>StockOutData[[#This Row],[Quantity]]*2.5</f>
        <v>17.5</v>
      </c>
    </row>
    <row r="211" spans="1:10" x14ac:dyDescent="0.25">
      <c r="A211" s="29">
        <v>210</v>
      </c>
      <c r="B211" s="30">
        <f t="shared" si="3"/>
        <v>43567</v>
      </c>
      <c r="C211" s="30"/>
      <c r="D211" s="30"/>
      <c r="E211" s="25" t="s">
        <v>439</v>
      </c>
      <c r="F211" s="26" t="s">
        <v>440</v>
      </c>
      <c r="G211" s="25" t="s">
        <v>869</v>
      </c>
      <c r="H211" s="25" t="s">
        <v>875</v>
      </c>
      <c r="I211" s="29">
        <v>15</v>
      </c>
      <c r="J211" s="31">
        <f>StockOutData[[#This Row],[Quantity]]*2.5</f>
        <v>37.5</v>
      </c>
    </row>
    <row r="212" spans="1:10" x14ac:dyDescent="0.25">
      <c r="A212" s="29">
        <v>211</v>
      </c>
      <c r="B212" s="30">
        <f t="shared" si="3"/>
        <v>43568</v>
      </c>
      <c r="C212" s="30"/>
      <c r="D212" s="30"/>
      <c r="E212" s="25" t="s">
        <v>441</v>
      </c>
      <c r="F212" s="26" t="s">
        <v>442</v>
      </c>
      <c r="G212" s="25" t="s">
        <v>869</v>
      </c>
      <c r="H212" s="25" t="s">
        <v>875</v>
      </c>
      <c r="I212" s="29">
        <v>18</v>
      </c>
      <c r="J212" s="31">
        <f>StockOutData[[#This Row],[Quantity]]*2.5</f>
        <v>45</v>
      </c>
    </row>
    <row r="213" spans="1:10" x14ac:dyDescent="0.25">
      <c r="A213" s="29">
        <v>212</v>
      </c>
      <c r="B213" s="30">
        <f t="shared" si="3"/>
        <v>43569</v>
      </c>
      <c r="C213" s="30"/>
      <c r="D213" s="30"/>
      <c r="E213" s="25" t="s">
        <v>443</v>
      </c>
      <c r="F213" s="26" t="s">
        <v>444</v>
      </c>
      <c r="G213" s="25" t="s">
        <v>869</v>
      </c>
      <c r="H213" s="25" t="s">
        <v>875</v>
      </c>
      <c r="I213" s="29">
        <v>12</v>
      </c>
      <c r="J213" s="31">
        <f>StockOutData[[#This Row],[Quantity]]*2.5</f>
        <v>30</v>
      </c>
    </row>
    <row r="214" spans="1:10" x14ac:dyDescent="0.25">
      <c r="A214" s="29">
        <v>213</v>
      </c>
      <c r="B214" s="30">
        <f t="shared" si="3"/>
        <v>43570</v>
      </c>
      <c r="C214" s="30"/>
      <c r="D214" s="30"/>
      <c r="E214" s="25" t="s">
        <v>445</v>
      </c>
      <c r="F214" s="26" t="s">
        <v>446</v>
      </c>
      <c r="G214" s="25" t="s">
        <v>869</v>
      </c>
      <c r="H214" s="25" t="s">
        <v>875</v>
      </c>
      <c r="I214" s="29">
        <v>14</v>
      </c>
      <c r="J214" s="31">
        <f>StockOutData[[#This Row],[Quantity]]*2.5</f>
        <v>35</v>
      </c>
    </row>
    <row r="215" spans="1:10" x14ac:dyDescent="0.25">
      <c r="A215" s="29">
        <v>214</v>
      </c>
      <c r="B215" s="30">
        <f t="shared" si="3"/>
        <v>43571</v>
      </c>
      <c r="C215" s="30"/>
      <c r="D215" s="30"/>
      <c r="E215" s="25" t="s">
        <v>447</v>
      </c>
      <c r="F215" s="26" t="s">
        <v>448</v>
      </c>
      <c r="G215" s="25" t="s">
        <v>869</v>
      </c>
      <c r="H215" s="25" t="s">
        <v>875</v>
      </c>
      <c r="I215" s="29">
        <v>13</v>
      </c>
      <c r="J215" s="31">
        <f>StockOutData[[#This Row],[Quantity]]*2.5</f>
        <v>32.5</v>
      </c>
    </row>
    <row r="216" spans="1:10" x14ac:dyDescent="0.25">
      <c r="A216" s="29">
        <v>215</v>
      </c>
      <c r="B216" s="30">
        <f t="shared" si="3"/>
        <v>43572</v>
      </c>
      <c r="C216" s="30"/>
      <c r="D216" s="30"/>
      <c r="E216" s="25" t="s">
        <v>449</v>
      </c>
      <c r="F216" s="26" t="s">
        <v>450</v>
      </c>
      <c r="G216" s="25" t="s">
        <v>869</v>
      </c>
      <c r="H216" s="25" t="s">
        <v>875</v>
      </c>
      <c r="I216" s="29">
        <v>5</v>
      </c>
      <c r="J216" s="31">
        <f>StockOutData[[#This Row],[Quantity]]*2.5</f>
        <v>12.5</v>
      </c>
    </row>
    <row r="217" spans="1:10" x14ac:dyDescent="0.25">
      <c r="A217" s="29">
        <v>216</v>
      </c>
      <c r="B217" s="30">
        <f t="shared" si="3"/>
        <v>43573</v>
      </c>
      <c r="C217" s="30"/>
      <c r="D217" s="30"/>
      <c r="E217" s="25" t="s">
        <v>451</v>
      </c>
      <c r="F217" s="26" t="s">
        <v>452</v>
      </c>
      <c r="G217" s="25" t="s">
        <v>869</v>
      </c>
      <c r="H217" s="25" t="s">
        <v>875</v>
      </c>
      <c r="I217" s="29">
        <v>7</v>
      </c>
      <c r="J217" s="31">
        <f>StockOutData[[#This Row],[Quantity]]*2.5</f>
        <v>17.5</v>
      </c>
    </row>
    <row r="218" spans="1:10" x14ac:dyDescent="0.25">
      <c r="A218" s="29">
        <v>217</v>
      </c>
      <c r="B218" s="30">
        <f t="shared" si="3"/>
        <v>43574</v>
      </c>
      <c r="C218" s="30"/>
      <c r="D218" s="30"/>
      <c r="E218" s="25" t="s">
        <v>453</v>
      </c>
      <c r="F218" s="26" t="s">
        <v>454</v>
      </c>
      <c r="G218" s="25" t="s">
        <v>869</v>
      </c>
      <c r="H218" s="25" t="s">
        <v>875</v>
      </c>
      <c r="I218" s="29">
        <v>15</v>
      </c>
      <c r="J218" s="31">
        <f>StockOutData[[#This Row],[Quantity]]*2.5</f>
        <v>37.5</v>
      </c>
    </row>
    <row r="219" spans="1:10" x14ac:dyDescent="0.25">
      <c r="A219" s="29">
        <v>218</v>
      </c>
      <c r="B219" s="30">
        <f t="shared" si="3"/>
        <v>43575</v>
      </c>
      <c r="C219" s="30"/>
      <c r="D219" s="30"/>
      <c r="E219" s="25" t="s">
        <v>455</v>
      </c>
      <c r="F219" s="26" t="s">
        <v>456</v>
      </c>
      <c r="G219" s="25" t="s">
        <v>869</v>
      </c>
      <c r="H219" s="25" t="s">
        <v>875</v>
      </c>
      <c r="I219" s="29">
        <v>18</v>
      </c>
      <c r="J219" s="31">
        <f>StockOutData[[#This Row],[Quantity]]*2.5</f>
        <v>45</v>
      </c>
    </row>
    <row r="220" spans="1:10" x14ac:dyDescent="0.25">
      <c r="A220" s="29">
        <v>219</v>
      </c>
      <c r="B220" s="30">
        <f t="shared" si="3"/>
        <v>43576</v>
      </c>
      <c r="C220" s="30"/>
      <c r="D220" s="30"/>
      <c r="E220" s="25" t="s">
        <v>457</v>
      </c>
      <c r="F220" s="26" t="s">
        <v>458</v>
      </c>
      <c r="G220" s="25" t="s">
        <v>869</v>
      </c>
      <c r="H220" s="25" t="s">
        <v>875</v>
      </c>
      <c r="I220" s="29">
        <v>12</v>
      </c>
      <c r="J220" s="31">
        <f>StockOutData[[#This Row],[Quantity]]*2.5</f>
        <v>30</v>
      </c>
    </row>
    <row r="221" spans="1:10" x14ac:dyDescent="0.25">
      <c r="A221" s="29">
        <v>220</v>
      </c>
      <c r="B221" s="30">
        <f t="shared" si="3"/>
        <v>43577</v>
      </c>
      <c r="C221" s="30"/>
      <c r="D221" s="30"/>
      <c r="E221" s="25" t="s">
        <v>459</v>
      </c>
      <c r="F221" s="26" t="s">
        <v>460</v>
      </c>
      <c r="G221" s="25" t="s">
        <v>869</v>
      </c>
      <c r="H221" s="25" t="s">
        <v>875</v>
      </c>
      <c r="I221" s="29">
        <v>14</v>
      </c>
      <c r="J221" s="31">
        <f>StockOutData[[#This Row],[Quantity]]*2.5</f>
        <v>35</v>
      </c>
    </row>
    <row r="222" spans="1:10" x14ac:dyDescent="0.25">
      <c r="A222" s="29">
        <v>221</v>
      </c>
      <c r="B222" s="30">
        <f t="shared" si="3"/>
        <v>43578</v>
      </c>
      <c r="C222" s="30"/>
      <c r="D222" s="30"/>
      <c r="E222" s="25" t="s">
        <v>461</v>
      </c>
      <c r="F222" s="26" t="s">
        <v>462</v>
      </c>
      <c r="G222" s="25" t="s">
        <v>869</v>
      </c>
      <c r="H222" s="25" t="s">
        <v>875</v>
      </c>
      <c r="I222" s="29">
        <v>13</v>
      </c>
      <c r="J222" s="31">
        <f>StockOutData[[#This Row],[Quantity]]*2.5</f>
        <v>32.5</v>
      </c>
    </row>
    <row r="223" spans="1:10" x14ac:dyDescent="0.25">
      <c r="A223" s="29">
        <v>222</v>
      </c>
      <c r="B223" s="30">
        <f t="shared" si="3"/>
        <v>43579</v>
      </c>
      <c r="C223" s="30"/>
      <c r="D223" s="30"/>
      <c r="E223" s="25" t="s">
        <v>463</v>
      </c>
      <c r="F223" s="26" t="s">
        <v>464</v>
      </c>
      <c r="G223" s="25" t="s">
        <v>869</v>
      </c>
      <c r="H223" s="25" t="s">
        <v>875</v>
      </c>
      <c r="I223" s="29">
        <v>5</v>
      </c>
      <c r="J223" s="31">
        <f>StockOutData[[#This Row],[Quantity]]*2.5</f>
        <v>12.5</v>
      </c>
    </row>
    <row r="224" spans="1:10" x14ac:dyDescent="0.25">
      <c r="A224" s="29">
        <v>223</v>
      </c>
      <c r="B224" s="30">
        <f t="shared" si="3"/>
        <v>43580</v>
      </c>
      <c r="C224" s="30"/>
      <c r="D224" s="30"/>
      <c r="E224" s="25" t="s">
        <v>465</v>
      </c>
      <c r="F224" s="26" t="s">
        <v>466</v>
      </c>
      <c r="G224" s="25" t="s">
        <v>869</v>
      </c>
      <c r="H224" s="25" t="s">
        <v>875</v>
      </c>
      <c r="I224" s="29">
        <v>7</v>
      </c>
      <c r="J224" s="31">
        <f>StockOutData[[#This Row],[Quantity]]*2.5</f>
        <v>17.5</v>
      </c>
    </row>
    <row r="225" spans="1:10" x14ac:dyDescent="0.25">
      <c r="A225" s="29">
        <v>224</v>
      </c>
      <c r="B225" s="30">
        <f t="shared" si="3"/>
        <v>43581</v>
      </c>
      <c r="C225" s="30"/>
      <c r="D225" s="30"/>
      <c r="E225" s="25" t="s">
        <v>467</v>
      </c>
      <c r="F225" s="26" t="s">
        <v>468</v>
      </c>
      <c r="G225" s="25" t="s">
        <v>869</v>
      </c>
      <c r="H225" s="25" t="s">
        <v>875</v>
      </c>
      <c r="I225" s="29">
        <v>15</v>
      </c>
      <c r="J225" s="31">
        <f>StockOutData[[#This Row],[Quantity]]*2.5</f>
        <v>37.5</v>
      </c>
    </row>
    <row r="226" spans="1:10" x14ac:dyDescent="0.25">
      <c r="A226" s="29">
        <v>225</v>
      </c>
      <c r="B226" s="30">
        <f t="shared" si="3"/>
        <v>43582</v>
      </c>
      <c r="C226" s="30"/>
      <c r="D226" s="30"/>
      <c r="E226" s="25" t="s">
        <v>469</v>
      </c>
      <c r="F226" s="26" t="s">
        <v>470</v>
      </c>
      <c r="G226" s="25" t="s">
        <v>869</v>
      </c>
      <c r="H226" s="25" t="s">
        <v>875</v>
      </c>
      <c r="I226" s="29">
        <v>18</v>
      </c>
      <c r="J226" s="31">
        <f>StockOutData[[#This Row],[Quantity]]*2.5</f>
        <v>45</v>
      </c>
    </row>
    <row r="227" spans="1:10" x14ac:dyDescent="0.25">
      <c r="A227" s="29">
        <v>226</v>
      </c>
      <c r="B227" s="30">
        <f t="shared" si="3"/>
        <v>43583</v>
      </c>
      <c r="C227" s="30"/>
      <c r="D227" s="30"/>
      <c r="E227" s="25" t="s">
        <v>471</v>
      </c>
      <c r="F227" s="26" t="s">
        <v>472</v>
      </c>
      <c r="G227" s="25" t="s">
        <v>869</v>
      </c>
      <c r="H227" s="25" t="s">
        <v>875</v>
      </c>
      <c r="I227" s="29">
        <v>12</v>
      </c>
      <c r="J227" s="31">
        <f>StockOutData[[#This Row],[Quantity]]*2.5</f>
        <v>30</v>
      </c>
    </row>
    <row r="228" spans="1:10" x14ac:dyDescent="0.25">
      <c r="A228" s="29">
        <v>227</v>
      </c>
      <c r="B228" s="30">
        <f t="shared" si="3"/>
        <v>43584</v>
      </c>
      <c r="C228" s="30"/>
      <c r="D228" s="30"/>
      <c r="E228" s="25" t="s">
        <v>473</v>
      </c>
      <c r="F228" s="26" t="s">
        <v>474</v>
      </c>
      <c r="G228" s="25" t="s">
        <v>869</v>
      </c>
      <c r="H228" s="25" t="s">
        <v>875</v>
      </c>
      <c r="I228" s="29">
        <v>10</v>
      </c>
      <c r="J228" s="31">
        <f>StockOutData[[#This Row],[Quantity]]*2.5</f>
        <v>25</v>
      </c>
    </row>
    <row r="229" spans="1:10" x14ac:dyDescent="0.25">
      <c r="A229" s="29">
        <v>228</v>
      </c>
      <c r="B229" s="30">
        <f t="shared" si="3"/>
        <v>43585</v>
      </c>
      <c r="C229" s="30"/>
      <c r="D229" s="30"/>
      <c r="E229" s="25" t="s">
        <v>475</v>
      </c>
      <c r="F229" s="26" t="s">
        <v>476</v>
      </c>
      <c r="G229" s="25" t="s">
        <v>869</v>
      </c>
      <c r="H229" s="25" t="s">
        <v>875</v>
      </c>
      <c r="I229" s="29">
        <v>10</v>
      </c>
      <c r="J229" s="31">
        <f>StockOutData[[#This Row],[Quantity]]*2.5</f>
        <v>25</v>
      </c>
    </row>
    <row r="230" spans="1:10" x14ac:dyDescent="0.25">
      <c r="A230" s="29">
        <v>229</v>
      </c>
      <c r="B230" s="30">
        <f t="shared" si="3"/>
        <v>43586</v>
      </c>
      <c r="C230" s="30"/>
      <c r="D230" s="30"/>
      <c r="E230" s="25" t="s">
        <v>477</v>
      </c>
      <c r="F230" s="26" t="s">
        <v>478</v>
      </c>
      <c r="G230" s="25" t="s">
        <v>869</v>
      </c>
      <c r="H230" s="25" t="s">
        <v>875</v>
      </c>
      <c r="I230" s="29">
        <v>10</v>
      </c>
      <c r="J230" s="31">
        <f>StockOutData[[#This Row],[Quantity]]*2.5</f>
        <v>25</v>
      </c>
    </row>
    <row r="231" spans="1:10" x14ac:dyDescent="0.25">
      <c r="A231" s="29">
        <v>230</v>
      </c>
      <c r="B231" s="30">
        <f t="shared" si="3"/>
        <v>43587</v>
      </c>
      <c r="C231" s="30"/>
      <c r="D231" s="30"/>
      <c r="E231" s="25" t="s">
        <v>479</v>
      </c>
      <c r="F231" s="26" t="s">
        <v>480</v>
      </c>
      <c r="G231" s="25" t="s">
        <v>869</v>
      </c>
      <c r="H231" s="25" t="s">
        <v>875</v>
      </c>
      <c r="I231" s="29">
        <v>10</v>
      </c>
      <c r="J231" s="31">
        <f>StockOutData[[#This Row],[Quantity]]*2.5</f>
        <v>25</v>
      </c>
    </row>
    <row r="232" spans="1:10" x14ac:dyDescent="0.25">
      <c r="A232" s="29">
        <v>231</v>
      </c>
      <c r="B232" s="30">
        <f t="shared" si="3"/>
        <v>43588</v>
      </c>
      <c r="C232" s="30"/>
      <c r="D232" s="30"/>
      <c r="E232" s="25" t="s">
        <v>481</v>
      </c>
      <c r="F232" s="26" t="s">
        <v>482</v>
      </c>
      <c r="G232" s="25" t="s">
        <v>869</v>
      </c>
      <c r="H232" s="25" t="s">
        <v>875</v>
      </c>
      <c r="I232" s="29">
        <v>10</v>
      </c>
      <c r="J232" s="31">
        <f>StockOutData[[#This Row],[Quantity]]*2.5</f>
        <v>25</v>
      </c>
    </row>
    <row r="233" spans="1:10" x14ac:dyDescent="0.25">
      <c r="A233" s="29">
        <v>232</v>
      </c>
      <c r="B233" s="30">
        <f t="shared" si="3"/>
        <v>43589</v>
      </c>
      <c r="C233" s="30"/>
      <c r="D233" s="30"/>
      <c r="E233" s="25" t="s">
        <v>483</v>
      </c>
      <c r="F233" s="26" t="s">
        <v>484</v>
      </c>
      <c r="G233" s="25" t="s">
        <v>869</v>
      </c>
      <c r="H233" s="25" t="s">
        <v>875</v>
      </c>
      <c r="I233" s="29">
        <v>7</v>
      </c>
      <c r="J233" s="31">
        <f>StockOutData[[#This Row],[Quantity]]*2.5</f>
        <v>17.5</v>
      </c>
    </row>
    <row r="234" spans="1:10" x14ac:dyDescent="0.25">
      <c r="A234" s="29">
        <v>233</v>
      </c>
      <c r="B234" s="30">
        <f t="shared" si="3"/>
        <v>43590</v>
      </c>
      <c r="C234" s="30"/>
      <c r="D234" s="30"/>
      <c r="E234" s="25" t="s">
        <v>485</v>
      </c>
      <c r="F234" s="26" t="s">
        <v>486</v>
      </c>
      <c r="G234" s="25" t="s">
        <v>869</v>
      </c>
      <c r="H234" s="25" t="s">
        <v>875</v>
      </c>
      <c r="I234" s="29">
        <v>15</v>
      </c>
      <c r="J234" s="31">
        <f>StockOutData[[#This Row],[Quantity]]*2.5</f>
        <v>37.5</v>
      </c>
    </row>
    <row r="235" spans="1:10" x14ac:dyDescent="0.25">
      <c r="A235" s="29">
        <v>234</v>
      </c>
      <c r="B235" s="30">
        <f t="shared" si="3"/>
        <v>43591</v>
      </c>
      <c r="C235" s="30"/>
      <c r="D235" s="30"/>
      <c r="E235" s="25" t="s">
        <v>487</v>
      </c>
      <c r="F235" s="26" t="s">
        <v>488</v>
      </c>
      <c r="G235" s="25" t="s">
        <v>869</v>
      </c>
      <c r="H235" s="25" t="s">
        <v>875</v>
      </c>
      <c r="I235" s="29">
        <v>18</v>
      </c>
      <c r="J235" s="31">
        <f>StockOutData[[#This Row],[Quantity]]*2.5</f>
        <v>45</v>
      </c>
    </row>
    <row r="236" spans="1:10" x14ac:dyDescent="0.25">
      <c r="A236" s="29">
        <v>235</v>
      </c>
      <c r="B236" s="30">
        <f t="shared" si="3"/>
        <v>43592</v>
      </c>
      <c r="C236" s="30"/>
      <c r="D236" s="30"/>
      <c r="E236" s="25" t="s">
        <v>489</v>
      </c>
      <c r="F236" s="26" t="s">
        <v>490</v>
      </c>
      <c r="G236" s="25" t="s">
        <v>869</v>
      </c>
      <c r="H236" s="25" t="s">
        <v>875</v>
      </c>
      <c r="I236" s="29">
        <v>12</v>
      </c>
      <c r="J236" s="31">
        <f>StockOutData[[#This Row],[Quantity]]*2.5</f>
        <v>30</v>
      </c>
    </row>
    <row r="237" spans="1:10" x14ac:dyDescent="0.25">
      <c r="A237" s="29">
        <v>236</v>
      </c>
      <c r="B237" s="30">
        <f t="shared" si="3"/>
        <v>43593</v>
      </c>
      <c r="C237" s="30"/>
      <c r="D237" s="30"/>
      <c r="E237" s="25" t="s">
        <v>491</v>
      </c>
      <c r="F237" s="26" t="s">
        <v>492</v>
      </c>
      <c r="G237" s="25" t="s">
        <v>869</v>
      </c>
      <c r="H237" s="25" t="s">
        <v>875</v>
      </c>
      <c r="I237" s="29">
        <v>14</v>
      </c>
      <c r="J237" s="31">
        <f>StockOutData[[#This Row],[Quantity]]*2.5</f>
        <v>35</v>
      </c>
    </row>
    <row r="238" spans="1:10" x14ac:dyDescent="0.25">
      <c r="A238" s="29">
        <v>237</v>
      </c>
      <c r="B238" s="30">
        <f t="shared" si="3"/>
        <v>43594</v>
      </c>
      <c r="C238" s="30"/>
      <c r="D238" s="30"/>
      <c r="E238" s="25" t="s">
        <v>493</v>
      </c>
      <c r="F238" s="26" t="s">
        <v>494</v>
      </c>
      <c r="G238" s="25" t="s">
        <v>869</v>
      </c>
      <c r="H238" s="25" t="s">
        <v>875</v>
      </c>
      <c r="I238" s="29">
        <v>13</v>
      </c>
      <c r="J238" s="31">
        <f>StockOutData[[#This Row],[Quantity]]*2.5</f>
        <v>32.5</v>
      </c>
    </row>
    <row r="239" spans="1:10" x14ac:dyDescent="0.25">
      <c r="A239" s="29">
        <v>238</v>
      </c>
      <c r="B239" s="30">
        <f t="shared" si="3"/>
        <v>43595</v>
      </c>
      <c r="C239" s="30"/>
      <c r="D239" s="30"/>
      <c r="E239" s="25" t="s">
        <v>495</v>
      </c>
      <c r="F239" s="26" t="s">
        <v>496</v>
      </c>
      <c r="G239" s="25" t="s">
        <v>869</v>
      </c>
      <c r="H239" s="25" t="s">
        <v>875</v>
      </c>
      <c r="I239" s="29">
        <v>5</v>
      </c>
      <c r="J239" s="31">
        <f>StockOutData[[#This Row],[Quantity]]*2.5</f>
        <v>12.5</v>
      </c>
    </row>
    <row r="240" spans="1:10" x14ac:dyDescent="0.25">
      <c r="A240" s="29">
        <v>239</v>
      </c>
      <c r="B240" s="30">
        <f t="shared" si="3"/>
        <v>43596</v>
      </c>
      <c r="C240" s="30"/>
      <c r="D240" s="30"/>
      <c r="E240" s="25" t="s">
        <v>497</v>
      </c>
      <c r="F240" s="26" t="s">
        <v>498</v>
      </c>
      <c r="G240" s="25" t="s">
        <v>869</v>
      </c>
      <c r="H240" s="25" t="s">
        <v>875</v>
      </c>
      <c r="I240" s="29">
        <v>7</v>
      </c>
      <c r="J240" s="31">
        <f>StockOutData[[#This Row],[Quantity]]*2.5</f>
        <v>17.5</v>
      </c>
    </row>
    <row r="241" spans="1:10" x14ac:dyDescent="0.25">
      <c r="A241" s="29">
        <v>240</v>
      </c>
      <c r="B241" s="30">
        <f t="shared" si="3"/>
        <v>43597</v>
      </c>
      <c r="C241" s="30"/>
      <c r="D241" s="30"/>
      <c r="E241" s="25" t="s">
        <v>499</v>
      </c>
      <c r="F241" s="26" t="s">
        <v>500</v>
      </c>
      <c r="G241" s="25" t="s">
        <v>869</v>
      </c>
      <c r="H241" s="25" t="s">
        <v>875</v>
      </c>
      <c r="I241" s="29">
        <v>15</v>
      </c>
      <c r="J241" s="31">
        <f>StockOutData[[#This Row],[Quantity]]*2.5</f>
        <v>37.5</v>
      </c>
    </row>
    <row r="242" spans="1:10" x14ac:dyDescent="0.25">
      <c r="A242" s="29">
        <v>241</v>
      </c>
      <c r="B242" s="30">
        <f t="shared" si="3"/>
        <v>43598</v>
      </c>
      <c r="C242" s="30"/>
      <c r="D242" s="30"/>
      <c r="E242" s="25" t="s">
        <v>501</v>
      </c>
      <c r="F242" s="26" t="s">
        <v>502</v>
      </c>
      <c r="G242" s="25" t="s">
        <v>869</v>
      </c>
      <c r="H242" s="25" t="s">
        <v>875</v>
      </c>
      <c r="I242" s="29">
        <v>18</v>
      </c>
      <c r="J242" s="31">
        <f>StockOutData[[#This Row],[Quantity]]*2.5</f>
        <v>45</v>
      </c>
    </row>
    <row r="243" spans="1:10" x14ac:dyDescent="0.25">
      <c r="A243" s="29">
        <v>242</v>
      </c>
      <c r="B243" s="30">
        <f t="shared" si="3"/>
        <v>43599</v>
      </c>
      <c r="C243" s="30"/>
      <c r="D243" s="30"/>
      <c r="E243" s="25" t="s">
        <v>503</v>
      </c>
      <c r="F243" s="26" t="s">
        <v>504</v>
      </c>
      <c r="G243" s="25" t="s">
        <v>869</v>
      </c>
      <c r="H243" s="25" t="s">
        <v>875</v>
      </c>
      <c r="I243" s="29">
        <v>12</v>
      </c>
      <c r="J243" s="31">
        <f>StockOutData[[#This Row],[Quantity]]*2.5</f>
        <v>30</v>
      </c>
    </row>
    <row r="244" spans="1:10" x14ac:dyDescent="0.25">
      <c r="A244" s="29">
        <v>243</v>
      </c>
      <c r="B244" s="30">
        <f t="shared" si="3"/>
        <v>43600</v>
      </c>
      <c r="C244" s="30"/>
      <c r="D244" s="30"/>
      <c r="E244" s="25" t="s">
        <v>505</v>
      </c>
      <c r="F244" s="26" t="s">
        <v>506</v>
      </c>
      <c r="G244" s="25" t="s">
        <v>869</v>
      </c>
      <c r="H244" s="25" t="s">
        <v>875</v>
      </c>
      <c r="I244" s="29">
        <v>14</v>
      </c>
      <c r="J244" s="31">
        <f>StockOutData[[#This Row],[Quantity]]*2.5</f>
        <v>35</v>
      </c>
    </row>
    <row r="245" spans="1:10" x14ac:dyDescent="0.25">
      <c r="A245" s="29">
        <v>244</v>
      </c>
      <c r="B245" s="30">
        <f t="shared" si="3"/>
        <v>43601</v>
      </c>
      <c r="C245" s="30"/>
      <c r="D245" s="30"/>
      <c r="E245" s="25" t="s">
        <v>507</v>
      </c>
      <c r="F245" s="26" t="s">
        <v>508</v>
      </c>
      <c r="G245" s="25" t="s">
        <v>869</v>
      </c>
      <c r="H245" s="25" t="s">
        <v>875</v>
      </c>
      <c r="I245" s="29">
        <v>13</v>
      </c>
      <c r="J245" s="31">
        <f>StockOutData[[#This Row],[Quantity]]*2.5</f>
        <v>32.5</v>
      </c>
    </row>
    <row r="246" spans="1:10" x14ac:dyDescent="0.25">
      <c r="A246" s="29">
        <v>245</v>
      </c>
      <c r="B246" s="30">
        <f t="shared" si="3"/>
        <v>43602</v>
      </c>
      <c r="C246" s="30"/>
      <c r="D246" s="30"/>
      <c r="E246" s="25" t="s">
        <v>509</v>
      </c>
      <c r="F246" s="26" t="s">
        <v>510</v>
      </c>
      <c r="G246" s="25" t="s">
        <v>869</v>
      </c>
      <c r="H246" s="25" t="s">
        <v>875</v>
      </c>
      <c r="I246" s="29">
        <v>5</v>
      </c>
      <c r="J246" s="31">
        <f>StockOutData[[#This Row],[Quantity]]*2.5</f>
        <v>12.5</v>
      </c>
    </row>
    <row r="247" spans="1:10" x14ac:dyDescent="0.25">
      <c r="A247" s="29">
        <v>246</v>
      </c>
      <c r="B247" s="30">
        <f t="shared" si="3"/>
        <v>43603</v>
      </c>
      <c r="C247" s="30"/>
      <c r="D247" s="30"/>
      <c r="E247" s="25" t="s">
        <v>511</v>
      </c>
      <c r="F247" s="26" t="s">
        <v>512</v>
      </c>
      <c r="G247" s="25" t="s">
        <v>869</v>
      </c>
      <c r="H247" s="25" t="s">
        <v>875</v>
      </c>
      <c r="I247" s="29">
        <v>7</v>
      </c>
      <c r="J247" s="31">
        <f>StockOutData[[#This Row],[Quantity]]*2.5</f>
        <v>17.5</v>
      </c>
    </row>
    <row r="248" spans="1:10" x14ac:dyDescent="0.25">
      <c r="A248" s="29">
        <v>247</v>
      </c>
      <c r="B248" s="30">
        <f t="shared" si="3"/>
        <v>43604</v>
      </c>
      <c r="C248" s="30"/>
      <c r="D248" s="30"/>
      <c r="E248" s="25" t="s">
        <v>513</v>
      </c>
      <c r="F248" s="26" t="s">
        <v>514</v>
      </c>
      <c r="G248" s="25" t="s">
        <v>869</v>
      </c>
      <c r="H248" s="25" t="s">
        <v>875</v>
      </c>
      <c r="I248" s="29">
        <v>15</v>
      </c>
      <c r="J248" s="31">
        <f>StockOutData[[#This Row],[Quantity]]*2.5</f>
        <v>37.5</v>
      </c>
    </row>
    <row r="249" spans="1:10" x14ac:dyDescent="0.25">
      <c r="A249" s="29">
        <v>248</v>
      </c>
      <c r="B249" s="30">
        <f t="shared" si="3"/>
        <v>43605</v>
      </c>
      <c r="C249" s="30"/>
      <c r="D249" s="30"/>
      <c r="E249" s="25" t="s">
        <v>515</v>
      </c>
      <c r="F249" s="26" t="s">
        <v>516</v>
      </c>
      <c r="G249" s="25" t="s">
        <v>869</v>
      </c>
      <c r="H249" s="25" t="s">
        <v>875</v>
      </c>
      <c r="I249" s="29">
        <v>18</v>
      </c>
      <c r="J249" s="31">
        <f>StockOutData[[#This Row],[Quantity]]*2.5</f>
        <v>45</v>
      </c>
    </row>
    <row r="250" spans="1:10" x14ac:dyDescent="0.25">
      <c r="A250" s="29">
        <v>249</v>
      </c>
      <c r="B250" s="30">
        <f t="shared" si="3"/>
        <v>43606</v>
      </c>
      <c r="C250" s="30"/>
      <c r="D250" s="30"/>
      <c r="E250" s="25" t="s">
        <v>517</v>
      </c>
      <c r="F250" s="26" t="s">
        <v>518</v>
      </c>
      <c r="G250" s="25" t="s">
        <v>869</v>
      </c>
      <c r="H250" s="25" t="s">
        <v>875</v>
      </c>
      <c r="I250" s="29">
        <v>12</v>
      </c>
      <c r="J250" s="31">
        <f>StockOutData[[#This Row],[Quantity]]*2.5</f>
        <v>30</v>
      </c>
    </row>
    <row r="251" spans="1:10" x14ac:dyDescent="0.25">
      <c r="A251" s="29">
        <v>250</v>
      </c>
      <c r="B251" s="30">
        <f t="shared" si="3"/>
        <v>43607</v>
      </c>
      <c r="C251" s="30"/>
      <c r="D251" s="30"/>
      <c r="E251" s="25" t="s">
        <v>519</v>
      </c>
      <c r="F251" s="26" t="s">
        <v>520</v>
      </c>
      <c r="G251" s="25" t="s">
        <v>869</v>
      </c>
      <c r="H251" s="25" t="s">
        <v>875</v>
      </c>
      <c r="I251" s="29">
        <v>10</v>
      </c>
      <c r="J251" s="31">
        <f>StockOutData[[#This Row],[Quantity]]*2.5</f>
        <v>25</v>
      </c>
    </row>
    <row r="252" spans="1:10" x14ac:dyDescent="0.25">
      <c r="A252" s="29">
        <v>251</v>
      </c>
      <c r="B252" s="30">
        <f t="shared" si="3"/>
        <v>43608</v>
      </c>
      <c r="C252" s="30"/>
      <c r="D252" s="30"/>
      <c r="E252" s="25" t="s">
        <v>521</v>
      </c>
      <c r="F252" s="26" t="s">
        <v>522</v>
      </c>
      <c r="G252" s="25" t="s">
        <v>869</v>
      </c>
      <c r="H252" s="25" t="s">
        <v>875</v>
      </c>
      <c r="I252" s="29">
        <v>10</v>
      </c>
      <c r="J252" s="31">
        <f>StockOutData[[#This Row],[Quantity]]*2.5</f>
        <v>25</v>
      </c>
    </row>
    <row r="253" spans="1:10" x14ac:dyDescent="0.25">
      <c r="A253" s="29">
        <v>252</v>
      </c>
      <c r="B253" s="30">
        <f t="shared" si="3"/>
        <v>43609</v>
      </c>
      <c r="C253" s="30"/>
      <c r="D253" s="30"/>
      <c r="E253" s="25" t="s">
        <v>523</v>
      </c>
      <c r="F253" s="26" t="s">
        <v>524</v>
      </c>
      <c r="G253" s="25" t="s">
        <v>869</v>
      </c>
      <c r="H253" s="25" t="s">
        <v>875</v>
      </c>
      <c r="I253" s="29">
        <v>10</v>
      </c>
      <c r="J253" s="31">
        <f>StockOutData[[#This Row],[Quantity]]*2.5</f>
        <v>25</v>
      </c>
    </row>
    <row r="254" spans="1:10" x14ac:dyDescent="0.25">
      <c r="A254" s="29">
        <v>253</v>
      </c>
      <c r="B254" s="30">
        <f t="shared" si="3"/>
        <v>43610</v>
      </c>
      <c r="C254" s="30"/>
      <c r="D254" s="30"/>
      <c r="E254" s="25" t="s">
        <v>525</v>
      </c>
      <c r="F254" s="26" t="s">
        <v>526</v>
      </c>
      <c r="G254" s="25" t="s">
        <v>869</v>
      </c>
      <c r="H254" s="25" t="s">
        <v>875</v>
      </c>
      <c r="I254" s="29">
        <v>10</v>
      </c>
      <c r="J254" s="31">
        <f>StockOutData[[#This Row],[Quantity]]*2.5</f>
        <v>25</v>
      </c>
    </row>
    <row r="255" spans="1:10" x14ac:dyDescent="0.25">
      <c r="A255" s="29">
        <v>254</v>
      </c>
      <c r="B255" s="30">
        <f t="shared" si="3"/>
        <v>43611</v>
      </c>
      <c r="C255" s="30"/>
      <c r="D255" s="30"/>
      <c r="E255" s="25" t="s">
        <v>527</v>
      </c>
      <c r="F255" s="26" t="s">
        <v>528</v>
      </c>
      <c r="G255" s="25" t="s">
        <v>869</v>
      </c>
      <c r="H255" s="25" t="s">
        <v>875</v>
      </c>
      <c r="I255" s="29">
        <v>7</v>
      </c>
      <c r="J255" s="31">
        <f>StockOutData[[#This Row],[Quantity]]*2.5</f>
        <v>17.5</v>
      </c>
    </row>
    <row r="256" spans="1:10" x14ac:dyDescent="0.25">
      <c r="A256" s="29">
        <v>255</v>
      </c>
      <c r="B256" s="30">
        <f t="shared" si="3"/>
        <v>43612</v>
      </c>
      <c r="C256" s="30"/>
      <c r="D256" s="30"/>
      <c r="E256" s="25" t="s">
        <v>529</v>
      </c>
      <c r="F256" s="26" t="s">
        <v>530</v>
      </c>
      <c r="G256" s="25" t="s">
        <v>869</v>
      </c>
      <c r="H256" s="25" t="s">
        <v>875</v>
      </c>
      <c r="I256" s="29">
        <v>15</v>
      </c>
      <c r="J256" s="31">
        <f>StockOutData[[#This Row],[Quantity]]*2.5</f>
        <v>37.5</v>
      </c>
    </row>
    <row r="257" spans="1:10" x14ac:dyDescent="0.25">
      <c r="A257" s="29">
        <v>256</v>
      </c>
      <c r="B257" s="30">
        <f t="shared" si="3"/>
        <v>43613</v>
      </c>
      <c r="C257" s="30"/>
      <c r="D257" s="30"/>
      <c r="E257" s="25" t="s">
        <v>531</v>
      </c>
      <c r="F257" s="26" t="s">
        <v>532</v>
      </c>
      <c r="G257" s="25" t="s">
        <v>869</v>
      </c>
      <c r="H257" s="25" t="s">
        <v>875</v>
      </c>
      <c r="I257" s="29">
        <v>18</v>
      </c>
      <c r="J257" s="31">
        <f>StockOutData[[#This Row],[Quantity]]*2.5</f>
        <v>45</v>
      </c>
    </row>
    <row r="258" spans="1:10" x14ac:dyDescent="0.25">
      <c r="A258" s="29">
        <v>257</v>
      </c>
      <c r="B258" s="30">
        <f t="shared" si="3"/>
        <v>43614</v>
      </c>
      <c r="C258" s="30"/>
      <c r="D258" s="30"/>
      <c r="E258" s="25" t="s">
        <v>533</v>
      </c>
      <c r="F258" s="26" t="s">
        <v>534</v>
      </c>
      <c r="G258" s="25" t="s">
        <v>869</v>
      </c>
      <c r="H258" s="25" t="s">
        <v>875</v>
      </c>
      <c r="I258" s="29">
        <v>12</v>
      </c>
      <c r="J258" s="31">
        <f>StockOutData[[#This Row],[Quantity]]*2.5</f>
        <v>30</v>
      </c>
    </row>
    <row r="259" spans="1:10" x14ac:dyDescent="0.25">
      <c r="A259" s="29">
        <v>258</v>
      </c>
      <c r="B259" s="30">
        <f t="shared" si="3"/>
        <v>43615</v>
      </c>
      <c r="C259" s="30"/>
      <c r="D259" s="30"/>
      <c r="E259" s="25" t="s">
        <v>535</v>
      </c>
      <c r="F259" s="26" t="s">
        <v>536</v>
      </c>
      <c r="G259" s="25" t="s">
        <v>869</v>
      </c>
      <c r="H259" s="25" t="s">
        <v>875</v>
      </c>
      <c r="I259" s="29">
        <v>14</v>
      </c>
      <c r="J259" s="31">
        <f>StockOutData[[#This Row],[Quantity]]*2.5</f>
        <v>35</v>
      </c>
    </row>
    <row r="260" spans="1:10" x14ac:dyDescent="0.25">
      <c r="A260" s="29">
        <v>259</v>
      </c>
      <c r="B260" s="30">
        <f t="shared" ref="B260:B323" si="4">B259+1</f>
        <v>43616</v>
      </c>
      <c r="C260" s="30"/>
      <c r="D260" s="30"/>
      <c r="E260" s="25" t="s">
        <v>537</v>
      </c>
      <c r="F260" s="26" t="s">
        <v>538</v>
      </c>
      <c r="G260" s="25" t="s">
        <v>869</v>
      </c>
      <c r="H260" s="25" t="s">
        <v>875</v>
      </c>
      <c r="I260" s="29">
        <v>13</v>
      </c>
      <c r="J260" s="31">
        <f>StockOutData[[#This Row],[Quantity]]*2.5</f>
        <v>32.5</v>
      </c>
    </row>
    <row r="261" spans="1:10" x14ac:dyDescent="0.25">
      <c r="A261" s="29">
        <v>260</v>
      </c>
      <c r="B261" s="30">
        <f t="shared" si="4"/>
        <v>43617</v>
      </c>
      <c r="C261" s="30"/>
      <c r="D261" s="30"/>
      <c r="E261" s="25" t="s">
        <v>539</v>
      </c>
      <c r="F261" s="26" t="s">
        <v>540</v>
      </c>
      <c r="G261" s="25" t="s">
        <v>869</v>
      </c>
      <c r="H261" s="25" t="s">
        <v>875</v>
      </c>
      <c r="I261" s="29">
        <v>5</v>
      </c>
      <c r="J261" s="31">
        <f>StockOutData[[#This Row],[Quantity]]*2.5</f>
        <v>12.5</v>
      </c>
    </row>
    <row r="262" spans="1:10" x14ac:dyDescent="0.25">
      <c r="A262" s="29">
        <v>261</v>
      </c>
      <c r="B262" s="30">
        <f t="shared" si="4"/>
        <v>43618</v>
      </c>
      <c r="C262" s="30"/>
      <c r="D262" s="30"/>
      <c r="E262" s="25" t="s">
        <v>541</v>
      </c>
      <c r="F262" s="26" t="s">
        <v>542</v>
      </c>
      <c r="G262" s="25" t="s">
        <v>869</v>
      </c>
      <c r="H262" s="25" t="s">
        <v>875</v>
      </c>
      <c r="I262" s="29">
        <v>7</v>
      </c>
      <c r="J262" s="31">
        <f>StockOutData[[#This Row],[Quantity]]*2.5</f>
        <v>17.5</v>
      </c>
    </row>
    <row r="263" spans="1:10" x14ac:dyDescent="0.25">
      <c r="A263" s="29">
        <v>262</v>
      </c>
      <c r="B263" s="30">
        <f t="shared" si="4"/>
        <v>43619</v>
      </c>
      <c r="C263" s="30"/>
      <c r="D263" s="30"/>
      <c r="E263" s="25" t="s">
        <v>543</v>
      </c>
      <c r="F263" s="26" t="s">
        <v>544</v>
      </c>
      <c r="G263" s="25" t="s">
        <v>869</v>
      </c>
      <c r="H263" s="25" t="s">
        <v>875</v>
      </c>
      <c r="I263" s="29">
        <v>15</v>
      </c>
      <c r="J263" s="31">
        <f>StockOutData[[#This Row],[Quantity]]*2.5</f>
        <v>37.5</v>
      </c>
    </row>
    <row r="264" spans="1:10" x14ac:dyDescent="0.25">
      <c r="A264" s="29">
        <v>263</v>
      </c>
      <c r="B264" s="30">
        <f t="shared" si="4"/>
        <v>43620</v>
      </c>
      <c r="C264" s="30"/>
      <c r="D264" s="30"/>
      <c r="E264" s="25" t="s">
        <v>545</v>
      </c>
      <c r="F264" s="26" t="s">
        <v>546</v>
      </c>
      <c r="G264" s="25" t="s">
        <v>869</v>
      </c>
      <c r="H264" s="25" t="s">
        <v>875</v>
      </c>
      <c r="I264" s="29">
        <v>18</v>
      </c>
      <c r="J264" s="31">
        <f>StockOutData[[#This Row],[Quantity]]*2.5</f>
        <v>45</v>
      </c>
    </row>
    <row r="265" spans="1:10" x14ac:dyDescent="0.25">
      <c r="A265" s="29">
        <v>264</v>
      </c>
      <c r="B265" s="30">
        <f t="shared" si="4"/>
        <v>43621</v>
      </c>
      <c r="C265" s="30"/>
      <c r="D265" s="30"/>
      <c r="E265" s="25" t="s">
        <v>547</v>
      </c>
      <c r="F265" s="26" t="s">
        <v>548</v>
      </c>
      <c r="G265" s="25" t="s">
        <v>869</v>
      </c>
      <c r="H265" s="25" t="s">
        <v>875</v>
      </c>
      <c r="I265" s="29">
        <v>12</v>
      </c>
      <c r="J265" s="31">
        <f>StockOutData[[#This Row],[Quantity]]*2.5</f>
        <v>30</v>
      </c>
    </row>
    <row r="266" spans="1:10" x14ac:dyDescent="0.25">
      <c r="A266" s="29">
        <v>265</v>
      </c>
      <c r="B266" s="30">
        <f t="shared" si="4"/>
        <v>43622</v>
      </c>
      <c r="C266" s="30"/>
      <c r="D266" s="30"/>
      <c r="E266" s="25" t="s">
        <v>549</v>
      </c>
      <c r="F266" s="26" t="s">
        <v>550</v>
      </c>
      <c r="G266" s="25" t="s">
        <v>869</v>
      </c>
      <c r="H266" s="25" t="s">
        <v>875</v>
      </c>
      <c r="I266" s="29">
        <v>14</v>
      </c>
      <c r="J266" s="31">
        <f>StockOutData[[#This Row],[Quantity]]*2.5</f>
        <v>35</v>
      </c>
    </row>
    <row r="267" spans="1:10" x14ac:dyDescent="0.25">
      <c r="A267" s="29">
        <v>266</v>
      </c>
      <c r="B267" s="30">
        <f t="shared" si="4"/>
        <v>43623</v>
      </c>
      <c r="C267" s="30"/>
      <c r="D267" s="30"/>
      <c r="E267" s="25" t="s">
        <v>551</v>
      </c>
      <c r="F267" s="26" t="s">
        <v>552</v>
      </c>
      <c r="G267" s="25" t="s">
        <v>869</v>
      </c>
      <c r="H267" s="25" t="s">
        <v>875</v>
      </c>
      <c r="I267" s="29">
        <v>13</v>
      </c>
      <c r="J267" s="31">
        <f>StockOutData[[#This Row],[Quantity]]*2.5</f>
        <v>32.5</v>
      </c>
    </row>
    <row r="268" spans="1:10" x14ac:dyDescent="0.25">
      <c r="A268" s="29">
        <v>267</v>
      </c>
      <c r="B268" s="30">
        <f t="shared" si="4"/>
        <v>43624</v>
      </c>
      <c r="C268" s="30"/>
      <c r="D268" s="30"/>
      <c r="E268" s="25" t="s">
        <v>553</v>
      </c>
      <c r="F268" s="26" t="s">
        <v>554</v>
      </c>
      <c r="G268" s="25" t="s">
        <v>869</v>
      </c>
      <c r="H268" s="25" t="s">
        <v>875</v>
      </c>
      <c r="I268" s="29">
        <v>5</v>
      </c>
      <c r="J268" s="31">
        <f>StockOutData[[#This Row],[Quantity]]*2.5</f>
        <v>12.5</v>
      </c>
    </row>
    <row r="269" spans="1:10" x14ac:dyDescent="0.25">
      <c r="A269" s="29">
        <v>268</v>
      </c>
      <c r="B269" s="30">
        <f t="shared" si="4"/>
        <v>43625</v>
      </c>
      <c r="C269" s="30"/>
      <c r="D269" s="30"/>
      <c r="E269" s="25" t="s">
        <v>555</v>
      </c>
      <c r="F269" s="26" t="s">
        <v>556</v>
      </c>
      <c r="G269" s="25" t="s">
        <v>869</v>
      </c>
      <c r="H269" s="25" t="s">
        <v>875</v>
      </c>
      <c r="I269" s="29">
        <v>7</v>
      </c>
      <c r="J269" s="31">
        <f>StockOutData[[#This Row],[Quantity]]*2.5</f>
        <v>17.5</v>
      </c>
    </row>
    <row r="270" spans="1:10" x14ac:dyDescent="0.25">
      <c r="A270" s="29">
        <v>269</v>
      </c>
      <c r="B270" s="30">
        <f t="shared" si="4"/>
        <v>43626</v>
      </c>
      <c r="C270" s="30"/>
      <c r="D270" s="30"/>
      <c r="E270" s="25" t="s">
        <v>557</v>
      </c>
      <c r="F270" s="26" t="s">
        <v>558</v>
      </c>
      <c r="G270" s="25" t="s">
        <v>869</v>
      </c>
      <c r="H270" s="25" t="s">
        <v>875</v>
      </c>
      <c r="I270" s="29">
        <v>15</v>
      </c>
      <c r="J270" s="31">
        <f>StockOutData[[#This Row],[Quantity]]*2.5</f>
        <v>37.5</v>
      </c>
    </row>
    <row r="271" spans="1:10" x14ac:dyDescent="0.25">
      <c r="A271" s="29">
        <v>270</v>
      </c>
      <c r="B271" s="30">
        <f t="shared" si="4"/>
        <v>43627</v>
      </c>
      <c r="C271" s="30"/>
      <c r="D271" s="30"/>
      <c r="E271" s="25" t="s">
        <v>559</v>
      </c>
      <c r="F271" s="26" t="s">
        <v>560</v>
      </c>
      <c r="G271" s="25" t="s">
        <v>869</v>
      </c>
      <c r="H271" s="25" t="s">
        <v>875</v>
      </c>
      <c r="I271" s="29">
        <v>18</v>
      </c>
      <c r="J271" s="31">
        <f>StockOutData[[#This Row],[Quantity]]*2.5</f>
        <v>45</v>
      </c>
    </row>
    <row r="272" spans="1:10" x14ac:dyDescent="0.25">
      <c r="A272" s="29">
        <v>271</v>
      </c>
      <c r="B272" s="30">
        <f t="shared" si="4"/>
        <v>43628</v>
      </c>
      <c r="C272" s="30"/>
      <c r="D272" s="30"/>
      <c r="E272" s="25" t="s">
        <v>561</v>
      </c>
      <c r="F272" s="26" t="s">
        <v>562</v>
      </c>
      <c r="G272" s="25" t="s">
        <v>869</v>
      </c>
      <c r="H272" s="25" t="s">
        <v>875</v>
      </c>
      <c r="I272" s="29">
        <v>12</v>
      </c>
      <c r="J272" s="31">
        <f>StockOutData[[#This Row],[Quantity]]*2.5</f>
        <v>30</v>
      </c>
    </row>
    <row r="273" spans="1:10" x14ac:dyDescent="0.25">
      <c r="A273" s="29">
        <v>272</v>
      </c>
      <c r="B273" s="30">
        <f t="shared" si="4"/>
        <v>43629</v>
      </c>
      <c r="C273" s="30"/>
      <c r="D273" s="30"/>
      <c r="E273" s="25" t="s">
        <v>563</v>
      </c>
      <c r="F273" s="26" t="s">
        <v>564</v>
      </c>
      <c r="G273" s="25" t="s">
        <v>869</v>
      </c>
      <c r="H273" s="25" t="s">
        <v>875</v>
      </c>
      <c r="I273" s="29">
        <v>10</v>
      </c>
      <c r="J273" s="31">
        <f>StockOutData[[#This Row],[Quantity]]*2.5</f>
        <v>25</v>
      </c>
    </row>
    <row r="274" spans="1:10" x14ac:dyDescent="0.25">
      <c r="A274" s="29">
        <v>273</v>
      </c>
      <c r="B274" s="30">
        <f t="shared" si="4"/>
        <v>43630</v>
      </c>
      <c r="C274" s="30"/>
      <c r="D274" s="30"/>
      <c r="E274" s="25" t="s">
        <v>565</v>
      </c>
      <c r="F274" s="26" t="s">
        <v>566</v>
      </c>
      <c r="G274" s="25" t="s">
        <v>869</v>
      </c>
      <c r="H274" s="25" t="s">
        <v>875</v>
      </c>
      <c r="I274" s="29">
        <v>10</v>
      </c>
      <c r="J274" s="31">
        <f>StockOutData[[#This Row],[Quantity]]*2.5</f>
        <v>25</v>
      </c>
    </row>
    <row r="275" spans="1:10" x14ac:dyDescent="0.25">
      <c r="A275" s="29">
        <v>274</v>
      </c>
      <c r="B275" s="30">
        <f t="shared" si="4"/>
        <v>43631</v>
      </c>
      <c r="C275" s="30"/>
      <c r="D275" s="30"/>
      <c r="E275" s="25" t="s">
        <v>567</v>
      </c>
      <c r="F275" s="26" t="s">
        <v>568</v>
      </c>
      <c r="G275" s="25" t="s">
        <v>869</v>
      </c>
      <c r="H275" s="25" t="s">
        <v>875</v>
      </c>
      <c r="I275" s="29">
        <v>10</v>
      </c>
      <c r="J275" s="31">
        <f>StockOutData[[#This Row],[Quantity]]*2.5</f>
        <v>25</v>
      </c>
    </row>
    <row r="276" spans="1:10" x14ac:dyDescent="0.25">
      <c r="A276" s="29">
        <v>275</v>
      </c>
      <c r="B276" s="30">
        <f t="shared" si="4"/>
        <v>43632</v>
      </c>
      <c r="C276" s="30"/>
      <c r="D276" s="30"/>
      <c r="E276" s="25" t="s">
        <v>569</v>
      </c>
      <c r="F276" s="26" t="s">
        <v>570</v>
      </c>
      <c r="G276" s="25" t="s">
        <v>869</v>
      </c>
      <c r="H276" s="25" t="s">
        <v>875</v>
      </c>
      <c r="I276" s="29">
        <v>10</v>
      </c>
      <c r="J276" s="31">
        <f>StockOutData[[#This Row],[Quantity]]*2.5</f>
        <v>25</v>
      </c>
    </row>
    <row r="277" spans="1:10" x14ac:dyDescent="0.25">
      <c r="A277" s="29">
        <v>276</v>
      </c>
      <c r="B277" s="30">
        <f t="shared" si="4"/>
        <v>43633</v>
      </c>
      <c r="C277" s="30"/>
      <c r="D277" s="30"/>
      <c r="E277" s="25" t="s">
        <v>571</v>
      </c>
      <c r="F277" s="26" t="s">
        <v>572</v>
      </c>
      <c r="G277" s="25" t="s">
        <v>869</v>
      </c>
      <c r="H277" s="25" t="s">
        <v>875</v>
      </c>
      <c r="I277" s="29">
        <v>7</v>
      </c>
      <c r="J277" s="31">
        <f>StockOutData[[#This Row],[Quantity]]*2.5</f>
        <v>17.5</v>
      </c>
    </row>
    <row r="278" spans="1:10" x14ac:dyDescent="0.25">
      <c r="A278" s="29">
        <v>277</v>
      </c>
      <c r="B278" s="30">
        <f t="shared" si="4"/>
        <v>43634</v>
      </c>
      <c r="C278" s="30"/>
      <c r="D278" s="30"/>
      <c r="E278" s="25" t="s">
        <v>573</v>
      </c>
      <c r="F278" s="26" t="s">
        <v>574</v>
      </c>
      <c r="G278" s="25" t="s">
        <v>869</v>
      </c>
      <c r="H278" s="25" t="s">
        <v>875</v>
      </c>
      <c r="I278" s="29">
        <v>15</v>
      </c>
      <c r="J278" s="31">
        <f>StockOutData[[#This Row],[Quantity]]*2.5</f>
        <v>37.5</v>
      </c>
    </row>
    <row r="279" spans="1:10" x14ac:dyDescent="0.25">
      <c r="A279" s="29">
        <v>278</v>
      </c>
      <c r="B279" s="30">
        <f t="shared" si="4"/>
        <v>43635</v>
      </c>
      <c r="C279" s="30"/>
      <c r="D279" s="30"/>
      <c r="E279" s="25" t="s">
        <v>575</v>
      </c>
      <c r="F279" s="26" t="s">
        <v>576</v>
      </c>
      <c r="G279" s="25" t="s">
        <v>869</v>
      </c>
      <c r="H279" s="25" t="s">
        <v>875</v>
      </c>
      <c r="I279" s="29">
        <v>18</v>
      </c>
      <c r="J279" s="31">
        <f>StockOutData[[#This Row],[Quantity]]*2.5</f>
        <v>45</v>
      </c>
    </row>
    <row r="280" spans="1:10" x14ac:dyDescent="0.25">
      <c r="A280" s="29">
        <v>279</v>
      </c>
      <c r="B280" s="30">
        <f t="shared" si="4"/>
        <v>43636</v>
      </c>
      <c r="C280" s="30"/>
      <c r="D280" s="30"/>
      <c r="E280" s="25" t="s">
        <v>577</v>
      </c>
      <c r="F280" s="26" t="s">
        <v>578</v>
      </c>
      <c r="G280" s="25" t="s">
        <v>869</v>
      </c>
      <c r="H280" s="25" t="s">
        <v>875</v>
      </c>
      <c r="I280" s="29">
        <v>12</v>
      </c>
      <c r="J280" s="31">
        <f>StockOutData[[#This Row],[Quantity]]*2.5</f>
        <v>30</v>
      </c>
    </row>
    <row r="281" spans="1:10" x14ac:dyDescent="0.25">
      <c r="A281" s="29">
        <v>280</v>
      </c>
      <c r="B281" s="30">
        <f t="shared" si="4"/>
        <v>43637</v>
      </c>
      <c r="C281" s="30"/>
      <c r="D281" s="30"/>
      <c r="E281" s="25" t="s">
        <v>579</v>
      </c>
      <c r="F281" s="26" t="s">
        <v>580</v>
      </c>
      <c r="G281" s="25" t="s">
        <v>869</v>
      </c>
      <c r="H281" s="25" t="s">
        <v>875</v>
      </c>
      <c r="I281" s="29">
        <v>14</v>
      </c>
      <c r="J281" s="31">
        <f>StockOutData[[#This Row],[Quantity]]*2.5</f>
        <v>35</v>
      </c>
    </row>
    <row r="282" spans="1:10" x14ac:dyDescent="0.25">
      <c r="A282" s="29">
        <v>281</v>
      </c>
      <c r="B282" s="30">
        <f t="shared" si="4"/>
        <v>43638</v>
      </c>
      <c r="C282" s="30"/>
      <c r="D282" s="30"/>
      <c r="E282" s="25" t="s">
        <v>581</v>
      </c>
      <c r="F282" s="26" t="s">
        <v>582</v>
      </c>
      <c r="G282" s="25" t="s">
        <v>869</v>
      </c>
      <c r="H282" s="25" t="s">
        <v>875</v>
      </c>
      <c r="I282" s="29">
        <v>13</v>
      </c>
      <c r="J282" s="31">
        <f>StockOutData[[#This Row],[Quantity]]*2.5</f>
        <v>32.5</v>
      </c>
    </row>
    <row r="283" spans="1:10" x14ac:dyDescent="0.25">
      <c r="A283" s="29">
        <v>282</v>
      </c>
      <c r="B283" s="30">
        <f t="shared" si="4"/>
        <v>43639</v>
      </c>
      <c r="C283" s="30"/>
      <c r="D283" s="30"/>
      <c r="E283" s="25" t="s">
        <v>583</v>
      </c>
      <c r="F283" s="26" t="s">
        <v>584</v>
      </c>
      <c r="G283" s="25" t="s">
        <v>869</v>
      </c>
      <c r="H283" s="25" t="s">
        <v>875</v>
      </c>
      <c r="I283" s="29">
        <v>5</v>
      </c>
      <c r="J283" s="31">
        <f>StockOutData[[#This Row],[Quantity]]*2.5</f>
        <v>12.5</v>
      </c>
    </row>
    <row r="284" spans="1:10" x14ac:dyDescent="0.25">
      <c r="A284" s="29">
        <v>283</v>
      </c>
      <c r="B284" s="30">
        <f t="shared" si="4"/>
        <v>43640</v>
      </c>
      <c r="C284" s="30"/>
      <c r="D284" s="30"/>
      <c r="E284" s="25" t="s">
        <v>585</v>
      </c>
      <c r="F284" s="26" t="s">
        <v>586</v>
      </c>
      <c r="G284" s="25" t="s">
        <v>869</v>
      </c>
      <c r="H284" s="25" t="s">
        <v>875</v>
      </c>
      <c r="I284" s="29">
        <v>7</v>
      </c>
      <c r="J284" s="31">
        <f>StockOutData[[#This Row],[Quantity]]*2.5</f>
        <v>17.5</v>
      </c>
    </row>
    <row r="285" spans="1:10" x14ac:dyDescent="0.25">
      <c r="A285" s="29">
        <v>284</v>
      </c>
      <c r="B285" s="30">
        <f t="shared" si="4"/>
        <v>43641</v>
      </c>
      <c r="C285" s="30"/>
      <c r="D285" s="30"/>
      <c r="E285" s="25" t="s">
        <v>587</v>
      </c>
      <c r="F285" s="26" t="s">
        <v>588</v>
      </c>
      <c r="G285" s="25" t="s">
        <v>869</v>
      </c>
      <c r="H285" s="25" t="s">
        <v>875</v>
      </c>
      <c r="I285" s="29">
        <v>15</v>
      </c>
      <c r="J285" s="31">
        <f>StockOutData[[#This Row],[Quantity]]*2.5</f>
        <v>37.5</v>
      </c>
    </row>
    <row r="286" spans="1:10" x14ac:dyDescent="0.25">
      <c r="A286" s="29">
        <v>285</v>
      </c>
      <c r="B286" s="30">
        <f t="shared" si="4"/>
        <v>43642</v>
      </c>
      <c r="C286" s="30"/>
      <c r="D286" s="30"/>
      <c r="E286" s="25" t="s">
        <v>589</v>
      </c>
      <c r="F286" s="26" t="s">
        <v>590</v>
      </c>
      <c r="G286" s="25" t="s">
        <v>869</v>
      </c>
      <c r="H286" s="25" t="s">
        <v>875</v>
      </c>
      <c r="I286" s="29">
        <v>18</v>
      </c>
      <c r="J286" s="31">
        <f>StockOutData[[#This Row],[Quantity]]*2.5</f>
        <v>45</v>
      </c>
    </row>
    <row r="287" spans="1:10" x14ac:dyDescent="0.25">
      <c r="A287" s="29">
        <v>286</v>
      </c>
      <c r="B287" s="30">
        <f t="shared" si="4"/>
        <v>43643</v>
      </c>
      <c r="C287" s="30"/>
      <c r="D287" s="30"/>
      <c r="E287" s="25" t="s">
        <v>591</v>
      </c>
      <c r="F287" s="26" t="s">
        <v>592</v>
      </c>
      <c r="G287" s="25" t="s">
        <v>869</v>
      </c>
      <c r="H287" s="25" t="s">
        <v>875</v>
      </c>
      <c r="I287" s="29">
        <v>12</v>
      </c>
      <c r="J287" s="31">
        <f>StockOutData[[#This Row],[Quantity]]*2.5</f>
        <v>30</v>
      </c>
    </row>
    <row r="288" spans="1:10" x14ac:dyDescent="0.25">
      <c r="A288" s="29">
        <v>287</v>
      </c>
      <c r="B288" s="30">
        <f t="shared" si="4"/>
        <v>43644</v>
      </c>
      <c r="C288" s="30"/>
      <c r="D288" s="30"/>
      <c r="E288" s="25" t="s">
        <v>593</v>
      </c>
      <c r="F288" s="26" t="s">
        <v>594</v>
      </c>
      <c r="G288" s="25" t="s">
        <v>869</v>
      </c>
      <c r="H288" s="25" t="s">
        <v>875</v>
      </c>
      <c r="I288" s="29">
        <v>14</v>
      </c>
      <c r="J288" s="31">
        <f>StockOutData[[#This Row],[Quantity]]*2.5</f>
        <v>35</v>
      </c>
    </row>
    <row r="289" spans="1:10" x14ac:dyDescent="0.25">
      <c r="A289" s="29">
        <v>288</v>
      </c>
      <c r="B289" s="30">
        <f t="shared" si="4"/>
        <v>43645</v>
      </c>
      <c r="C289" s="30"/>
      <c r="D289" s="30"/>
      <c r="E289" s="25" t="s">
        <v>595</v>
      </c>
      <c r="F289" s="26" t="s">
        <v>596</v>
      </c>
      <c r="G289" s="25" t="s">
        <v>869</v>
      </c>
      <c r="H289" s="25" t="s">
        <v>875</v>
      </c>
      <c r="I289" s="29">
        <v>13</v>
      </c>
      <c r="J289" s="31">
        <f>StockOutData[[#This Row],[Quantity]]*2.5</f>
        <v>32.5</v>
      </c>
    </row>
    <row r="290" spans="1:10" x14ac:dyDescent="0.25">
      <c r="A290" s="29">
        <v>289</v>
      </c>
      <c r="B290" s="30">
        <f t="shared" si="4"/>
        <v>43646</v>
      </c>
      <c r="C290" s="30"/>
      <c r="D290" s="30"/>
      <c r="E290" s="25" t="s">
        <v>597</v>
      </c>
      <c r="F290" s="26" t="s">
        <v>598</v>
      </c>
      <c r="G290" s="25" t="s">
        <v>869</v>
      </c>
      <c r="H290" s="25" t="s">
        <v>875</v>
      </c>
      <c r="I290" s="29">
        <v>5</v>
      </c>
      <c r="J290" s="31">
        <f>StockOutData[[#This Row],[Quantity]]*2.5</f>
        <v>12.5</v>
      </c>
    </row>
    <row r="291" spans="1:10" x14ac:dyDescent="0.25">
      <c r="A291" s="29">
        <v>290</v>
      </c>
      <c r="B291" s="30">
        <f t="shared" si="4"/>
        <v>43647</v>
      </c>
      <c r="C291" s="30"/>
      <c r="D291" s="30"/>
      <c r="E291" s="25" t="s">
        <v>599</v>
      </c>
      <c r="F291" s="26" t="s">
        <v>600</v>
      </c>
      <c r="G291" s="25" t="s">
        <v>869</v>
      </c>
      <c r="H291" s="25" t="s">
        <v>875</v>
      </c>
      <c r="I291" s="29">
        <v>7</v>
      </c>
      <c r="J291" s="31">
        <f>StockOutData[[#This Row],[Quantity]]*2.5</f>
        <v>17.5</v>
      </c>
    </row>
    <row r="292" spans="1:10" x14ac:dyDescent="0.25">
      <c r="A292" s="29">
        <v>291</v>
      </c>
      <c r="B292" s="30">
        <f t="shared" si="4"/>
        <v>43648</v>
      </c>
      <c r="C292" s="30"/>
      <c r="D292" s="30"/>
      <c r="E292" s="25" t="s">
        <v>601</v>
      </c>
      <c r="F292" s="26" t="s">
        <v>602</v>
      </c>
      <c r="G292" s="25" t="s">
        <v>869</v>
      </c>
      <c r="H292" s="25" t="s">
        <v>875</v>
      </c>
      <c r="I292" s="29">
        <v>15</v>
      </c>
      <c r="J292" s="31">
        <f>StockOutData[[#This Row],[Quantity]]*2.5</f>
        <v>37.5</v>
      </c>
    </row>
    <row r="293" spans="1:10" x14ac:dyDescent="0.25">
      <c r="A293" s="29">
        <v>292</v>
      </c>
      <c r="B293" s="30">
        <f t="shared" si="4"/>
        <v>43649</v>
      </c>
      <c r="C293" s="30"/>
      <c r="D293" s="30"/>
      <c r="E293" s="27" t="s">
        <v>603</v>
      </c>
      <c r="F293" s="28" t="s">
        <v>604</v>
      </c>
      <c r="G293" s="25" t="s">
        <v>869</v>
      </c>
      <c r="H293" s="25" t="s">
        <v>875</v>
      </c>
      <c r="I293" s="29">
        <v>18</v>
      </c>
      <c r="J293" s="31">
        <f>StockOutData[[#This Row],[Quantity]]*2.5</f>
        <v>45</v>
      </c>
    </row>
    <row r="294" spans="1:10" x14ac:dyDescent="0.25">
      <c r="A294" s="29">
        <v>293</v>
      </c>
      <c r="B294" s="30">
        <f t="shared" si="4"/>
        <v>43650</v>
      </c>
      <c r="C294" s="30"/>
      <c r="D294" s="30"/>
      <c r="E294" s="27" t="s">
        <v>605</v>
      </c>
      <c r="F294" s="28" t="s">
        <v>606</v>
      </c>
      <c r="G294" s="25" t="s">
        <v>869</v>
      </c>
      <c r="H294" s="25" t="s">
        <v>875</v>
      </c>
      <c r="I294" s="29">
        <v>12</v>
      </c>
      <c r="J294" s="31">
        <f>StockOutData[[#This Row],[Quantity]]*2.5</f>
        <v>30</v>
      </c>
    </row>
    <row r="295" spans="1:10" x14ac:dyDescent="0.25">
      <c r="A295" s="29">
        <v>294</v>
      </c>
      <c r="B295" s="30">
        <f t="shared" si="4"/>
        <v>43651</v>
      </c>
      <c r="C295" s="30"/>
      <c r="D295" s="30"/>
      <c r="E295" s="27" t="s">
        <v>607</v>
      </c>
      <c r="F295" s="28" t="s">
        <v>608</v>
      </c>
      <c r="G295" s="25" t="s">
        <v>869</v>
      </c>
      <c r="H295" s="25" t="s">
        <v>875</v>
      </c>
      <c r="I295" s="29">
        <v>10</v>
      </c>
      <c r="J295" s="31">
        <f>StockOutData[[#This Row],[Quantity]]*2.5</f>
        <v>25</v>
      </c>
    </row>
    <row r="296" spans="1:10" x14ac:dyDescent="0.25">
      <c r="A296" s="29">
        <v>295</v>
      </c>
      <c r="B296" s="30">
        <f t="shared" si="4"/>
        <v>43652</v>
      </c>
      <c r="C296" s="30"/>
      <c r="D296" s="30"/>
      <c r="E296" s="27" t="s">
        <v>609</v>
      </c>
      <c r="F296" s="28" t="s">
        <v>610</v>
      </c>
      <c r="G296" s="25" t="s">
        <v>869</v>
      </c>
      <c r="H296" s="25" t="s">
        <v>875</v>
      </c>
      <c r="I296" s="29">
        <v>10</v>
      </c>
      <c r="J296" s="31">
        <f>StockOutData[[#This Row],[Quantity]]*2.5</f>
        <v>25</v>
      </c>
    </row>
    <row r="297" spans="1:10" x14ac:dyDescent="0.25">
      <c r="A297" s="29">
        <v>296</v>
      </c>
      <c r="B297" s="30">
        <f t="shared" si="4"/>
        <v>43653</v>
      </c>
      <c r="C297" s="30"/>
      <c r="D297" s="30"/>
      <c r="E297" s="27" t="s">
        <v>611</v>
      </c>
      <c r="F297" s="28" t="s">
        <v>612</v>
      </c>
      <c r="G297" s="25" t="s">
        <v>869</v>
      </c>
      <c r="H297" s="25" t="s">
        <v>875</v>
      </c>
      <c r="I297" s="29">
        <v>10</v>
      </c>
      <c r="J297" s="31">
        <f>StockOutData[[#This Row],[Quantity]]*2.5</f>
        <v>25</v>
      </c>
    </row>
    <row r="298" spans="1:10" x14ac:dyDescent="0.25">
      <c r="A298" s="29">
        <v>297</v>
      </c>
      <c r="B298" s="30">
        <f t="shared" si="4"/>
        <v>43654</v>
      </c>
      <c r="C298" s="30"/>
      <c r="D298" s="30"/>
      <c r="E298" s="27" t="s">
        <v>613</v>
      </c>
      <c r="F298" s="28" t="s">
        <v>614</v>
      </c>
      <c r="G298" s="25" t="s">
        <v>869</v>
      </c>
      <c r="H298" s="25" t="s">
        <v>875</v>
      </c>
      <c r="I298" s="29">
        <v>10</v>
      </c>
      <c r="J298" s="31">
        <f>StockOutData[[#This Row],[Quantity]]*2.5</f>
        <v>25</v>
      </c>
    </row>
    <row r="299" spans="1:10" x14ac:dyDescent="0.25">
      <c r="A299" s="29">
        <v>298</v>
      </c>
      <c r="B299" s="30">
        <f t="shared" si="4"/>
        <v>43655</v>
      </c>
      <c r="C299" s="30"/>
      <c r="D299" s="30"/>
      <c r="E299" s="27" t="s">
        <v>615</v>
      </c>
      <c r="F299" s="28" t="s">
        <v>616</v>
      </c>
      <c r="G299" s="25" t="s">
        <v>869</v>
      </c>
      <c r="H299" s="25" t="s">
        <v>875</v>
      </c>
      <c r="I299" s="29">
        <v>7</v>
      </c>
      <c r="J299" s="31">
        <f>StockOutData[[#This Row],[Quantity]]*2.5</f>
        <v>17.5</v>
      </c>
    </row>
    <row r="300" spans="1:10" x14ac:dyDescent="0.25">
      <c r="A300" s="29">
        <v>299</v>
      </c>
      <c r="B300" s="30">
        <f t="shared" si="4"/>
        <v>43656</v>
      </c>
      <c r="C300" s="30"/>
      <c r="D300" s="30"/>
      <c r="E300" s="27" t="s">
        <v>617</v>
      </c>
      <c r="F300" s="28" t="s">
        <v>618</v>
      </c>
      <c r="G300" s="25" t="s">
        <v>869</v>
      </c>
      <c r="H300" s="25" t="s">
        <v>875</v>
      </c>
      <c r="I300" s="29">
        <v>15</v>
      </c>
      <c r="J300" s="31">
        <f>StockOutData[[#This Row],[Quantity]]*2.5</f>
        <v>37.5</v>
      </c>
    </row>
    <row r="301" spans="1:10" x14ac:dyDescent="0.25">
      <c r="A301" s="29">
        <v>300</v>
      </c>
      <c r="B301" s="30">
        <f t="shared" si="4"/>
        <v>43657</v>
      </c>
      <c r="C301" s="30"/>
      <c r="D301" s="30"/>
      <c r="E301" s="27" t="s">
        <v>619</v>
      </c>
      <c r="F301" s="28" t="s">
        <v>620</v>
      </c>
      <c r="G301" s="25" t="s">
        <v>869</v>
      </c>
      <c r="H301" s="25" t="s">
        <v>875</v>
      </c>
      <c r="I301" s="29">
        <v>18</v>
      </c>
      <c r="J301" s="31">
        <f>StockOutData[[#This Row],[Quantity]]*2.5</f>
        <v>45</v>
      </c>
    </row>
    <row r="302" spans="1:10" x14ac:dyDescent="0.25">
      <c r="A302" s="29">
        <v>301</v>
      </c>
      <c r="B302" s="30">
        <f t="shared" si="4"/>
        <v>43658</v>
      </c>
      <c r="C302" s="30"/>
      <c r="D302" s="30"/>
      <c r="E302" s="27" t="s">
        <v>621</v>
      </c>
      <c r="F302" s="28" t="s">
        <v>622</v>
      </c>
      <c r="G302" s="25" t="s">
        <v>869</v>
      </c>
      <c r="H302" s="25" t="s">
        <v>875</v>
      </c>
      <c r="I302" s="29">
        <v>12</v>
      </c>
      <c r="J302" s="31">
        <f>StockOutData[[#This Row],[Quantity]]*2.5</f>
        <v>30</v>
      </c>
    </row>
    <row r="303" spans="1:10" x14ac:dyDescent="0.25">
      <c r="A303" s="29">
        <v>302</v>
      </c>
      <c r="B303" s="30">
        <f t="shared" si="4"/>
        <v>43659</v>
      </c>
      <c r="C303" s="30"/>
      <c r="D303" s="30"/>
      <c r="E303" s="27" t="s">
        <v>623</v>
      </c>
      <c r="F303" s="28" t="s">
        <v>624</v>
      </c>
      <c r="G303" s="25" t="s">
        <v>869</v>
      </c>
      <c r="H303" s="25" t="s">
        <v>875</v>
      </c>
      <c r="I303" s="29">
        <v>14</v>
      </c>
      <c r="J303" s="31">
        <f>StockOutData[[#This Row],[Quantity]]*2.5</f>
        <v>35</v>
      </c>
    </row>
    <row r="304" spans="1:10" x14ac:dyDescent="0.25">
      <c r="A304" s="29">
        <v>303</v>
      </c>
      <c r="B304" s="30">
        <f t="shared" si="4"/>
        <v>43660</v>
      </c>
      <c r="C304" s="30"/>
      <c r="D304" s="30"/>
      <c r="E304" s="27" t="s">
        <v>625</v>
      </c>
      <c r="F304" s="28" t="s">
        <v>626</v>
      </c>
      <c r="G304" s="25" t="s">
        <v>869</v>
      </c>
      <c r="H304" s="25" t="s">
        <v>875</v>
      </c>
      <c r="I304" s="29">
        <v>13</v>
      </c>
      <c r="J304" s="31">
        <f>StockOutData[[#This Row],[Quantity]]*2.5</f>
        <v>32.5</v>
      </c>
    </row>
    <row r="305" spans="1:10" x14ac:dyDescent="0.25">
      <c r="A305" s="29">
        <v>304</v>
      </c>
      <c r="B305" s="30">
        <f t="shared" si="4"/>
        <v>43661</v>
      </c>
      <c r="C305" s="30"/>
      <c r="D305" s="30"/>
      <c r="E305" s="27" t="s">
        <v>627</v>
      </c>
      <c r="F305" s="28" t="s">
        <v>628</v>
      </c>
      <c r="G305" s="25" t="s">
        <v>869</v>
      </c>
      <c r="H305" s="25" t="s">
        <v>875</v>
      </c>
      <c r="I305" s="29">
        <v>5</v>
      </c>
      <c r="J305" s="31">
        <f>StockOutData[[#This Row],[Quantity]]*2.5</f>
        <v>12.5</v>
      </c>
    </row>
    <row r="306" spans="1:10" x14ac:dyDescent="0.25">
      <c r="A306" s="29">
        <v>305</v>
      </c>
      <c r="B306" s="30">
        <f t="shared" si="4"/>
        <v>43662</v>
      </c>
      <c r="C306" s="30"/>
      <c r="D306" s="30"/>
      <c r="E306" s="27" t="s">
        <v>629</v>
      </c>
      <c r="F306" s="28" t="s">
        <v>630</v>
      </c>
      <c r="G306" s="25" t="s">
        <v>869</v>
      </c>
      <c r="H306" s="25" t="s">
        <v>875</v>
      </c>
      <c r="I306" s="29">
        <v>7</v>
      </c>
      <c r="J306" s="31">
        <f>StockOutData[[#This Row],[Quantity]]*2.5</f>
        <v>17.5</v>
      </c>
    </row>
    <row r="307" spans="1:10" x14ac:dyDescent="0.25">
      <c r="A307" s="29">
        <v>306</v>
      </c>
      <c r="B307" s="30">
        <f t="shared" si="4"/>
        <v>43663</v>
      </c>
      <c r="C307" s="30"/>
      <c r="D307" s="30"/>
      <c r="E307" s="27" t="s">
        <v>631</v>
      </c>
      <c r="F307" s="28" t="s">
        <v>632</v>
      </c>
      <c r="G307" s="25" t="s">
        <v>869</v>
      </c>
      <c r="H307" s="25" t="s">
        <v>875</v>
      </c>
      <c r="I307" s="29">
        <v>15</v>
      </c>
      <c r="J307" s="31">
        <f>StockOutData[[#This Row],[Quantity]]*2.5</f>
        <v>37.5</v>
      </c>
    </row>
    <row r="308" spans="1:10" x14ac:dyDescent="0.25">
      <c r="A308" s="29">
        <v>307</v>
      </c>
      <c r="B308" s="30">
        <f t="shared" si="4"/>
        <v>43664</v>
      </c>
      <c r="C308" s="30"/>
      <c r="D308" s="30"/>
      <c r="E308" s="27" t="s">
        <v>633</v>
      </c>
      <c r="F308" s="28" t="s">
        <v>634</v>
      </c>
      <c r="G308" s="25" t="s">
        <v>869</v>
      </c>
      <c r="H308" s="25" t="s">
        <v>875</v>
      </c>
      <c r="I308" s="29">
        <v>18</v>
      </c>
      <c r="J308" s="31">
        <f>StockOutData[[#This Row],[Quantity]]*2.5</f>
        <v>45</v>
      </c>
    </row>
    <row r="309" spans="1:10" x14ac:dyDescent="0.25">
      <c r="A309" s="29">
        <v>308</v>
      </c>
      <c r="B309" s="30">
        <f t="shared" si="4"/>
        <v>43665</v>
      </c>
      <c r="C309" s="30"/>
      <c r="D309" s="30"/>
      <c r="E309" s="27" t="s">
        <v>635</v>
      </c>
      <c r="F309" s="28" t="s">
        <v>636</v>
      </c>
      <c r="G309" s="25" t="s">
        <v>869</v>
      </c>
      <c r="H309" s="25" t="s">
        <v>875</v>
      </c>
      <c r="I309" s="29">
        <v>12</v>
      </c>
      <c r="J309" s="31">
        <f>StockOutData[[#This Row],[Quantity]]*2.5</f>
        <v>30</v>
      </c>
    </row>
    <row r="310" spans="1:10" x14ac:dyDescent="0.25">
      <c r="A310" s="29">
        <v>309</v>
      </c>
      <c r="B310" s="30">
        <f t="shared" si="4"/>
        <v>43666</v>
      </c>
      <c r="C310" s="30"/>
      <c r="D310" s="30"/>
      <c r="E310" s="27" t="s">
        <v>637</v>
      </c>
      <c r="F310" s="28" t="s">
        <v>638</v>
      </c>
      <c r="G310" s="25" t="s">
        <v>869</v>
      </c>
      <c r="H310" s="25" t="s">
        <v>875</v>
      </c>
      <c r="I310" s="29">
        <v>14</v>
      </c>
      <c r="J310" s="31">
        <f>StockOutData[[#This Row],[Quantity]]*2.5</f>
        <v>35</v>
      </c>
    </row>
    <row r="311" spans="1:10" x14ac:dyDescent="0.25">
      <c r="A311" s="29">
        <v>310</v>
      </c>
      <c r="B311" s="30">
        <f t="shared" si="4"/>
        <v>43667</v>
      </c>
      <c r="C311" s="30"/>
      <c r="D311" s="30"/>
      <c r="E311" s="27" t="s">
        <v>639</v>
      </c>
      <c r="F311" s="28" t="s">
        <v>640</v>
      </c>
      <c r="G311" s="25" t="s">
        <v>869</v>
      </c>
      <c r="H311" s="25" t="s">
        <v>875</v>
      </c>
      <c r="I311" s="29">
        <v>13</v>
      </c>
      <c r="J311" s="31">
        <f>StockOutData[[#This Row],[Quantity]]*2.5</f>
        <v>32.5</v>
      </c>
    </row>
    <row r="312" spans="1:10" x14ac:dyDescent="0.25">
      <c r="A312" s="29">
        <v>311</v>
      </c>
      <c r="B312" s="30">
        <f t="shared" si="4"/>
        <v>43668</v>
      </c>
      <c r="C312" s="30"/>
      <c r="D312" s="30"/>
      <c r="E312" s="27" t="s">
        <v>641</v>
      </c>
      <c r="F312" s="28" t="s">
        <v>642</v>
      </c>
      <c r="G312" s="25" t="s">
        <v>869</v>
      </c>
      <c r="H312" s="25" t="s">
        <v>875</v>
      </c>
      <c r="I312" s="29">
        <v>5</v>
      </c>
      <c r="J312" s="31">
        <f>StockOutData[[#This Row],[Quantity]]*2.5</f>
        <v>12.5</v>
      </c>
    </row>
    <row r="313" spans="1:10" x14ac:dyDescent="0.25">
      <c r="A313" s="29">
        <v>312</v>
      </c>
      <c r="B313" s="30">
        <f t="shared" si="4"/>
        <v>43669</v>
      </c>
      <c r="C313" s="30"/>
      <c r="D313" s="30"/>
      <c r="E313" s="27" t="s">
        <v>643</v>
      </c>
      <c r="F313" s="28" t="s">
        <v>644</v>
      </c>
      <c r="G313" s="25" t="s">
        <v>869</v>
      </c>
      <c r="H313" s="25" t="s">
        <v>875</v>
      </c>
      <c r="I313" s="29">
        <v>7</v>
      </c>
      <c r="J313" s="31">
        <f>StockOutData[[#This Row],[Quantity]]*2.5</f>
        <v>17.5</v>
      </c>
    </row>
    <row r="314" spans="1:10" x14ac:dyDescent="0.25">
      <c r="A314" s="29">
        <v>313</v>
      </c>
      <c r="B314" s="30">
        <f t="shared" si="4"/>
        <v>43670</v>
      </c>
      <c r="C314" s="30"/>
      <c r="D314" s="30"/>
      <c r="E314" s="27" t="s">
        <v>645</v>
      </c>
      <c r="F314" s="28" t="s">
        <v>646</v>
      </c>
      <c r="G314" s="25" t="s">
        <v>869</v>
      </c>
      <c r="H314" s="25" t="s">
        <v>875</v>
      </c>
      <c r="I314" s="29">
        <v>15</v>
      </c>
      <c r="J314" s="31">
        <f>StockOutData[[#This Row],[Quantity]]*2.5</f>
        <v>37.5</v>
      </c>
    </row>
    <row r="315" spans="1:10" x14ac:dyDescent="0.25">
      <c r="A315" s="29">
        <v>314</v>
      </c>
      <c r="B315" s="30">
        <f t="shared" si="4"/>
        <v>43671</v>
      </c>
      <c r="C315" s="30"/>
      <c r="D315" s="30"/>
      <c r="E315" s="27" t="s">
        <v>647</v>
      </c>
      <c r="F315" s="28" t="s">
        <v>648</v>
      </c>
      <c r="G315" s="25" t="s">
        <v>869</v>
      </c>
      <c r="H315" s="25" t="s">
        <v>875</v>
      </c>
      <c r="I315" s="29">
        <v>18</v>
      </c>
      <c r="J315" s="31">
        <f>StockOutData[[#This Row],[Quantity]]*2.5</f>
        <v>45</v>
      </c>
    </row>
    <row r="316" spans="1:10" x14ac:dyDescent="0.25">
      <c r="A316" s="29">
        <v>315</v>
      </c>
      <c r="B316" s="30">
        <f t="shared" si="4"/>
        <v>43672</v>
      </c>
      <c r="C316" s="30"/>
      <c r="D316" s="30"/>
      <c r="E316" s="27" t="s">
        <v>649</v>
      </c>
      <c r="F316" s="28" t="s">
        <v>650</v>
      </c>
      <c r="G316" s="25" t="s">
        <v>869</v>
      </c>
      <c r="H316" s="25" t="s">
        <v>875</v>
      </c>
      <c r="I316" s="29">
        <v>12</v>
      </c>
      <c r="J316" s="31">
        <f>StockOutData[[#This Row],[Quantity]]*2.5</f>
        <v>30</v>
      </c>
    </row>
    <row r="317" spans="1:10" x14ac:dyDescent="0.25">
      <c r="A317" s="29">
        <v>316</v>
      </c>
      <c r="B317" s="30">
        <f t="shared" si="4"/>
        <v>43673</v>
      </c>
      <c r="C317" s="30"/>
      <c r="D317" s="30"/>
      <c r="E317" s="27" t="s">
        <v>651</v>
      </c>
      <c r="F317" s="28" t="s">
        <v>652</v>
      </c>
      <c r="G317" s="25" t="s">
        <v>869</v>
      </c>
      <c r="H317" s="25" t="s">
        <v>875</v>
      </c>
      <c r="I317" s="29">
        <v>10</v>
      </c>
      <c r="J317" s="31">
        <f>StockOutData[[#This Row],[Quantity]]*2.5</f>
        <v>25</v>
      </c>
    </row>
    <row r="318" spans="1:10" x14ac:dyDescent="0.25">
      <c r="A318" s="29">
        <v>317</v>
      </c>
      <c r="B318" s="30">
        <f t="shared" si="4"/>
        <v>43674</v>
      </c>
      <c r="C318" s="30"/>
      <c r="D318" s="30"/>
      <c r="E318" s="27" t="s">
        <v>653</v>
      </c>
      <c r="F318" s="28" t="s">
        <v>654</v>
      </c>
      <c r="G318" s="25" t="s">
        <v>869</v>
      </c>
      <c r="H318" s="25" t="s">
        <v>875</v>
      </c>
      <c r="I318" s="29">
        <v>10</v>
      </c>
      <c r="J318" s="31">
        <f>StockOutData[[#This Row],[Quantity]]*2.5</f>
        <v>25</v>
      </c>
    </row>
    <row r="319" spans="1:10" x14ac:dyDescent="0.25">
      <c r="A319" s="29">
        <v>318</v>
      </c>
      <c r="B319" s="30">
        <f t="shared" si="4"/>
        <v>43675</v>
      </c>
      <c r="C319" s="30"/>
      <c r="D319" s="30"/>
      <c r="E319" s="27" t="s">
        <v>655</v>
      </c>
      <c r="F319" s="28" t="s">
        <v>656</v>
      </c>
      <c r="G319" s="25" t="s">
        <v>869</v>
      </c>
      <c r="H319" s="25" t="s">
        <v>875</v>
      </c>
      <c r="I319" s="29">
        <v>10</v>
      </c>
      <c r="J319" s="31">
        <f>StockOutData[[#This Row],[Quantity]]*2.5</f>
        <v>25</v>
      </c>
    </row>
    <row r="320" spans="1:10" x14ac:dyDescent="0.25">
      <c r="A320" s="29">
        <v>319</v>
      </c>
      <c r="B320" s="30">
        <f t="shared" si="4"/>
        <v>43676</v>
      </c>
      <c r="C320" s="30"/>
      <c r="D320" s="30"/>
      <c r="E320" s="27" t="s">
        <v>657</v>
      </c>
      <c r="F320" s="28" t="s">
        <v>658</v>
      </c>
      <c r="G320" s="25" t="s">
        <v>869</v>
      </c>
      <c r="H320" s="25" t="s">
        <v>875</v>
      </c>
      <c r="I320" s="29">
        <v>7</v>
      </c>
      <c r="J320" s="31">
        <f>StockOutData[[#This Row],[Quantity]]*2.5</f>
        <v>17.5</v>
      </c>
    </row>
    <row r="321" spans="1:10" x14ac:dyDescent="0.25">
      <c r="A321" s="29">
        <v>320</v>
      </c>
      <c r="B321" s="30">
        <f t="shared" si="4"/>
        <v>43677</v>
      </c>
      <c r="C321" s="30"/>
      <c r="D321" s="30"/>
      <c r="E321" s="27" t="s">
        <v>659</v>
      </c>
      <c r="F321" s="28" t="s">
        <v>660</v>
      </c>
      <c r="G321" s="25" t="s">
        <v>869</v>
      </c>
      <c r="H321" s="25" t="s">
        <v>875</v>
      </c>
      <c r="I321" s="29">
        <v>15</v>
      </c>
      <c r="J321" s="31">
        <f>StockOutData[[#This Row],[Quantity]]*2.5</f>
        <v>37.5</v>
      </c>
    </row>
    <row r="322" spans="1:10" x14ac:dyDescent="0.25">
      <c r="A322" s="29">
        <v>321</v>
      </c>
      <c r="B322" s="30">
        <f t="shared" si="4"/>
        <v>43678</v>
      </c>
      <c r="C322" s="30"/>
      <c r="D322" s="30"/>
      <c r="E322" s="27" t="s">
        <v>661</v>
      </c>
      <c r="F322" s="28" t="s">
        <v>662</v>
      </c>
      <c r="G322" s="25" t="s">
        <v>869</v>
      </c>
      <c r="H322" s="25" t="s">
        <v>875</v>
      </c>
      <c r="I322" s="29">
        <v>18</v>
      </c>
      <c r="J322" s="31">
        <f>StockOutData[[#This Row],[Quantity]]*2.5</f>
        <v>45</v>
      </c>
    </row>
    <row r="323" spans="1:10" x14ac:dyDescent="0.25">
      <c r="A323" s="29">
        <v>322</v>
      </c>
      <c r="B323" s="30">
        <f t="shared" si="4"/>
        <v>43679</v>
      </c>
      <c r="C323" s="30"/>
      <c r="D323" s="30"/>
      <c r="E323" s="27" t="s">
        <v>663</v>
      </c>
      <c r="F323" s="28" t="s">
        <v>664</v>
      </c>
      <c r="G323" s="25" t="s">
        <v>869</v>
      </c>
      <c r="H323" s="25" t="s">
        <v>876</v>
      </c>
      <c r="I323" s="29">
        <v>12</v>
      </c>
      <c r="J323" s="31">
        <f>StockOutData[[#This Row],[Quantity]]*2.5</f>
        <v>30</v>
      </c>
    </row>
    <row r="324" spans="1:10" x14ac:dyDescent="0.25">
      <c r="A324" s="29">
        <v>323</v>
      </c>
      <c r="B324" s="30">
        <f t="shared" ref="B324:B387" si="5">B323+1</f>
        <v>43680</v>
      </c>
      <c r="C324" s="30"/>
      <c r="D324" s="30"/>
      <c r="E324" s="27" t="s">
        <v>665</v>
      </c>
      <c r="F324" s="28" t="s">
        <v>666</v>
      </c>
      <c r="G324" s="25" t="s">
        <v>869</v>
      </c>
      <c r="H324" s="25" t="s">
        <v>876</v>
      </c>
      <c r="I324" s="29">
        <v>14</v>
      </c>
      <c r="J324" s="31">
        <f>StockOutData[[#This Row],[Quantity]]*2.5</f>
        <v>35</v>
      </c>
    </row>
    <row r="325" spans="1:10" x14ac:dyDescent="0.25">
      <c r="A325" s="29">
        <v>324</v>
      </c>
      <c r="B325" s="30">
        <f t="shared" si="5"/>
        <v>43681</v>
      </c>
      <c r="C325" s="30"/>
      <c r="D325" s="30"/>
      <c r="E325" s="27" t="s">
        <v>667</v>
      </c>
      <c r="F325" s="28" t="s">
        <v>668</v>
      </c>
      <c r="G325" s="25" t="s">
        <v>869</v>
      </c>
      <c r="H325" s="25" t="s">
        <v>876</v>
      </c>
      <c r="I325" s="29">
        <v>13</v>
      </c>
      <c r="J325" s="31">
        <f>StockOutData[[#This Row],[Quantity]]*2.5</f>
        <v>32.5</v>
      </c>
    </row>
    <row r="326" spans="1:10" x14ac:dyDescent="0.25">
      <c r="A326" s="29">
        <v>325</v>
      </c>
      <c r="B326" s="30">
        <f t="shared" si="5"/>
        <v>43682</v>
      </c>
      <c r="C326" s="30"/>
      <c r="D326" s="30"/>
      <c r="E326" s="27" t="s">
        <v>669</v>
      </c>
      <c r="F326" s="28" t="s">
        <v>670</v>
      </c>
      <c r="G326" s="25" t="s">
        <v>869</v>
      </c>
      <c r="H326" s="25" t="s">
        <v>876</v>
      </c>
      <c r="I326" s="29">
        <v>5</v>
      </c>
      <c r="J326" s="31">
        <f>StockOutData[[#This Row],[Quantity]]*2.5</f>
        <v>12.5</v>
      </c>
    </row>
    <row r="327" spans="1:10" x14ac:dyDescent="0.25">
      <c r="A327" s="29">
        <v>326</v>
      </c>
      <c r="B327" s="30">
        <f t="shared" si="5"/>
        <v>43683</v>
      </c>
      <c r="C327" s="30"/>
      <c r="D327" s="30"/>
      <c r="E327" s="27" t="s">
        <v>671</v>
      </c>
      <c r="F327" s="28" t="s">
        <v>672</v>
      </c>
      <c r="G327" s="25" t="s">
        <v>869</v>
      </c>
      <c r="H327" s="25" t="s">
        <v>876</v>
      </c>
      <c r="I327" s="29">
        <v>7</v>
      </c>
      <c r="J327" s="31">
        <f>StockOutData[[#This Row],[Quantity]]*2.5</f>
        <v>17.5</v>
      </c>
    </row>
    <row r="328" spans="1:10" x14ac:dyDescent="0.25">
      <c r="A328" s="29">
        <v>327</v>
      </c>
      <c r="B328" s="30">
        <f t="shared" si="5"/>
        <v>43684</v>
      </c>
      <c r="C328" s="30"/>
      <c r="D328" s="30"/>
      <c r="E328" s="27" t="s">
        <v>673</v>
      </c>
      <c r="F328" s="28" t="s">
        <v>674</v>
      </c>
      <c r="G328" s="25" t="s">
        <v>877</v>
      </c>
      <c r="H328" s="25" t="s">
        <v>876</v>
      </c>
      <c r="I328" s="29">
        <v>15</v>
      </c>
      <c r="J328" s="31">
        <f>StockOutData[[#This Row],[Quantity]]*2.5</f>
        <v>37.5</v>
      </c>
    </row>
    <row r="329" spans="1:10" x14ac:dyDescent="0.25">
      <c r="A329" s="29">
        <v>328</v>
      </c>
      <c r="B329" s="30">
        <f t="shared" si="5"/>
        <v>43685</v>
      </c>
      <c r="C329" s="30"/>
      <c r="D329" s="30"/>
      <c r="E329" s="27" t="s">
        <v>675</v>
      </c>
      <c r="F329" s="28" t="s">
        <v>676</v>
      </c>
      <c r="G329" s="25" t="s">
        <v>877</v>
      </c>
      <c r="H329" s="25" t="s">
        <v>876</v>
      </c>
      <c r="I329" s="29">
        <v>18</v>
      </c>
      <c r="J329" s="31">
        <f>StockOutData[[#This Row],[Quantity]]*2.5</f>
        <v>45</v>
      </c>
    </row>
    <row r="330" spans="1:10" x14ac:dyDescent="0.25">
      <c r="A330" s="29">
        <v>329</v>
      </c>
      <c r="B330" s="30">
        <f t="shared" si="5"/>
        <v>43686</v>
      </c>
      <c r="C330" s="30"/>
      <c r="D330" s="30"/>
      <c r="E330" s="27" t="s">
        <v>677</v>
      </c>
      <c r="F330" s="28" t="s">
        <v>678</v>
      </c>
      <c r="G330" s="25" t="s">
        <v>877</v>
      </c>
      <c r="H330" s="25" t="s">
        <v>876</v>
      </c>
      <c r="I330" s="29">
        <v>12</v>
      </c>
      <c r="J330" s="31">
        <f>StockOutData[[#This Row],[Quantity]]*2.5</f>
        <v>30</v>
      </c>
    </row>
    <row r="331" spans="1:10" x14ac:dyDescent="0.25">
      <c r="A331" s="29">
        <v>330</v>
      </c>
      <c r="B331" s="30">
        <f t="shared" si="5"/>
        <v>43687</v>
      </c>
      <c r="C331" s="30"/>
      <c r="D331" s="30"/>
      <c r="E331" s="27" t="s">
        <v>679</v>
      </c>
      <c r="F331" s="28" t="s">
        <v>680</v>
      </c>
      <c r="G331" s="25" t="s">
        <v>877</v>
      </c>
      <c r="H331" s="25" t="s">
        <v>876</v>
      </c>
      <c r="I331" s="29">
        <v>14</v>
      </c>
      <c r="J331" s="31">
        <f>StockOutData[[#This Row],[Quantity]]*2.5</f>
        <v>35</v>
      </c>
    </row>
    <row r="332" spans="1:10" x14ac:dyDescent="0.25">
      <c r="A332" s="29">
        <v>331</v>
      </c>
      <c r="B332" s="30">
        <f t="shared" si="5"/>
        <v>43688</v>
      </c>
      <c r="C332" s="30"/>
      <c r="D332" s="30"/>
      <c r="E332" s="27" t="s">
        <v>681</v>
      </c>
      <c r="F332" s="28" t="s">
        <v>682</v>
      </c>
      <c r="G332" s="25" t="s">
        <v>877</v>
      </c>
      <c r="H332" s="25" t="s">
        <v>876</v>
      </c>
      <c r="I332" s="29">
        <v>13</v>
      </c>
      <c r="J332" s="31">
        <f>StockOutData[[#This Row],[Quantity]]*2.5</f>
        <v>32.5</v>
      </c>
    </row>
    <row r="333" spans="1:10" x14ac:dyDescent="0.25">
      <c r="A333" s="29">
        <v>332</v>
      </c>
      <c r="B333" s="30">
        <f t="shared" si="5"/>
        <v>43689</v>
      </c>
      <c r="C333" s="30"/>
      <c r="D333" s="30"/>
      <c r="E333" s="27" t="s">
        <v>683</v>
      </c>
      <c r="F333" s="28" t="s">
        <v>684</v>
      </c>
      <c r="G333" s="25" t="s">
        <v>877</v>
      </c>
      <c r="H333" s="25" t="s">
        <v>876</v>
      </c>
      <c r="I333" s="29">
        <v>5</v>
      </c>
      <c r="J333" s="31">
        <f>StockOutData[[#This Row],[Quantity]]*2.5</f>
        <v>12.5</v>
      </c>
    </row>
    <row r="334" spans="1:10" x14ac:dyDescent="0.25">
      <c r="A334" s="29">
        <v>333</v>
      </c>
      <c r="B334" s="30">
        <f t="shared" si="5"/>
        <v>43690</v>
      </c>
      <c r="C334" s="30"/>
      <c r="D334" s="30"/>
      <c r="E334" s="27" t="s">
        <v>685</v>
      </c>
      <c r="F334" s="28" t="s">
        <v>686</v>
      </c>
      <c r="G334" s="25" t="s">
        <v>877</v>
      </c>
      <c r="H334" s="25" t="s">
        <v>876</v>
      </c>
      <c r="I334" s="29">
        <v>7</v>
      </c>
      <c r="J334" s="31">
        <f>StockOutData[[#This Row],[Quantity]]*2.5</f>
        <v>17.5</v>
      </c>
    </row>
    <row r="335" spans="1:10" x14ac:dyDescent="0.25">
      <c r="A335" s="29">
        <v>334</v>
      </c>
      <c r="B335" s="30">
        <f t="shared" si="5"/>
        <v>43691</v>
      </c>
      <c r="C335" s="30"/>
      <c r="D335" s="30"/>
      <c r="E335" s="27" t="s">
        <v>687</v>
      </c>
      <c r="F335" s="28" t="s">
        <v>688</v>
      </c>
      <c r="G335" s="25" t="s">
        <v>877</v>
      </c>
      <c r="H335" s="25" t="s">
        <v>876</v>
      </c>
      <c r="I335" s="29">
        <v>15</v>
      </c>
      <c r="J335" s="31">
        <f>StockOutData[[#This Row],[Quantity]]*2.5</f>
        <v>37.5</v>
      </c>
    </row>
    <row r="336" spans="1:10" x14ac:dyDescent="0.25">
      <c r="A336" s="29">
        <v>335</v>
      </c>
      <c r="B336" s="30">
        <f t="shared" si="5"/>
        <v>43692</v>
      </c>
      <c r="C336" s="30"/>
      <c r="D336" s="30"/>
      <c r="E336" s="27" t="s">
        <v>689</v>
      </c>
      <c r="F336" s="28" t="s">
        <v>690</v>
      </c>
      <c r="G336" s="25" t="s">
        <v>877</v>
      </c>
      <c r="H336" s="25" t="s">
        <v>876</v>
      </c>
      <c r="I336" s="29">
        <v>18</v>
      </c>
      <c r="J336" s="31">
        <f>StockOutData[[#This Row],[Quantity]]*2.5</f>
        <v>45</v>
      </c>
    </row>
    <row r="337" spans="1:10" x14ac:dyDescent="0.25">
      <c r="A337" s="29">
        <v>336</v>
      </c>
      <c r="B337" s="30">
        <f t="shared" si="5"/>
        <v>43693</v>
      </c>
      <c r="C337" s="30"/>
      <c r="D337" s="30"/>
      <c r="E337" s="27" t="s">
        <v>691</v>
      </c>
      <c r="F337" s="28" t="s">
        <v>692</v>
      </c>
      <c r="G337" s="25" t="s">
        <v>877</v>
      </c>
      <c r="H337" s="25" t="s">
        <v>876</v>
      </c>
      <c r="I337" s="29">
        <v>12</v>
      </c>
      <c r="J337" s="31">
        <f>StockOutData[[#This Row],[Quantity]]*2.5</f>
        <v>30</v>
      </c>
    </row>
    <row r="338" spans="1:10" x14ac:dyDescent="0.25">
      <c r="A338" s="29">
        <v>337</v>
      </c>
      <c r="B338" s="30">
        <f t="shared" si="5"/>
        <v>43694</v>
      </c>
      <c r="C338" s="30"/>
      <c r="D338" s="30"/>
      <c r="E338" s="27" t="s">
        <v>693</v>
      </c>
      <c r="F338" s="28" t="s">
        <v>694</v>
      </c>
      <c r="G338" s="25" t="s">
        <v>877</v>
      </c>
      <c r="H338" s="25" t="s">
        <v>876</v>
      </c>
      <c r="I338" s="29">
        <v>10</v>
      </c>
      <c r="J338" s="31">
        <f>StockOutData[[#This Row],[Quantity]]*2.5</f>
        <v>25</v>
      </c>
    </row>
    <row r="339" spans="1:10" x14ac:dyDescent="0.25">
      <c r="A339" s="29">
        <v>338</v>
      </c>
      <c r="B339" s="30">
        <f t="shared" si="5"/>
        <v>43695</v>
      </c>
      <c r="C339" s="30"/>
      <c r="D339" s="30"/>
      <c r="E339" s="27" t="s">
        <v>695</v>
      </c>
      <c r="F339" s="28" t="s">
        <v>696</v>
      </c>
      <c r="G339" s="25" t="s">
        <v>877</v>
      </c>
      <c r="H339" s="25" t="s">
        <v>876</v>
      </c>
      <c r="I339" s="29">
        <v>10</v>
      </c>
      <c r="J339" s="31">
        <f>StockOutData[[#This Row],[Quantity]]*2.5</f>
        <v>25</v>
      </c>
    </row>
    <row r="340" spans="1:10" x14ac:dyDescent="0.25">
      <c r="A340" s="29">
        <v>339</v>
      </c>
      <c r="B340" s="30">
        <f t="shared" si="5"/>
        <v>43696</v>
      </c>
      <c r="C340" s="30"/>
      <c r="D340" s="30"/>
      <c r="E340" s="27" t="s">
        <v>697</v>
      </c>
      <c r="F340" s="28" t="s">
        <v>698</v>
      </c>
      <c r="G340" s="25" t="s">
        <v>877</v>
      </c>
      <c r="H340" s="25" t="s">
        <v>876</v>
      </c>
      <c r="I340" s="29">
        <v>10</v>
      </c>
      <c r="J340" s="31">
        <f>StockOutData[[#This Row],[Quantity]]*2.5</f>
        <v>25</v>
      </c>
    </row>
    <row r="341" spans="1:10" x14ac:dyDescent="0.25">
      <c r="A341" s="29">
        <v>340</v>
      </c>
      <c r="B341" s="30">
        <f t="shared" si="5"/>
        <v>43697</v>
      </c>
      <c r="C341" s="30"/>
      <c r="D341" s="30"/>
      <c r="E341" s="27" t="s">
        <v>699</v>
      </c>
      <c r="F341" s="28" t="s">
        <v>700</v>
      </c>
      <c r="G341" s="25" t="s">
        <v>877</v>
      </c>
      <c r="H341" s="25" t="s">
        <v>876</v>
      </c>
      <c r="I341" s="29">
        <v>7</v>
      </c>
      <c r="J341" s="31">
        <f>StockOutData[[#This Row],[Quantity]]*2.5</f>
        <v>17.5</v>
      </c>
    </row>
    <row r="342" spans="1:10" x14ac:dyDescent="0.25">
      <c r="A342" s="29">
        <v>341</v>
      </c>
      <c r="B342" s="30">
        <f t="shared" si="5"/>
        <v>43698</v>
      </c>
      <c r="C342" s="30"/>
      <c r="D342" s="30"/>
      <c r="E342" s="27" t="s">
        <v>701</v>
      </c>
      <c r="F342" s="28" t="s">
        <v>702</v>
      </c>
      <c r="G342" s="25" t="s">
        <v>877</v>
      </c>
      <c r="H342" s="25" t="s">
        <v>876</v>
      </c>
      <c r="I342" s="29">
        <v>15</v>
      </c>
      <c r="J342" s="31">
        <f>StockOutData[[#This Row],[Quantity]]*2.5</f>
        <v>37.5</v>
      </c>
    </row>
    <row r="343" spans="1:10" x14ac:dyDescent="0.25">
      <c r="A343" s="29">
        <v>342</v>
      </c>
      <c r="B343" s="30">
        <f t="shared" si="5"/>
        <v>43699</v>
      </c>
      <c r="C343" s="30"/>
      <c r="D343" s="30"/>
      <c r="E343" s="27" t="s">
        <v>703</v>
      </c>
      <c r="F343" s="28" t="s">
        <v>704</v>
      </c>
      <c r="G343" s="25" t="s">
        <v>877</v>
      </c>
      <c r="H343" s="25" t="s">
        <v>876</v>
      </c>
      <c r="I343" s="29">
        <v>18</v>
      </c>
      <c r="J343" s="31">
        <f>StockOutData[[#This Row],[Quantity]]*2.5</f>
        <v>45</v>
      </c>
    </row>
    <row r="344" spans="1:10" x14ac:dyDescent="0.25">
      <c r="A344" s="29">
        <v>343</v>
      </c>
      <c r="B344" s="30">
        <f t="shared" si="5"/>
        <v>43700</v>
      </c>
      <c r="C344" s="30"/>
      <c r="D344" s="30"/>
      <c r="E344" s="27" t="s">
        <v>705</v>
      </c>
      <c r="F344" s="28" t="s">
        <v>706</v>
      </c>
      <c r="G344" s="25" t="s">
        <v>877</v>
      </c>
      <c r="H344" s="25" t="s">
        <v>876</v>
      </c>
      <c r="I344" s="29">
        <v>12</v>
      </c>
      <c r="J344" s="31">
        <f>StockOutData[[#This Row],[Quantity]]*2.5</f>
        <v>30</v>
      </c>
    </row>
    <row r="345" spans="1:10" x14ac:dyDescent="0.25">
      <c r="A345" s="29">
        <v>344</v>
      </c>
      <c r="B345" s="30">
        <f t="shared" si="5"/>
        <v>43701</v>
      </c>
      <c r="C345" s="30"/>
      <c r="D345" s="30"/>
      <c r="E345" s="27" t="s">
        <v>707</v>
      </c>
      <c r="F345" s="28" t="s">
        <v>708</v>
      </c>
      <c r="G345" s="25" t="s">
        <v>877</v>
      </c>
      <c r="H345" s="25" t="s">
        <v>876</v>
      </c>
      <c r="I345" s="29">
        <v>14</v>
      </c>
      <c r="J345" s="31">
        <f>StockOutData[[#This Row],[Quantity]]*2.5</f>
        <v>35</v>
      </c>
    </row>
    <row r="346" spans="1:10" x14ac:dyDescent="0.25">
      <c r="A346" s="29">
        <v>345</v>
      </c>
      <c r="B346" s="30">
        <f t="shared" si="5"/>
        <v>43702</v>
      </c>
      <c r="C346" s="30"/>
      <c r="D346" s="30"/>
      <c r="E346" s="27" t="s">
        <v>709</v>
      </c>
      <c r="F346" s="28" t="s">
        <v>710</v>
      </c>
      <c r="G346" s="25" t="s">
        <v>869</v>
      </c>
      <c r="H346" s="25" t="s">
        <v>876</v>
      </c>
      <c r="I346" s="29">
        <v>13</v>
      </c>
      <c r="J346" s="31">
        <f>StockOutData[[#This Row],[Quantity]]*2.5</f>
        <v>32.5</v>
      </c>
    </row>
    <row r="347" spans="1:10" x14ac:dyDescent="0.25">
      <c r="A347" s="29">
        <v>346</v>
      </c>
      <c r="B347" s="30">
        <f t="shared" si="5"/>
        <v>43703</v>
      </c>
      <c r="C347" s="30"/>
      <c r="D347" s="30"/>
      <c r="E347" s="27" t="s">
        <v>711</v>
      </c>
      <c r="F347" s="28" t="s">
        <v>712</v>
      </c>
      <c r="G347" s="25" t="s">
        <v>869</v>
      </c>
      <c r="H347" s="25" t="s">
        <v>876</v>
      </c>
      <c r="I347" s="29">
        <v>5</v>
      </c>
      <c r="J347" s="31">
        <f>StockOutData[[#This Row],[Quantity]]*2.5</f>
        <v>12.5</v>
      </c>
    </row>
    <row r="348" spans="1:10" x14ac:dyDescent="0.25">
      <c r="A348" s="29">
        <v>347</v>
      </c>
      <c r="B348" s="30">
        <f t="shared" si="5"/>
        <v>43704</v>
      </c>
      <c r="C348" s="30"/>
      <c r="D348" s="30"/>
      <c r="E348" s="27" t="s">
        <v>713</v>
      </c>
      <c r="F348" s="28" t="s">
        <v>714</v>
      </c>
      <c r="G348" s="25" t="s">
        <v>869</v>
      </c>
      <c r="H348" s="25" t="s">
        <v>876</v>
      </c>
      <c r="I348" s="29">
        <v>7</v>
      </c>
      <c r="J348" s="31">
        <f>StockOutData[[#This Row],[Quantity]]*2.5</f>
        <v>17.5</v>
      </c>
    </row>
    <row r="349" spans="1:10" x14ac:dyDescent="0.25">
      <c r="A349" s="29">
        <v>348</v>
      </c>
      <c r="B349" s="30">
        <f t="shared" si="5"/>
        <v>43705</v>
      </c>
      <c r="C349" s="30"/>
      <c r="D349" s="30"/>
      <c r="E349" s="27" t="s">
        <v>715</v>
      </c>
      <c r="F349" s="28" t="s">
        <v>716</v>
      </c>
      <c r="G349" s="25" t="s">
        <v>869</v>
      </c>
      <c r="H349" s="25" t="s">
        <v>876</v>
      </c>
      <c r="I349" s="29">
        <v>15</v>
      </c>
      <c r="J349" s="31">
        <f>StockOutData[[#This Row],[Quantity]]*2.5</f>
        <v>37.5</v>
      </c>
    </row>
    <row r="350" spans="1:10" x14ac:dyDescent="0.25">
      <c r="A350" s="29">
        <v>349</v>
      </c>
      <c r="B350" s="30">
        <f t="shared" si="5"/>
        <v>43706</v>
      </c>
      <c r="C350" s="30"/>
      <c r="D350" s="30"/>
      <c r="E350" s="27" t="s">
        <v>717</v>
      </c>
      <c r="F350" s="28" t="s">
        <v>718</v>
      </c>
      <c r="G350" s="25" t="s">
        <v>869</v>
      </c>
      <c r="H350" s="25" t="s">
        <v>876</v>
      </c>
      <c r="I350" s="29">
        <v>18</v>
      </c>
      <c r="J350" s="31">
        <f>StockOutData[[#This Row],[Quantity]]*2.5</f>
        <v>45</v>
      </c>
    </row>
    <row r="351" spans="1:10" x14ac:dyDescent="0.25">
      <c r="A351" s="29">
        <v>350</v>
      </c>
      <c r="B351" s="30">
        <f t="shared" si="5"/>
        <v>43707</v>
      </c>
      <c r="C351" s="30"/>
      <c r="D351" s="30"/>
      <c r="E351" s="27" t="s">
        <v>719</v>
      </c>
      <c r="F351" s="28" t="s">
        <v>720</v>
      </c>
      <c r="G351" s="25" t="s">
        <v>869</v>
      </c>
      <c r="H351" s="25" t="s">
        <v>876</v>
      </c>
      <c r="I351" s="29">
        <v>12</v>
      </c>
      <c r="J351" s="31">
        <f>StockOutData[[#This Row],[Quantity]]*2.5</f>
        <v>30</v>
      </c>
    </row>
    <row r="352" spans="1:10" x14ac:dyDescent="0.25">
      <c r="A352" s="29">
        <v>351</v>
      </c>
      <c r="B352" s="30">
        <f t="shared" si="5"/>
        <v>43708</v>
      </c>
      <c r="C352" s="30"/>
      <c r="D352" s="30"/>
      <c r="E352" s="27" t="s">
        <v>721</v>
      </c>
      <c r="F352" s="28" t="s">
        <v>722</v>
      </c>
      <c r="G352" s="25" t="s">
        <v>869</v>
      </c>
      <c r="H352" s="25" t="s">
        <v>876</v>
      </c>
      <c r="I352" s="29">
        <v>14</v>
      </c>
      <c r="J352" s="31">
        <f>StockOutData[[#This Row],[Quantity]]*2.5</f>
        <v>35</v>
      </c>
    </row>
    <row r="353" spans="1:10" x14ac:dyDescent="0.25">
      <c r="A353" s="29">
        <v>352</v>
      </c>
      <c r="B353" s="30">
        <f t="shared" si="5"/>
        <v>43709</v>
      </c>
      <c r="C353" s="30"/>
      <c r="D353" s="30"/>
      <c r="E353" s="27" t="s">
        <v>723</v>
      </c>
      <c r="F353" s="28" t="s">
        <v>724</v>
      </c>
      <c r="G353" s="25" t="s">
        <v>869</v>
      </c>
      <c r="H353" s="25" t="s">
        <v>876</v>
      </c>
      <c r="I353" s="29">
        <v>13</v>
      </c>
      <c r="J353" s="31">
        <f>StockOutData[[#This Row],[Quantity]]*2.5</f>
        <v>32.5</v>
      </c>
    </row>
    <row r="354" spans="1:10" x14ac:dyDescent="0.25">
      <c r="A354" s="29">
        <v>353</v>
      </c>
      <c r="B354" s="30">
        <f t="shared" si="5"/>
        <v>43710</v>
      </c>
      <c r="C354" s="30"/>
      <c r="D354" s="30"/>
      <c r="E354" s="27" t="s">
        <v>725</v>
      </c>
      <c r="F354" s="28" t="s">
        <v>726</v>
      </c>
      <c r="G354" s="25" t="s">
        <v>869</v>
      </c>
      <c r="H354" s="25" t="s">
        <v>876</v>
      </c>
      <c r="I354" s="29">
        <v>5</v>
      </c>
      <c r="J354" s="31">
        <f>StockOutData[[#This Row],[Quantity]]*2.5</f>
        <v>12.5</v>
      </c>
    </row>
    <row r="355" spans="1:10" x14ac:dyDescent="0.25">
      <c r="A355" s="29">
        <v>354</v>
      </c>
      <c r="B355" s="30">
        <f t="shared" si="5"/>
        <v>43711</v>
      </c>
      <c r="C355" s="30"/>
      <c r="D355" s="30"/>
      <c r="E355" s="27" t="s">
        <v>727</v>
      </c>
      <c r="F355" s="28" t="s">
        <v>728</v>
      </c>
      <c r="G355" s="25" t="s">
        <v>869</v>
      </c>
      <c r="H355" s="25" t="s">
        <v>876</v>
      </c>
      <c r="I355" s="29">
        <v>7</v>
      </c>
      <c r="J355" s="31">
        <f>StockOutData[[#This Row],[Quantity]]*2.5</f>
        <v>17.5</v>
      </c>
    </row>
    <row r="356" spans="1:10" x14ac:dyDescent="0.25">
      <c r="A356" s="29">
        <v>355</v>
      </c>
      <c r="B356" s="30">
        <f t="shared" si="5"/>
        <v>43712</v>
      </c>
      <c r="C356" s="30"/>
      <c r="D356" s="30"/>
      <c r="E356" s="27" t="s">
        <v>729</v>
      </c>
      <c r="F356" s="28" t="s">
        <v>730</v>
      </c>
      <c r="G356" s="25" t="s">
        <v>869</v>
      </c>
      <c r="H356" s="25" t="s">
        <v>876</v>
      </c>
      <c r="I356" s="29">
        <v>15</v>
      </c>
      <c r="J356" s="31">
        <f>StockOutData[[#This Row],[Quantity]]*2.5</f>
        <v>37.5</v>
      </c>
    </row>
    <row r="357" spans="1:10" x14ac:dyDescent="0.25">
      <c r="A357" s="29">
        <v>356</v>
      </c>
      <c r="B357" s="30">
        <f t="shared" si="5"/>
        <v>43713</v>
      </c>
      <c r="C357" s="30"/>
      <c r="D357" s="30"/>
      <c r="E357" s="27" t="s">
        <v>731</v>
      </c>
      <c r="F357" s="28" t="s">
        <v>732</v>
      </c>
      <c r="G357" s="25" t="s">
        <v>869</v>
      </c>
      <c r="H357" s="25" t="s">
        <v>876</v>
      </c>
      <c r="I357" s="29">
        <v>18</v>
      </c>
      <c r="J357" s="31">
        <f>StockOutData[[#This Row],[Quantity]]*2.5</f>
        <v>45</v>
      </c>
    </row>
    <row r="358" spans="1:10" x14ac:dyDescent="0.25">
      <c r="A358" s="29">
        <v>357</v>
      </c>
      <c r="B358" s="30">
        <f t="shared" si="5"/>
        <v>43714</v>
      </c>
      <c r="C358" s="30"/>
      <c r="D358" s="30"/>
      <c r="E358" s="27" t="s">
        <v>733</v>
      </c>
      <c r="F358" s="28" t="s">
        <v>734</v>
      </c>
      <c r="G358" s="25" t="s">
        <v>869</v>
      </c>
      <c r="H358" s="25" t="s">
        <v>876</v>
      </c>
      <c r="I358" s="29">
        <v>12</v>
      </c>
      <c r="J358" s="31">
        <f>StockOutData[[#This Row],[Quantity]]*2.5</f>
        <v>30</v>
      </c>
    </row>
    <row r="359" spans="1:10" x14ac:dyDescent="0.25">
      <c r="A359" s="29">
        <v>358</v>
      </c>
      <c r="B359" s="30">
        <f t="shared" si="5"/>
        <v>43715</v>
      </c>
      <c r="C359" s="30"/>
      <c r="D359" s="30"/>
      <c r="E359" s="27" t="s">
        <v>735</v>
      </c>
      <c r="F359" s="28" t="s">
        <v>736</v>
      </c>
      <c r="G359" s="25" t="s">
        <v>869</v>
      </c>
      <c r="H359" s="25" t="s">
        <v>876</v>
      </c>
      <c r="I359" s="29">
        <v>10</v>
      </c>
      <c r="J359" s="31">
        <f>StockOutData[[#This Row],[Quantity]]*2.5</f>
        <v>25</v>
      </c>
    </row>
    <row r="360" spans="1:10" x14ac:dyDescent="0.25">
      <c r="A360" s="29">
        <v>359</v>
      </c>
      <c r="B360" s="30">
        <f t="shared" si="5"/>
        <v>43716</v>
      </c>
      <c r="C360" s="30"/>
      <c r="D360" s="30"/>
      <c r="E360" s="27" t="s">
        <v>737</v>
      </c>
      <c r="F360" s="28" t="s">
        <v>738</v>
      </c>
      <c r="G360" s="25" t="s">
        <v>869</v>
      </c>
      <c r="H360" s="25" t="s">
        <v>876</v>
      </c>
      <c r="I360" s="29">
        <v>10</v>
      </c>
      <c r="J360" s="31">
        <f>StockOutData[[#This Row],[Quantity]]*2.5</f>
        <v>25</v>
      </c>
    </row>
    <row r="361" spans="1:10" x14ac:dyDescent="0.25">
      <c r="A361" s="29">
        <v>360</v>
      </c>
      <c r="B361" s="30">
        <f t="shared" si="5"/>
        <v>43717</v>
      </c>
      <c r="C361" s="30"/>
      <c r="D361" s="30"/>
      <c r="E361" s="27" t="s">
        <v>739</v>
      </c>
      <c r="F361" s="28" t="s">
        <v>740</v>
      </c>
      <c r="G361" s="25" t="s">
        <v>869</v>
      </c>
      <c r="H361" s="25" t="s">
        <v>876</v>
      </c>
      <c r="I361" s="29">
        <v>10</v>
      </c>
      <c r="J361" s="31">
        <f>StockOutData[[#This Row],[Quantity]]*2.5</f>
        <v>25</v>
      </c>
    </row>
    <row r="362" spans="1:10" x14ac:dyDescent="0.25">
      <c r="A362" s="29">
        <v>361</v>
      </c>
      <c r="B362" s="30">
        <f t="shared" si="5"/>
        <v>43718</v>
      </c>
      <c r="C362" s="30"/>
      <c r="D362" s="30"/>
      <c r="E362" s="27" t="s">
        <v>741</v>
      </c>
      <c r="F362" s="28" t="s">
        <v>742</v>
      </c>
      <c r="G362" s="25" t="s">
        <v>869</v>
      </c>
      <c r="H362" s="25" t="s">
        <v>876</v>
      </c>
      <c r="I362" s="29">
        <v>10</v>
      </c>
      <c r="J362" s="31">
        <f>StockOutData[[#This Row],[Quantity]]*2.5</f>
        <v>25</v>
      </c>
    </row>
    <row r="363" spans="1:10" x14ac:dyDescent="0.25">
      <c r="A363" s="29">
        <v>362</v>
      </c>
      <c r="B363" s="30">
        <f t="shared" si="5"/>
        <v>43719</v>
      </c>
      <c r="C363" s="30"/>
      <c r="D363" s="30"/>
      <c r="E363" s="27" t="s">
        <v>743</v>
      </c>
      <c r="F363" s="28" t="s">
        <v>744</v>
      </c>
      <c r="G363" s="25" t="s">
        <v>869</v>
      </c>
      <c r="H363" s="25" t="s">
        <v>876</v>
      </c>
      <c r="I363" s="29">
        <v>7</v>
      </c>
      <c r="J363" s="31">
        <f>StockOutData[[#This Row],[Quantity]]*2.5</f>
        <v>17.5</v>
      </c>
    </row>
    <row r="364" spans="1:10" x14ac:dyDescent="0.25">
      <c r="A364" s="29">
        <v>363</v>
      </c>
      <c r="B364" s="30">
        <f t="shared" si="5"/>
        <v>43720</v>
      </c>
      <c r="C364" s="30"/>
      <c r="D364" s="30"/>
      <c r="E364" s="27" t="s">
        <v>745</v>
      </c>
      <c r="F364" s="28" t="s">
        <v>746</v>
      </c>
      <c r="G364" s="25" t="s">
        <v>869</v>
      </c>
      <c r="H364" s="25" t="s">
        <v>876</v>
      </c>
      <c r="I364" s="29">
        <v>15</v>
      </c>
      <c r="J364" s="31">
        <f>StockOutData[[#This Row],[Quantity]]*2.5</f>
        <v>37.5</v>
      </c>
    </row>
    <row r="365" spans="1:10" x14ac:dyDescent="0.25">
      <c r="A365" s="29">
        <v>364</v>
      </c>
      <c r="B365" s="30">
        <f t="shared" si="5"/>
        <v>43721</v>
      </c>
      <c r="C365" s="30"/>
      <c r="D365" s="30"/>
      <c r="E365" s="27" t="s">
        <v>747</v>
      </c>
      <c r="F365" s="28" t="s">
        <v>748</v>
      </c>
      <c r="G365" s="25" t="s">
        <v>869</v>
      </c>
      <c r="H365" s="25" t="s">
        <v>876</v>
      </c>
      <c r="I365" s="29">
        <v>18</v>
      </c>
      <c r="J365" s="31">
        <f>StockOutData[[#This Row],[Quantity]]*2.5</f>
        <v>45</v>
      </c>
    </row>
    <row r="366" spans="1:10" x14ac:dyDescent="0.25">
      <c r="A366" s="29">
        <v>365</v>
      </c>
      <c r="B366" s="30">
        <f t="shared" si="5"/>
        <v>43722</v>
      </c>
      <c r="C366" s="30"/>
      <c r="D366" s="30"/>
      <c r="E366" s="27" t="s">
        <v>749</v>
      </c>
      <c r="F366" s="28" t="s">
        <v>750</v>
      </c>
      <c r="G366" s="25" t="s">
        <v>869</v>
      </c>
      <c r="H366" s="25" t="s">
        <v>876</v>
      </c>
      <c r="I366" s="29">
        <v>12</v>
      </c>
      <c r="J366" s="31">
        <f>StockOutData[[#This Row],[Quantity]]*2.5</f>
        <v>30</v>
      </c>
    </row>
    <row r="367" spans="1:10" x14ac:dyDescent="0.25">
      <c r="A367" s="29">
        <v>366</v>
      </c>
      <c r="B367" s="30">
        <f t="shared" si="5"/>
        <v>43723</v>
      </c>
      <c r="C367" s="30"/>
      <c r="D367" s="30"/>
      <c r="E367" s="27" t="s">
        <v>751</v>
      </c>
      <c r="F367" s="28" t="s">
        <v>752</v>
      </c>
      <c r="G367" s="25" t="s">
        <v>869</v>
      </c>
      <c r="H367" s="25" t="s">
        <v>876</v>
      </c>
      <c r="I367" s="29">
        <v>14</v>
      </c>
      <c r="J367" s="31">
        <f>StockOutData[[#This Row],[Quantity]]*2.5</f>
        <v>35</v>
      </c>
    </row>
    <row r="368" spans="1:10" x14ac:dyDescent="0.25">
      <c r="A368" s="29">
        <v>367</v>
      </c>
      <c r="B368" s="30">
        <f t="shared" si="5"/>
        <v>43724</v>
      </c>
      <c r="C368" s="30"/>
      <c r="D368" s="30"/>
      <c r="E368" s="27" t="s">
        <v>753</v>
      </c>
      <c r="F368" s="28" t="s">
        <v>754</v>
      </c>
      <c r="G368" s="25" t="s">
        <v>869</v>
      </c>
      <c r="H368" s="25" t="s">
        <v>876</v>
      </c>
      <c r="I368" s="29">
        <v>13</v>
      </c>
      <c r="J368" s="31">
        <f>StockOutData[[#This Row],[Quantity]]*2.5</f>
        <v>32.5</v>
      </c>
    </row>
    <row r="369" spans="1:10" x14ac:dyDescent="0.25">
      <c r="A369" s="29">
        <v>368</v>
      </c>
      <c r="B369" s="30">
        <f t="shared" si="5"/>
        <v>43725</v>
      </c>
      <c r="C369" s="30"/>
      <c r="D369" s="30"/>
      <c r="E369" s="27" t="s">
        <v>755</v>
      </c>
      <c r="F369" s="28" t="s">
        <v>756</v>
      </c>
      <c r="G369" s="25" t="s">
        <v>869</v>
      </c>
      <c r="H369" s="25" t="s">
        <v>876</v>
      </c>
      <c r="I369" s="29">
        <v>5</v>
      </c>
      <c r="J369" s="31">
        <f>StockOutData[[#This Row],[Quantity]]*2.5</f>
        <v>12.5</v>
      </c>
    </row>
    <row r="370" spans="1:10" x14ac:dyDescent="0.25">
      <c r="A370" s="29">
        <v>369</v>
      </c>
      <c r="B370" s="30">
        <f t="shared" si="5"/>
        <v>43726</v>
      </c>
      <c r="C370" s="30"/>
      <c r="D370" s="30"/>
      <c r="E370" s="27" t="s">
        <v>757</v>
      </c>
      <c r="F370" s="28" t="s">
        <v>758</v>
      </c>
      <c r="G370" s="25" t="s">
        <v>869</v>
      </c>
      <c r="H370" s="25" t="s">
        <v>876</v>
      </c>
      <c r="I370" s="29">
        <v>7</v>
      </c>
      <c r="J370" s="31">
        <f>StockOutData[[#This Row],[Quantity]]*2.5</f>
        <v>17.5</v>
      </c>
    </row>
    <row r="371" spans="1:10" x14ac:dyDescent="0.25">
      <c r="A371" s="29">
        <v>370</v>
      </c>
      <c r="B371" s="30">
        <f t="shared" si="5"/>
        <v>43727</v>
      </c>
      <c r="C371" s="30"/>
      <c r="D371" s="30"/>
      <c r="E371" s="27" t="s">
        <v>759</v>
      </c>
      <c r="F371" s="28" t="s">
        <v>760</v>
      </c>
      <c r="G371" s="25" t="s">
        <v>869</v>
      </c>
      <c r="H371" s="25" t="s">
        <v>876</v>
      </c>
      <c r="I371" s="29">
        <v>15</v>
      </c>
      <c r="J371" s="31">
        <f>StockOutData[[#This Row],[Quantity]]*2.5</f>
        <v>37.5</v>
      </c>
    </row>
    <row r="372" spans="1:10" x14ac:dyDescent="0.25">
      <c r="A372" s="29">
        <v>371</v>
      </c>
      <c r="B372" s="30">
        <f t="shared" si="5"/>
        <v>43728</v>
      </c>
      <c r="C372" s="30"/>
      <c r="D372" s="30"/>
      <c r="E372" s="27" t="s">
        <v>761</v>
      </c>
      <c r="F372" s="28" t="s">
        <v>762</v>
      </c>
      <c r="G372" s="25" t="s">
        <v>869</v>
      </c>
      <c r="H372" s="25" t="s">
        <v>876</v>
      </c>
      <c r="I372" s="29">
        <v>18</v>
      </c>
      <c r="J372" s="31">
        <f>StockOutData[[#This Row],[Quantity]]*2.5</f>
        <v>45</v>
      </c>
    </row>
    <row r="373" spans="1:10" x14ac:dyDescent="0.25">
      <c r="A373" s="29">
        <v>372</v>
      </c>
      <c r="B373" s="30">
        <f t="shared" si="5"/>
        <v>43729</v>
      </c>
      <c r="C373" s="30"/>
      <c r="D373" s="30"/>
      <c r="E373" s="27" t="s">
        <v>763</v>
      </c>
      <c r="F373" s="28" t="s">
        <v>764</v>
      </c>
      <c r="G373" s="25" t="s">
        <v>869</v>
      </c>
      <c r="H373" s="25" t="s">
        <v>876</v>
      </c>
      <c r="I373" s="29">
        <v>12</v>
      </c>
      <c r="J373" s="31">
        <f>StockOutData[[#This Row],[Quantity]]*2.5</f>
        <v>30</v>
      </c>
    </row>
    <row r="374" spans="1:10" x14ac:dyDescent="0.25">
      <c r="A374" s="29">
        <v>373</v>
      </c>
      <c r="B374" s="30">
        <f t="shared" si="5"/>
        <v>43730</v>
      </c>
      <c r="C374" s="30"/>
      <c r="D374" s="30"/>
      <c r="E374" s="27" t="s">
        <v>765</v>
      </c>
      <c r="F374" s="28" t="s">
        <v>766</v>
      </c>
      <c r="G374" s="25" t="s">
        <v>869</v>
      </c>
      <c r="H374" s="25" t="s">
        <v>876</v>
      </c>
      <c r="I374" s="29">
        <v>14</v>
      </c>
      <c r="J374" s="31">
        <f>StockOutData[[#This Row],[Quantity]]*2.5</f>
        <v>35</v>
      </c>
    </row>
    <row r="375" spans="1:10" x14ac:dyDescent="0.25">
      <c r="A375" s="29">
        <v>374</v>
      </c>
      <c r="B375" s="30">
        <f t="shared" si="5"/>
        <v>43731</v>
      </c>
      <c r="C375" s="30"/>
      <c r="D375" s="30"/>
      <c r="E375" s="27" t="s">
        <v>767</v>
      </c>
      <c r="F375" s="28" t="s">
        <v>768</v>
      </c>
      <c r="G375" s="25" t="s">
        <v>869</v>
      </c>
      <c r="H375" s="25" t="s">
        <v>876</v>
      </c>
      <c r="I375" s="29">
        <v>13</v>
      </c>
      <c r="J375" s="31">
        <f>StockOutData[[#This Row],[Quantity]]*2.5</f>
        <v>32.5</v>
      </c>
    </row>
    <row r="376" spans="1:10" x14ac:dyDescent="0.25">
      <c r="A376" s="29">
        <v>375</v>
      </c>
      <c r="B376" s="30">
        <f t="shared" si="5"/>
        <v>43732</v>
      </c>
      <c r="C376" s="30"/>
      <c r="D376" s="30"/>
      <c r="E376" s="27" t="s">
        <v>769</v>
      </c>
      <c r="F376" s="28" t="s">
        <v>770</v>
      </c>
      <c r="G376" s="25" t="s">
        <v>869</v>
      </c>
      <c r="H376" s="25" t="s">
        <v>876</v>
      </c>
      <c r="I376" s="29">
        <v>5</v>
      </c>
      <c r="J376" s="31">
        <f>StockOutData[[#This Row],[Quantity]]*2.5</f>
        <v>12.5</v>
      </c>
    </row>
    <row r="377" spans="1:10" x14ac:dyDescent="0.25">
      <c r="A377" s="29">
        <v>376</v>
      </c>
      <c r="B377" s="30">
        <f t="shared" si="5"/>
        <v>43733</v>
      </c>
      <c r="C377" s="30"/>
      <c r="D377" s="30"/>
      <c r="E377" s="27" t="s">
        <v>771</v>
      </c>
      <c r="F377" s="28" t="s">
        <v>772</v>
      </c>
      <c r="G377" s="25" t="s">
        <v>869</v>
      </c>
      <c r="H377" s="25" t="s">
        <v>876</v>
      </c>
      <c r="I377" s="29">
        <v>7</v>
      </c>
      <c r="J377" s="31">
        <f>StockOutData[[#This Row],[Quantity]]*2.5</f>
        <v>17.5</v>
      </c>
    </row>
    <row r="378" spans="1:10" x14ac:dyDescent="0.25">
      <c r="A378" s="29">
        <v>377</v>
      </c>
      <c r="B378" s="30">
        <f t="shared" si="5"/>
        <v>43734</v>
      </c>
      <c r="C378" s="30"/>
      <c r="D378" s="30"/>
      <c r="E378" s="27" t="s">
        <v>773</v>
      </c>
      <c r="F378" s="28" t="s">
        <v>774</v>
      </c>
      <c r="G378" s="25" t="s">
        <v>869</v>
      </c>
      <c r="H378" s="25" t="s">
        <v>876</v>
      </c>
      <c r="I378" s="29">
        <v>15</v>
      </c>
      <c r="J378" s="31">
        <f>StockOutData[[#This Row],[Quantity]]*2.5</f>
        <v>37.5</v>
      </c>
    </row>
    <row r="379" spans="1:10" x14ac:dyDescent="0.25">
      <c r="A379" s="29">
        <v>378</v>
      </c>
      <c r="B379" s="30">
        <f t="shared" si="5"/>
        <v>43735</v>
      </c>
      <c r="C379" s="30"/>
      <c r="D379" s="30"/>
      <c r="E379" s="27" t="s">
        <v>775</v>
      </c>
      <c r="F379" s="28" t="s">
        <v>776</v>
      </c>
      <c r="G379" s="25" t="s">
        <v>869</v>
      </c>
      <c r="H379" s="25" t="s">
        <v>876</v>
      </c>
      <c r="I379" s="29">
        <v>18</v>
      </c>
      <c r="J379" s="31">
        <f>StockOutData[[#This Row],[Quantity]]*2.5</f>
        <v>45</v>
      </c>
    </row>
    <row r="380" spans="1:10" x14ac:dyDescent="0.25">
      <c r="A380" s="29">
        <v>379</v>
      </c>
      <c r="B380" s="30">
        <f t="shared" si="5"/>
        <v>43736</v>
      </c>
      <c r="C380" s="30"/>
      <c r="D380" s="30"/>
      <c r="E380" s="27" t="s">
        <v>777</v>
      </c>
      <c r="F380" s="28" t="s">
        <v>778</v>
      </c>
      <c r="G380" s="25" t="s">
        <v>869</v>
      </c>
      <c r="H380" s="25" t="s">
        <v>876</v>
      </c>
      <c r="I380" s="29">
        <v>12</v>
      </c>
      <c r="J380" s="31">
        <f>StockOutData[[#This Row],[Quantity]]*2.5</f>
        <v>30</v>
      </c>
    </row>
    <row r="381" spans="1:10" x14ac:dyDescent="0.25">
      <c r="A381" s="29">
        <v>380</v>
      </c>
      <c r="B381" s="30">
        <f t="shared" si="5"/>
        <v>43737</v>
      </c>
      <c r="C381" s="30"/>
      <c r="D381" s="30"/>
      <c r="E381" s="27" t="s">
        <v>779</v>
      </c>
      <c r="F381" s="28" t="s">
        <v>780</v>
      </c>
      <c r="G381" s="25" t="s">
        <v>869</v>
      </c>
      <c r="H381" s="25" t="s">
        <v>876</v>
      </c>
      <c r="I381" s="29">
        <v>10</v>
      </c>
      <c r="J381" s="31">
        <f>StockOutData[[#This Row],[Quantity]]*2.5</f>
        <v>25</v>
      </c>
    </row>
    <row r="382" spans="1:10" x14ac:dyDescent="0.25">
      <c r="A382" s="29">
        <v>381</v>
      </c>
      <c r="B382" s="30">
        <f t="shared" si="5"/>
        <v>43738</v>
      </c>
      <c r="C382" s="30"/>
      <c r="D382" s="30"/>
      <c r="E382" s="27" t="s">
        <v>781</v>
      </c>
      <c r="F382" s="28" t="s">
        <v>782</v>
      </c>
      <c r="G382" s="25" t="s">
        <v>869</v>
      </c>
      <c r="H382" s="25" t="s">
        <v>876</v>
      </c>
      <c r="I382" s="29">
        <v>10</v>
      </c>
      <c r="J382" s="31">
        <f>StockOutData[[#This Row],[Quantity]]*2.5</f>
        <v>25</v>
      </c>
    </row>
    <row r="383" spans="1:10" x14ac:dyDescent="0.25">
      <c r="A383" s="29">
        <v>382</v>
      </c>
      <c r="B383" s="30">
        <f t="shared" si="5"/>
        <v>43739</v>
      </c>
      <c r="C383" s="30"/>
      <c r="D383" s="30"/>
      <c r="E383" s="27" t="s">
        <v>783</v>
      </c>
      <c r="F383" s="28" t="s">
        <v>784</v>
      </c>
      <c r="G383" s="25" t="s">
        <v>869</v>
      </c>
      <c r="H383" s="25" t="s">
        <v>876</v>
      </c>
      <c r="I383" s="29">
        <v>10</v>
      </c>
      <c r="J383" s="31">
        <f>StockOutData[[#This Row],[Quantity]]*2.5</f>
        <v>25</v>
      </c>
    </row>
    <row r="384" spans="1:10" x14ac:dyDescent="0.25">
      <c r="A384" s="29">
        <v>383</v>
      </c>
      <c r="B384" s="30">
        <f t="shared" si="5"/>
        <v>43740</v>
      </c>
      <c r="C384" s="30"/>
      <c r="D384" s="30"/>
      <c r="E384" s="27" t="s">
        <v>785</v>
      </c>
      <c r="F384" s="28" t="s">
        <v>786</v>
      </c>
      <c r="G384" s="25" t="s">
        <v>869</v>
      </c>
      <c r="H384" s="25" t="s">
        <v>876</v>
      </c>
      <c r="I384" s="29">
        <v>7</v>
      </c>
      <c r="J384" s="31">
        <f>StockOutData[[#This Row],[Quantity]]*2.5</f>
        <v>17.5</v>
      </c>
    </row>
    <row r="385" spans="1:10" x14ac:dyDescent="0.25">
      <c r="A385" s="29">
        <v>384</v>
      </c>
      <c r="B385" s="30">
        <f t="shared" si="5"/>
        <v>43741</v>
      </c>
      <c r="C385" s="30"/>
      <c r="D385" s="30"/>
      <c r="E385" s="27" t="s">
        <v>787</v>
      </c>
      <c r="F385" s="28" t="s">
        <v>788</v>
      </c>
      <c r="G385" s="25" t="s">
        <v>869</v>
      </c>
      <c r="H385" s="25" t="s">
        <v>876</v>
      </c>
      <c r="I385" s="29">
        <v>15</v>
      </c>
      <c r="J385" s="31">
        <f>StockOutData[[#This Row],[Quantity]]*2.5</f>
        <v>37.5</v>
      </c>
    </row>
    <row r="386" spans="1:10" x14ac:dyDescent="0.25">
      <c r="A386" s="29">
        <v>385</v>
      </c>
      <c r="B386" s="30">
        <f t="shared" si="5"/>
        <v>43742</v>
      </c>
      <c r="C386" s="30"/>
      <c r="D386" s="30"/>
      <c r="E386" s="27" t="s">
        <v>789</v>
      </c>
      <c r="F386" s="28" t="s">
        <v>790</v>
      </c>
      <c r="G386" s="25" t="s">
        <v>869</v>
      </c>
      <c r="H386" s="25" t="s">
        <v>876</v>
      </c>
      <c r="I386" s="29">
        <v>18</v>
      </c>
      <c r="J386" s="31">
        <f>StockOutData[[#This Row],[Quantity]]*2.5</f>
        <v>45</v>
      </c>
    </row>
    <row r="387" spans="1:10" x14ac:dyDescent="0.25">
      <c r="A387" s="29">
        <v>386</v>
      </c>
      <c r="B387" s="30">
        <f t="shared" si="5"/>
        <v>43743</v>
      </c>
      <c r="C387" s="30"/>
      <c r="D387" s="30"/>
      <c r="E387" s="27" t="s">
        <v>791</v>
      </c>
      <c r="F387" s="28" t="s">
        <v>792</v>
      </c>
      <c r="G387" s="25" t="s">
        <v>869</v>
      </c>
      <c r="H387" s="25" t="s">
        <v>876</v>
      </c>
      <c r="I387" s="29">
        <v>12</v>
      </c>
      <c r="J387" s="31">
        <f>StockOutData[[#This Row],[Quantity]]*2.5</f>
        <v>30</v>
      </c>
    </row>
    <row r="388" spans="1:10" x14ac:dyDescent="0.25">
      <c r="A388" s="29">
        <v>387</v>
      </c>
      <c r="B388" s="30">
        <f t="shared" ref="B388:B425" si="6">B387+1</f>
        <v>43744</v>
      </c>
      <c r="C388" s="30"/>
      <c r="D388" s="30"/>
      <c r="E388" s="27" t="s">
        <v>793</v>
      </c>
      <c r="F388" s="28" t="s">
        <v>794</v>
      </c>
      <c r="G388" s="25" t="s">
        <v>869</v>
      </c>
      <c r="H388" s="25" t="s">
        <v>876</v>
      </c>
      <c r="I388" s="29">
        <v>14</v>
      </c>
      <c r="J388" s="31">
        <f>StockOutData[[#This Row],[Quantity]]*2.5</f>
        <v>35</v>
      </c>
    </row>
    <row r="389" spans="1:10" x14ac:dyDescent="0.25">
      <c r="A389" s="29">
        <v>388</v>
      </c>
      <c r="B389" s="30">
        <f t="shared" si="6"/>
        <v>43745</v>
      </c>
      <c r="C389" s="30"/>
      <c r="D389" s="30"/>
      <c r="E389" s="27" t="s">
        <v>795</v>
      </c>
      <c r="F389" s="28" t="s">
        <v>796</v>
      </c>
      <c r="G389" s="25" t="s">
        <v>869</v>
      </c>
      <c r="H389" s="25" t="s">
        <v>876</v>
      </c>
      <c r="I389" s="29">
        <v>13</v>
      </c>
      <c r="J389" s="31">
        <f>StockOutData[[#This Row],[Quantity]]*2.5</f>
        <v>32.5</v>
      </c>
    </row>
    <row r="390" spans="1:10" x14ac:dyDescent="0.25">
      <c r="A390" s="29">
        <v>389</v>
      </c>
      <c r="B390" s="30">
        <f t="shared" si="6"/>
        <v>43746</v>
      </c>
      <c r="C390" s="30"/>
      <c r="D390" s="30"/>
      <c r="E390" s="27" t="s">
        <v>797</v>
      </c>
      <c r="F390" s="28" t="s">
        <v>798</v>
      </c>
      <c r="G390" s="25" t="s">
        <v>869</v>
      </c>
      <c r="H390" s="25" t="s">
        <v>876</v>
      </c>
      <c r="I390" s="29">
        <v>5</v>
      </c>
      <c r="J390" s="31">
        <f>StockOutData[[#This Row],[Quantity]]*2.5</f>
        <v>12.5</v>
      </c>
    </row>
    <row r="391" spans="1:10" x14ac:dyDescent="0.25">
      <c r="A391" s="29">
        <v>390</v>
      </c>
      <c r="B391" s="30">
        <f t="shared" si="6"/>
        <v>43747</v>
      </c>
      <c r="C391" s="30"/>
      <c r="D391" s="30"/>
      <c r="E391" s="27" t="s">
        <v>799</v>
      </c>
      <c r="F391" s="28" t="s">
        <v>800</v>
      </c>
      <c r="G391" s="25" t="s">
        <v>869</v>
      </c>
      <c r="H391" s="25" t="s">
        <v>871</v>
      </c>
      <c r="I391" s="29">
        <v>7</v>
      </c>
      <c r="J391" s="31">
        <f>StockOutData[[#This Row],[Quantity]]*2.5</f>
        <v>17.5</v>
      </c>
    </row>
    <row r="392" spans="1:10" x14ac:dyDescent="0.25">
      <c r="A392" s="29">
        <v>391</v>
      </c>
      <c r="B392" s="30">
        <f t="shared" si="6"/>
        <v>43748</v>
      </c>
      <c r="C392" s="30"/>
      <c r="D392" s="30"/>
      <c r="E392" s="27" t="s">
        <v>801</v>
      </c>
      <c r="F392" s="28" t="s">
        <v>802</v>
      </c>
      <c r="G392" s="25" t="s">
        <v>869</v>
      </c>
      <c r="H392" s="25" t="s">
        <v>871</v>
      </c>
      <c r="I392" s="29">
        <v>15</v>
      </c>
      <c r="J392" s="31">
        <f>StockOutData[[#This Row],[Quantity]]*2.5</f>
        <v>37.5</v>
      </c>
    </row>
    <row r="393" spans="1:10" x14ac:dyDescent="0.25">
      <c r="A393" s="29">
        <v>392</v>
      </c>
      <c r="B393" s="30">
        <f t="shared" si="6"/>
        <v>43749</v>
      </c>
      <c r="C393" s="30"/>
      <c r="D393" s="30"/>
      <c r="E393" s="27" t="s">
        <v>803</v>
      </c>
      <c r="F393" s="28" t="s">
        <v>804</v>
      </c>
      <c r="G393" s="25" t="s">
        <v>869</v>
      </c>
      <c r="H393" s="25" t="s">
        <v>871</v>
      </c>
      <c r="I393" s="29">
        <v>18</v>
      </c>
      <c r="J393" s="31">
        <f>StockOutData[[#This Row],[Quantity]]*2.5</f>
        <v>45</v>
      </c>
    </row>
    <row r="394" spans="1:10" x14ac:dyDescent="0.25">
      <c r="A394" s="29">
        <v>393</v>
      </c>
      <c r="B394" s="30">
        <f t="shared" si="6"/>
        <v>43750</v>
      </c>
      <c r="C394" s="30"/>
      <c r="D394" s="30"/>
      <c r="E394" s="27" t="s">
        <v>805</v>
      </c>
      <c r="F394" s="28" t="s">
        <v>806</v>
      </c>
      <c r="G394" s="25" t="s">
        <v>869</v>
      </c>
      <c r="H394" s="25" t="s">
        <v>871</v>
      </c>
      <c r="I394" s="29">
        <v>12</v>
      </c>
      <c r="J394" s="31">
        <f>StockOutData[[#This Row],[Quantity]]*2.5</f>
        <v>30</v>
      </c>
    </row>
    <row r="395" spans="1:10" x14ac:dyDescent="0.25">
      <c r="A395" s="29">
        <v>394</v>
      </c>
      <c r="B395" s="30">
        <f t="shared" si="6"/>
        <v>43751</v>
      </c>
      <c r="C395" s="30"/>
      <c r="D395" s="30"/>
      <c r="E395" s="27" t="s">
        <v>807</v>
      </c>
      <c r="F395" s="28" t="s">
        <v>808</v>
      </c>
      <c r="G395" s="25" t="s">
        <v>869</v>
      </c>
      <c r="H395" s="25" t="s">
        <v>871</v>
      </c>
      <c r="I395" s="29">
        <v>14</v>
      </c>
      <c r="J395" s="31">
        <f>StockOutData[[#This Row],[Quantity]]*2.5</f>
        <v>35</v>
      </c>
    </row>
    <row r="396" spans="1:10" x14ac:dyDescent="0.25">
      <c r="A396" s="29">
        <v>395</v>
      </c>
      <c r="B396" s="30">
        <f t="shared" si="6"/>
        <v>43752</v>
      </c>
      <c r="C396" s="30"/>
      <c r="D396" s="30"/>
      <c r="E396" s="27" t="s">
        <v>809</v>
      </c>
      <c r="F396" s="28" t="s">
        <v>810</v>
      </c>
      <c r="G396" s="25" t="s">
        <v>869</v>
      </c>
      <c r="H396" s="25" t="s">
        <v>871</v>
      </c>
      <c r="I396" s="29">
        <v>13</v>
      </c>
      <c r="J396" s="31">
        <f>StockOutData[[#This Row],[Quantity]]*2.5</f>
        <v>32.5</v>
      </c>
    </row>
    <row r="397" spans="1:10" x14ac:dyDescent="0.25">
      <c r="A397" s="29">
        <v>396</v>
      </c>
      <c r="B397" s="30">
        <f t="shared" si="6"/>
        <v>43753</v>
      </c>
      <c r="C397" s="30"/>
      <c r="D397" s="30"/>
      <c r="E397" s="27" t="s">
        <v>811</v>
      </c>
      <c r="F397" s="28" t="s">
        <v>812</v>
      </c>
      <c r="G397" s="25" t="s">
        <v>869</v>
      </c>
      <c r="H397" s="25" t="s">
        <v>871</v>
      </c>
      <c r="I397" s="29">
        <v>5</v>
      </c>
      <c r="J397" s="31">
        <f>StockOutData[[#This Row],[Quantity]]*2.5</f>
        <v>12.5</v>
      </c>
    </row>
    <row r="398" spans="1:10" x14ac:dyDescent="0.25">
      <c r="A398" s="29">
        <v>397</v>
      </c>
      <c r="B398" s="30">
        <f t="shared" si="6"/>
        <v>43754</v>
      </c>
      <c r="C398" s="30"/>
      <c r="D398" s="30"/>
      <c r="E398" s="27" t="s">
        <v>813</v>
      </c>
      <c r="F398" s="28" t="s">
        <v>814</v>
      </c>
      <c r="G398" s="25" t="s">
        <v>869</v>
      </c>
      <c r="H398" s="25" t="s">
        <v>871</v>
      </c>
      <c r="I398" s="29">
        <v>7</v>
      </c>
      <c r="J398" s="31">
        <f>StockOutData[[#This Row],[Quantity]]*2.5</f>
        <v>17.5</v>
      </c>
    </row>
    <row r="399" spans="1:10" x14ac:dyDescent="0.25">
      <c r="A399" s="29">
        <v>398</v>
      </c>
      <c r="B399" s="30">
        <f t="shared" si="6"/>
        <v>43755</v>
      </c>
      <c r="C399" s="30"/>
      <c r="D399" s="30"/>
      <c r="E399" s="27" t="s">
        <v>815</v>
      </c>
      <c r="F399" s="28" t="s">
        <v>816</v>
      </c>
      <c r="G399" s="25" t="s">
        <v>869</v>
      </c>
      <c r="H399" s="25" t="s">
        <v>871</v>
      </c>
      <c r="I399" s="29">
        <v>15</v>
      </c>
      <c r="J399" s="31">
        <f>StockOutData[[#This Row],[Quantity]]*2.5</f>
        <v>37.5</v>
      </c>
    </row>
    <row r="400" spans="1:10" x14ac:dyDescent="0.25">
      <c r="A400" s="29">
        <v>399</v>
      </c>
      <c r="B400" s="30">
        <f t="shared" si="6"/>
        <v>43756</v>
      </c>
      <c r="C400" s="30"/>
      <c r="D400" s="30"/>
      <c r="E400" s="27" t="s">
        <v>817</v>
      </c>
      <c r="F400" s="28" t="s">
        <v>818</v>
      </c>
      <c r="G400" s="25" t="s">
        <v>869</v>
      </c>
      <c r="H400" s="25" t="s">
        <v>871</v>
      </c>
      <c r="I400" s="29">
        <v>18</v>
      </c>
      <c r="J400" s="31">
        <f>StockOutData[[#This Row],[Quantity]]*2.5</f>
        <v>45</v>
      </c>
    </row>
    <row r="401" spans="1:10" x14ac:dyDescent="0.25">
      <c r="A401" s="29">
        <v>400</v>
      </c>
      <c r="B401" s="30">
        <f t="shared" si="6"/>
        <v>43757</v>
      </c>
      <c r="C401" s="30"/>
      <c r="D401" s="30"/>
      <c r="E401" s="27" t="s">
        <v>819</v>
      </c>
      <c r="F401" s="28" t="s">
        <v>820</v>
      </c>
      <c r="G401" s="25" t="s">
        <v>869</v>
      </c>
      <c r="H401" s="25" t="s">
        <v>871</v>
      </c>
      <c r="I401" s="29">
        <v>12</v>
      </c>
      <c r="J401" s="31">
        <f>StockOutData[[#This Row],[Quantity]]*2.5</f>
        <v>30</v>
      </c>
    </row>
    <row r="402" spans="1:10" x14ac:dyDescent="0.25">
      <c r="A402" s="29">
        <v>401</v>
      </c>
      <c r="B402" s="30">
        <f t="shared" si="6"/>
        <v>43758</v>
      </c>
      <c r="C402" s="30"/>
      <c r="D402" s="30"/>
      <c r="E402" s="27" t="s">
        <v>821</v>
      </c>
      <c r="F402" s="28" t="s">
        <v>822</v>
      </c>
      <c r="G402" s="25" t="s">
        <v>869</v>
      </c>
      <c r="H402" s="25" t="s">
        <v>871</v>
      </c>
      <c r="I402" s="29">
        <v>10</v>
      </c>
      <c r="J402" s="31">
        <f>StockOutData[[#This Row],[Quantity]]*2.5</f>
        <v>25</v>
      </c>
    </row>
    <row r="403" spans="1:10" x14ac:dyDescent="0.25">
      <c r="A403" s="29">
        <v>402</v>
      </c>
      <c r="B403" s="30">
        <f t="shared" si="6"/>
        <v>43759</v>
      </c>
      <c r="C403" s="30"/>
      <c r="D403" s="30"/>
      <c r="E403" s="27" t="s">
        <v>823</v>
      </c>
      <c r="F403" s="28" t="s">
        <v>824</v>
      </c>
      <c r="G403" s="25" t="s">
        <v>869</v>
      </c>
      <c r="H403" s="25" t="s">
        <v>871</v>
      </c>
      <c r="I403" s="29">
        <v>7</v>
      </c>
      <c r="J403" s="31">
        <f>StockOutData[[#This Row],[Quantity]]*2.5</f>
        <v>17.5</v>
      </c>
    </row>
    <row r="404" spans="1:10" x14ac:dyDescent="0.25">
      <c r="A404" s="29">
        <v>403</v>
      </c>
      <c r="B404" s="30">
        <f t="shared" si="6"/>
        <v>43760</v>
      </c>
      <c r="C404" s="30"/>
      <c r="D404" s="30"/>
      <c r="E404" s="27" t="s">
        <v>825</v>
      </c>
      <c r="F404" s="28" t="s">
        <v>826</v>
      </c>
      <c r="G404" s="25" t="s">
        <v>869</v>
      </c>
      <c r="H404" s="25" t="s">
        <v>871</v>
      </c>
      <c r="I404" s="29">
        <v>15</v>
      </c>
      <c r="J404" s="31">
        <f>StockOutData[[#This Row],[Quantity]]*2.5</f>
        <v>37.5</v>
      </c>
    </row>
    <row r="405" spans="1:10" x14ac:dyDescent="0.25">
      <c r="A405" s="29">
        <v>404</v>
      </c>
      <c r="B405" s="30">
        <f t="shared" si="6"/>
        <v>43761</v>
      </c>
      <c r="C405" s="30"/>
      <c r="D405" s="30"/>
      <c r="E405" s="27" t="s">
        <v>827</v>
      </c>
      <c r="F405" s="28" t="s">
        <v>828</v>
      </c>
      <c r="G405" s="25" t="s">
        <v>869</v>
      </c>
      <c r="H405" s="25" t="s">
        <v>871</v>
      </c>
      <c r="I405" s="29">
        <v>18</v>
      </c>
      <c r="J405" s="31">
        <f>StockOutData[[#This Row],[Quantity]]*2.5</f>
        <v>45</v>
      </c>
    </row>
    <row r="406" spans="1:10" x14ac:dyDescent="0.25">
      <c r="A406" s="29">
        <v>405</v>
      </c>
      <c r="B406" s="30">
        <f t="shared" si="6"/>
        <v>43762</v>
      </c>
      <c r="C406" s="30"/>
      <c r="D406" s="30"/>
      <c r="E406" s="27" t="s">
        <v>829</v>
      </c>
      <c r="F406" s="28" t="s">
        <v>830</v>
      </c>
      <c r="G406" s="25" t="s">
        <v>869</v>
      </c>
      <c r="H406" s="25" t="s">
        <v>871</v>
      </c>
      <c r="I406" s="29">
        <v>12</v>
      </c>
      <c r="J406" s="31">
        <f>StockOutData[[#This Row],[Quantity]]*2.5</f>
        <v>30</v>
      </c>
    </row>
    <row r="407" spans="1:10" x14ac:dyDescent="0.25">
      <c r="A407" s="29">
        <v>406</v>
      </c>
      <c r="B407" s="30">
        <f t="shared" si="6"/>
        <v>43763</v>
      </c>
      <c r="C407" s="30"/>
      <c r="D407" s="30"/>
      <c r="E407" s="27" t="s">
        <v>831</v>
      </c>
      <c r="F407" s="28" t="s">
        <v>832</v>
      </c>
      <c r="G407" s="25" t="s">
        <v>869</v>
      </c>
      <c r="H407" s="25" t="s">
        <v>871</v>
      </c>
      <c r="I407" s="29">
        <v>14</v>
      </c>
      <c r="J407" s="31">
        <f>StockOutData[[#This Row],[Quantity]]*2.5</f>
        <v>35</v>
      </c>
    </row>
    <row r="408" spans="1:10" x14ac:dyDescent="0.25">
      <c r="A408" s="29">
        <v>407</v>
      </c>
      <c r="B408" s="30">
        <f t="shared" si="6"/>
        <v>43764</v>
      </c>
      <c r="C408" s="30"/>
      <c r="D408" s="30"/>
      <c r="E408" s="27" t="s">
        <v>833</v>
      </c>
      <c r="F408" s="28" t="s">
        <v>834</v>
      </c>
      <c r="G408" s="25" t="s">
        <v>869</v>
      </c>
      <c r="H408" s="25" t="s">
        <v>871</v>
      </c>
      <c r="I408" s="29">
        <v>13</v>
      </c>
      <c r="J408" s="31">
        <f>StockOutData[[#This Row],[Quantity]]*2.5</f>
        <v>32.5</v>
      </c>
    </row>
    <row r="409" spans="1:10" x14ac:dyDescent="0.25">
      <c r="A409" s="29">
        <v>408</v>
      </c>
      <c r="B409" s="30">
        <f t="shared" si="6"/>
        <v>43765</v>
      </c>
      <c r="C409" s="30"/>
      <c r="D409" s="30"/>
      <c r="E409" s="27" t="s">
        <v>835</v>
      </c>
      <c r="F409" s="28" t="s">
        <v>836</v>
      </c>
      <c r="G409" s="25" t="s">
        <v>869</v>
      </c>
      <c r="H409" s="25" t="s">
        <v>871</v>
      </c>
      <c r="I409" s="29">
        <v>5</v>
      </c>
      <c r="J409" s="31">
        <f>StockOutData[[#This Row],[Quantity]]*2.5</f>
        <v>12.5</v>
      </c>
    </row>
    <row r="410" spans="1:10" x14ac:dyDescent="0.25">
      <c r="A410" s="29">
        <v>409</v>
      </c>
      <c r="B410" s="30">
        <f t="shared" si="6"/>
        <v>43766</v>
      </c>
      <c r="C410" s="30"/>
      <c r="D410" s="30"/>
      <c r="E410" s="27" t="s">
        <v>837</v>
      </c>
      <c r="F410" s="28" t="s">
        <v>838</v>
      </c>
      <c r="G410" s="25" t="s">
        <v>869</v>
      </c>
      <c r="H410" s="25" t="s">
        <v>870</v>
      </c>
      <c r="I410" s="29">
        <v>7</v>
      </c>
      <c r="J410" s="31">
        <f>StockOutData[[#This Row],[Quantity]]*2.5</f>
        <v>17.5</v>
      </c>
    </row>
    <row r="411" spans="1:10" x14ac:dyDescent="0.25">
      <c r="A411" s="29">
        <v>410</v>
      </c>
      <c r="B411" s="30">
        <f t="shared" si="6"/>
        <v>43767</v>
      </c>
      <c r="C411" s="30"/>
      <c r="D411" s="30"/>
      <c r="E411" s="27" t="s">
        <v>839</v>
      </c>
      <c r="F411" s="28" t="s">
        <v>840</v>
      </c>
      <c r="G411" s="25" t="s">
        <v>869</v>
      </c>
      <c r="H411" s="25" t="s">
        <v>870</v>
      </c>
      <c r="I411" s="29">
        <v>15</v>
      </c>
      <c r="J411" s="31">
        <f>StockOutData[[#This Row],[Quantity]]*2.5</f>
        <v>37.5</v>
      </c>
    </row>
    <row r="412" spans="1:10" x14ac:dyDescent="0.25">
      <c r="A412" s="29">
        <v>411</v>
      </c>
      <c r="B412" s="30">
        <f t="shared" si="6"/>
        <v>43768</v>
      </c>
      <c r="C412" s="30"/>
      <c r="D412" s="30"/>
      <c r="E412" s="27" t="s">
        <v>841</v>
      </c>
      <c r="F412" s="28" t="s">
        <v>842</v>
      </c>
      <c r="G412" s="25" t="s">
        <v>869</v>
      </c>
      <c r="H412" s="25" t="s">
        <v>870</v>
      </c>
      <c r="I412" s="29">
        <v>18</v>
      </c>
      <c r="J412" s="31">
        <f>StockOutData[[#This Row],[Quantity]]*2.5</f>
        <v>45</v>
      </c>
    </row>
    <row r="413" spans="1:10" x14ac:dyDescent="0.25">
      <c r="A413" s="29">
        <v>412</v>
      </c>
      <c r="B413" s="30">
        <f t="shared" si="6"/>
        <v>43769</v>
      </c>
      <c r="C413" s="30"/>
      <c r="D413" s="30"/>
      <c r="E413" s="27" t="s">
        <v>843</v>
      </c>
      <c r="F413" s="28" t="s">
        <v>844</v>
      </c>
      <c r="G413" s="25" t="s">
        <v>869</v>
      </c>
      <c r="H413" s="25" t="s">
        <v>870</v>
      </c>
      <c r="I413" s="29">
        <v>12</v>
      </c>
      <c r="J413" s="31">
        <f>StockOutData[[#This Row],[Quantity]]*2.5</f>
        <v>30</v>
      </c>
    </row>
    <row r="414" spans="1:10" x14ac:dyDescent="0.25">
      <c r="A414" s="29">
        <v>413</v>
      </c>
      <c r="B414" s="30">
        <f t="shared" si="6"/>
        <v>43770</v>
      </c>
      <c r="C414" s="30"/>
      <c r="D414" s="30"/>
      <c r="E414" s="27" t="s">
        <v>845</v>
      </c>
      <c r="F414" s="28" t="s">
        <v>846</v>
      </c>
      <c r="G414" s="25" t="s">
        <v>869</v>
      </c>
      <c r="H414" s="25" t="s">
        <v>870</v>
      </c>
      <c r="I414" s="29">
        <v>14</v>
      </c>
      <c r="J414" s="31">
        <f>StockOutData[[#This Row],[Quantity]]*2.5</f>
        <v>35</v>
      </c>
    </row>
    <row r="415" spans="1:10" x14ac:dyDescent="0.25">
      <c r="A415" s="29">
        <v>414</v>
      </c>
      <c r="B415" s="30">
        <f t="shared" si="6"/>
        <v>43771</v>
      </c>
      <c r="C415" s="30"/>
      <c r="D415" s="30"/>
      <c r="E415" s="27" t="s">
        <v>847</v>
      </c>
      <c r="F415" s="28" t="s">
        <v>848</v>
      </c>
      <c r="G415" s="25" t="s">
        <v>869</v>
      </c>
      <c r="H415" s="25" t="s">
        <v>870</v>
      </c>
      <c r="I415" s="29">
        <v>13</v>
      </c>
      <c r="J415" s="31">
        <f>StockOutData[[#This Row],[Quantity]]*2.5</f>
        <v>32.5</v>
      </c>
    </row>
    <row r="416" spans="1:10" x14ac:dyDescent="0.25">
      <c r="A416" s="29">
        <v>415</v>
      </c>
      <c r="B416" s="30">
        <f t="shared" si="6"/>
        <v>43772</v>
      </c>
      <c r="C416" s="30"/>
      <c r="D416" s="30"/>
      <c r="E416" s="27" t="s">
        <v>849</v>
      </c>
      <c r="F416" s="28" t="s">
        <v>850</v>
      </c>
      <c r="G416" s="25" t="s">
        <v>869</v>
      </c>
      <c r="H416" s="25" t="s">
        <v>870</v>
      </c>
      <c r="I416" s="29">
        <v>5</v>
      </c>
      <c r="J416" s="31">
        <f>StockOutData[[#This Row],[Quantity]]*2.5</f>
        <v>12.5</v>
      </c>
    </row>
    <row r="417" spans="1:10" x14ac:dyDescent="0.25">
      <c r="A417" s="29">
        <v>416</v>
      </c>
      <c r="B417" s="30">
        <f t="shared" si="6"/>
        <v>43773</v>
      </c>
      <c r="C417" s="30"/>
      <c r="D417" s="30"/>
      <c r="E417" s="27" t="s">
        <v>851</v>
      </c>
      <c r="F417" s="28" t="s">
        <v>852</v>
      </c>
      <c r="G417" s="25" t="s">
        <v>869</v>
      </c>
      <c r="H417" s="25" t="s">
        <v>870</v>
      </c>
      <c r="I417" s="29">
        <v>7</v>
      </c>
      <c r="J417" s="31">
        <f>StockOutData[[#This Row],[Quantity]]*2.5</f>
        <v>17.5</v>
      </c>
    </row>
    <row r="418" spans="1:10" x14ac:dyDescent="0.25">
      <c r="A418" s="29">
        <v>417</v>
      </c>
      <c r="B418" s="30">
        <f t="shared" si="6"/>
        <v>43774</v>
      </c>
      <c r="C418" s="30"/>
      <c r="D418" s="30"/>
      <c r="E418" s="27" t="s">
        <v>853</v>
      </c>
      <c r="F418" s="28" t="s">
        <v>854</v>
      </c>
      <c r="G418" s="25" t="s">
        <v>869</v>
      </c>
      <c r="H418" s="25" t="s">
        <v>870</v>
      </c>
      <c r="I418" s="29">
        <v>15</v>
      </c>
      <c r="J418" s="31">
        <f>StockOutData[[#This Row],[Quantity]]*2.5</f>
        <v>37.5</v>
      </c>
    </row>
    <row r="419" spans="1:10" x14ac:dyDescent="0.25">
      <c r="A419" s="29">
        <v>418</v>
      </c>
      <c r="B419" s="30">
        <f t="shared" si="6"/>
        <v>43775</v>
      </c>
      <c r="C419" s="30"/>
      <c r="D419" s="30"/>
      <c r="E419" s="27" t="s">
        <v>855</v>
      </c>
      <c r="F419" s="28" t="s">
        <v>856</v>
      </c>
      <c r="G419" s="25" t="s">
        <v>869</v>
      </c>
      <c r="H419" s="25" t="s">
        <v>870</v>
      </c>
      <c r="I419" s="29">
        <v>18</v>
      </c>
      <c r="J419" s="31">
        <f>StockOutData[[#This Row],[Quantity]]*2.5</f>
        <v>45</v>
      </c>
    </row>
    <row r="420" spans="1:10" x14ac:dyDescent="0.25">
      <c r="A420" s="29">
        <v>419</v>
      </c>
      <c r="B420" s="30">
        <f t="shared" si="6"/>
        <v>43776</v>
      </c>
      <c r="C420" s="30"/>
      <c r="D420" s="30"/>
      <c r="E420" s="27" t="s">
        <v>857</v>
      </c>
      <c r="F420" s="28" t="s">
        <v>858</v>
      </c>
      <c r="G420" s="25" t="s">
        <v>869</v>
      </c>
      <c r="H420" s="25" t="s">
        <v>870</v>
      </c>
      <c r="I420" s="29">
        <v>12</v>
      </c>
      <c r="J420" s="31">
        <f>StockOutData[[#This Row],[Quantity]]*2.5</f>
        <v>30</v>
      </c>
    </row>
    <row r="421" spans="1:10" x14ac:dyDescent="0.25">
      <c r="A421" s="29">
        <v>420</v>
      </c>
      <c r="B421" s="30">
        <f t="shared" si="6"/>
        <v>43777</v>
      </c>
      <c r="C421" s="30"/>
      <c r="D421" s="30"/>
      <c r="E421" s="27" t="s">
        <v>859</v>
      </c>
      <c r="F421" s="28" t="s">
        <v>860</v>
      </c>
      <c r="G421" s="25" t="s">
        <v>869</v>
      </c>
      <c r="H421" s="25" t="s">
        <v>870</v>
      </c>
      <c r="I421" s="29">
        <v>10</v>
      </c>
      <c r="J421" s="31">
        <f>StockOutData[[#This Row],[Quantity]]*2.5</f>
        <v>25</v>
      </c>
    </row>
    <row r="422" spans="1:10" x14ac:dyDescent="0.25">
      <c r="A422" s="29">
        <v>421</v>
      </c>
      <c r="B422" s="30">
        <f t="shared" si="6"/>
        <v>43778</v>
      </c>
      <c r="C422" s="30"/>
      <c r="D422" s="30"/>
      <c r="E422" s="27" t="s">
        <v>861</v>
      </c>
      <c r="F422" s="28" t="s">
        <v>862</v>
      </c>
      <c r="G422" s="25" t="s">
        <v>869</v>
      </c>
      <c r="H422" s="25" t="s">
        <v>870</v>
      </c>
      <c r="I422" s="29">
        <v>10</v>
      </c>
      <c r="J422" s="31">
        <f>StockOutData[[#This Row],[Quantity]]*2.5</f>
        <v>25</v>
      </c>
    </row>
    <row r="423" spans="1:10" x14ac:dyDescent="0.25">
      <c r="A423" s="29">
        <v>422</v>
      </c>
      <c r="B423" s="30">
        <f t="shared" si="6"/>
        <v>43779</v>
      </c>
      <c r="C423" s="30"/>
      <c r="D423" s="30"/>
      <c r="E423" s="27" t="s">
        <v>863</v>
      </c>
      <c r="F423" s="28" t="s">
        <v>864</v>
      </c>
      <c r="G423" s="25" t="s">
        <v>869</v>
      </c>
      <c r="H423" s="25" t="s">
        <v>870</v>
      </c>
      <c r="I423" s="29">
        <v>10</v>
      </c>
      <c r="J423" s="31">
        <f>StockOutData[[#This Row],[Quantity]]*2.5</f>
        <v>25</v>
      </c>
    </row>
    <row r="424" spans="1:10" x14ac:dyDescent="0.25">
      <c r="A424" s="29">
        <v>423</v>
      </c>
      <c r="B424" s="30">
        <f t="shared" si="6"/>
        <v>43780</v>
      </c>
      <c r="C424" s="30"/>
      <c r="D424" s="30"/>
      <c r="E424" s="27" t="s">
        <v>865</v>
      </c>
      <c r="F424" s="28" t="s">
        <v>866</v>
      </c>
      <c r="G424" s="25" t="s">
        <v>869</v>
      </c>
      <c r="H424" s="25" t="s">
        <v>870</v>
      </c>
      <c r="I424" s="29">
        <v>10</v>
      </c>
      <c r="J424" s="31">
        <f>StockOutData[[#This Row],[Quantity]]*2.5</f>
        <v>25</v>
      </c>
    </row>
    <row r="425" spans="1:10" x14ac:dyDescent="0.25">
      <c r="A425" s="29">
        <v>424</v>
      </c>
      <c r="B425" s="30">
        <f t="shared" si="6"/>
        <v>43781</v>
      </c>
      <c r="C425" s="30"/>
      <c r="D425" s="30"/>
      <c r="E425" s="27" t="s">
        <v>867</v>
      </c>
      <c r="F425" s="28" t="s">
        <v>868</v>
      </c>
      <c r="G425" s="25" t="s">
        <v>869</v>
      </c>
      <c r="H425" s="25" t="s">
        <v>870</v>
      </c>
      <c r="I425" s="29">
        <v>10</v>
      </c>
      <c r="J425" s="31">
        <f>StockOutData[[#This Row],[Quantity]]*2.5</f>
        <v>25</v>
      </c>
    </row>
    <row r="426" spans="1:10" x14ac:dyDescent="0.25">
      <c r="A426" s="55">
        <v>425</v>
      </c>
      <c r="B426" s="56">
        <v>43533</v>
      </c>
      <c r="C426" s="56" t="s">
        <v>961</v>
      </c>
      <c r="D426" s="56" t="s">
        <v>962</v>
      </c>
      <c r="E426" s="57" t="s">
        <v>33</v>
      </c>
      <c r="F426" s="58" t="s">
        <v>34</v>
      </c>
      <c r="G426" s="57"/>
      <c r="H426" s="57"/>
      <c r="I426" s="55">
        <v>6</v>
      </c>
      <c r="J426" s="59">
        <v>6.5400000000000009</v>
      </c>
    </row>
    <row r="427" spans="1:10" x14ac:dyDescent="0.25">
      <c r="A427" s="55">
        <v>426</v>
      </c>
      <c r="B427" s="56">
        <v>43533</v>
      </c>
      <c r="C427" s="56" t="s">
        <v>961</v>
      </c>
      <c r="D427" s="56" t="s">
        <v>962</v>
      </c>
      <c r="E427" s="57" t="s">
        <v>882</v>
      </c>
      <c r="F427" s="58" t="s">
        <v>883</v>
      </c>
      <c r="G427" s="57"/>
      <c r="H427" s="57"/>
      <c r="I427" s="55">
        <v>12</v>
      </c>
      <c r="J427" s="59">
        <v>8.2799999999999994</v>
      </c>
    </row>
    <row r="428" spans="1:10" x14ac:dyDescent="0.25">
      <c r="A428" s="55">
        <v>427</v>
      </c>
      <c r="B428" s="56">
        <v>43533</v>
      </c>
      <c r="C428" s="56" t="s">
        <v>961</v>
      </c>
      <c r="D428" s="56" t="s">
        <v>962</v>
      </c>
      <c r="E428" s="57" t="s">
        <v>884</v>
      </c>
      <c r="F428" s="58" t="s">
        <v>885</v>
      </c>
      <c r="G428" s="57"/>
      <c r="H428" s="57"/>
      <c r="I428" s="55">
        <v>16</v>
      </c>
      <c r="J428" s="59">
        <v>22.24</v>
      </c>
    </row>
    <row r="429" spans="1:10" x14ac:dyDescent="0.25">
      <c r="A429" s="55">
        <v>428</v>
      </c>
      <c r="B429" s="56">
        <v>43533</v>
      </c>
      <c r="C429" s="56" t="s">
        <v>961</v>
      </c>
      <c r="D429" s="56" t="s">
        <v>962</v>
      </c>
      <c r="E429" s="57" t="s">
        <v>886</v>
      </c>
      <c r="F429" s="58" t="s">
        <v>887</v>
      </c>
      <c r="G429" s="57"/>
      <c r="H429" s="57"/>
      <c r="I429" s="55">
        <v>15</v>
      </c>
      <c r="J429" s="59">
        <v>16.350000000000001</v>
      </c>
    </row>
    <row r="430" spans="1:10" x14ac:dyDescent="0.25">
      <c r="A430" s="55">
        <v>429</v>
      </c>
      <c r="B430" s="56">
        <v>43533</v>
      </c>
      <c r="C430" s="56" t="s">
        <v>961</v>
      </c>
      <c r="D430" s="56" t="s">
        <v>962</v>
      </c>
      <c r="E430" s="57" t="s">
        <v>888</v>
      </c>
      <c r="F430" s="58" t="s">
        <v>889</v>
      </c>
      <c r="G430" s="57"/>
      <c r="H430" s="57"/>
      <c r="I430" s="55">
        <v>15</v>
      </c>
      <c r="J430" s="59">
        <v>14.85</v>
      </c>
    </row>
    <row r="431" spans="1:10" x14ac:dyDescent="0.25">
      <c r="A431" s="55">
        <v>430</v>
      </c>
      <c r="B431" s="56">
        <v>43533</v>
      </c>
      <c r="C431" s="56" t="s">
        <v>961</v>
      </c>
      <c r="D431" s="56" t="s">
        <v>962</v>
      </c>
      <c r="E431" s="57" t="s">
        <v>890</v>
      </c>
      <c r="F431" s="58" t="s">
        <v>891</v>
      </c>
      <c r="G431" s="57"/>
      <c r="H431" s="57"/>
      <c r="I431" s="55">
        <v>15</v>
      </c>
      <c r="J431" s="59">
        <v>13.35</v>
      </c>
    </row>
    <row r="432" spans="1:10" x14ac:dyDescent="0.25">
      <c r="A432" s="55">
        <v>431</v>
      </c>
      <c r="B432" s="56">
        <v>43533</v>
      </c>
      <c r="C432" s="56" t="s">
        <v>961</v>
      </c>
      <c r="D432" s="56" t="s">
        <v>962</v>
      </c>
      <c r="E432" s="57" t="s">
        <v>892</v>
      </c>
      <c r="F432" s="58" t="s">
        <v>893</v>
      </c>
      <c r="G432" s="57"/>
      <c r="H432" s="57"/>
      <c r="I432" s="55">
        <v>16</v>
      </c>
      <c r="J432" s="59">
        <v>14.24</v>
      </c>
    </row>
    <row r="433" spans="1:10" x14ac:dyDescent="0.25">
      <c r="A433" s="55">
        <v>432</v>
      </c>
      <c r="B433" s="56">
        <v>43533</v>
      </c>
      <c r="C433" s="56" t="s">
        <v>961</v>
      </c>
      <c r="D433" s="56" t="s">
        <v>962</v>
      </c>
      <c r="E433" s="57" t="s">
        <v>894</v>
      </c>
      <c r="F433" s="58" t="s">
        <v>895</v>
      </c>
      <c r="G433" s="57"/>
      <c r="H433" s="57"/>
      <c r="I433" s="55">
        <v>16</v>
      </c>
      <c r="J433" s="59">
        <v>22.24</v>
      </c>
    </row>
    <row r="434" spans="1:10" x14ac:dyDescent="0.25">
      <c r="A434" s="55">
        <v>433</v>
      </c>
      <c r="B434" s="56">
        <v>43533</v>
      </c>
      <c r="C434" s="56" t="s">
        <v>961</v>
      </c>
      <c r="D434" s="56" t="s">
        <v>962</v>
      </c>
      <c r="E434" s="57" t="s">
        <v>896</v>
      </c>
      <c r="F434" s="58" t="s">
        <v>897</v>
      </c>
      <c r="G434" s="57"/>
      <c r="H434" s="57"/>
      <c r="I434" s="55">
        <v>16</v>
      </c>
      <c r="J434" s="59">
        <v>20.64</v>
      </c>
    </row>
    <row r="435" spans="1:10" x14ac:dyDescent="0.25">
      <c r="A435" s="55">
        <v>434</v>
      </c>
      <c r="B435" s="56">
        <v>43533</v>
      </c>
      <c r="C435" s="56" t="s">
        <v>961</v>
      </c>
      <c r="D435" s="56" t="s">
        <v>962</v>
      </c>
      <c r="E435" s="57" t="s">
        <v>898</v>
      </c>
      <c r="F435" s="58" t="s">
        <v>899</v>
      </c>
      <c r="G435" s="57"/>
      <c r="H435" s="57"/>
      <c r="I435" s="55">
        <v>16</v>
      </c>
      <c r="J435" s="59">
        <v>19.04</v>
      </c>
    </row>
    <row r="436" spans="1:10" x14ac:dyDescent="0.25">
      <c r="A436" s="55">
        <v>435</v>
      </c>
      <c r="B436" s="56">
        <v>43533</v>
      </c>
      <c r="C436" s="56" t="s">
        <v>961</v>
      </c>
      <c r="D436" s="56" t="s">
        <v>962</v>
      </c>
      <c r="E436" s="57" t="s">
        <v>900</v>
      </c>
      <c r="F436" s="58" t="s">
        <v>901</v>
      </c>
      <c r="G436" s="57"/>
      <c r="H436" s="57"/>
      <c r="I436" s="55">
        <v>16</v>
      </c>
      <c r="J436" s="59">
        <v>23.84</v>
      </c>
    </row>
    <row r="437" spans="1:10" x14ac:dyDescent="0.25">
      <c r="A437" s="55">
        <v>436</v>
      </c>
      <c r="B437" s="56">
        <v>43533</v>
      </c>
      <c r="C437" s="56" t="s">
        <v>961</v>
      </c>
      <c r="D437" s="56" t="s">
        <v>962</v>
      </c>
      <c r="E437" s="57" t="s">
        <v>902</v>
      </c>
      <c r="F437" s="58" t="s">
        <v>903</v>
      </c>
      <c r="G437" s="57"/>
      <c r="H437" s="57"/>
      <c r="I437" s="55">
        <v>15</v>
      </c>
      <c r="J437" s="59">
        <v>18.75</v>
      </c>
    </row>
    <row r="438" spans="1:10" x14ac:dyDescent="0.25">
      <c r="A438" s="55">
        <v>437</v>
      </c>
      <c r="B438" s="56">
        <v>43533</v>
      </c>
      <c r="C438" s="56" t="s">
        <v>961</v>
      </c>
      <c r="D438" s="56" t="s">
        <v>963</v>
      </c>
      <c r="E438" s="57" t="s">
        <v>43</v>
      </c>
      <c r="F438" s="58" t="s">
        <v>44</v>
      </c>
      <c r="G438" s="57"/>
      <c r="H438" s="57"/>
      <c r="I438" s="55">
        <v>27</v>
      </c>
      <c r="J438" s="59">
        <v>9.4499999999999993</v>
      </c>
    </row>
    <row r="439" spans="1:10" x14ac:dyDescent="0.25">
      <c r="A439" s="55">
        <v>438</v>
      </c>
      <c r="B439" s="56">
        <v>43533</v>
      </c>
      <c r="C439" s="56" t="s">
        <v>961</v>
      </c>
      <c r="D439" s="56" t="s">
        <v>963</v>
      </c>
      <c r="E439" s="57" t="s">
        <v>95</v>
      </c>
      <c r="F439" s="58" t="s">
        <v>96</v>
      </c>
      <c r="G439" s="57"/>
      <c r="H439" s="57"/>
      <c r="I439" s="55">
        <v>12</v>
      </c>
      <c r="J439" s="59">
        <v>17.88</v>
      </c>
    </row>
    <row r="440" spans="1:10" x14ac:dyDescent="0.25">
      <c r="A440" s="55">
        <v>439</v>
      </c>
      <c r="B440" s="56">
        <v>43533</v>
      </c>
      <c r="C440" s="56" t="s">
        <v>961</v>
      </c>
      <c r="D440" s="56" t="s">
        <v>963</v>
      </c>
      <c r="E440" s="57" t="s">
        <v>613</v>
      </c>
      <c r="F440" s="58" t="s">
        <v>614</v>
      </c>
      <c r="G440" s="57"/>
      <c r="H440" s="57"/>
      <c r="I440" s="55">
        <v>12</v>
      </c>
      <c r="J440" s="59">
        <v>83.88</v>
      </c>
    </row>
    <row r="441" spans="1:10" x14ac:dyDescent="0.25">
      <c r="A441" s="55">
        <v>440</v>
      </c>
      <c r="B441" s="56">
        <v>43533</v>
      </c>
      <c r="C441" s="56" t="s">
        <v>961</v>
      </c>
      <c r="D441" s="56" t="s">
        <v>963</v>
      </c>
      <c r="E441" s="57" t="s">
        <v>882</v>
      </c>
      <c r="F441" s="58" t="s">
        <v>883</v>
      </c>
      <c r="G441" s="57"/>
      <c r="H441" s="57"/>
      <c r="I441" s="55">
        <v>12</v>
      </c>
      <c r="J441" s="59">
        <v>8.2799999999999994</v>
      </c>
    </row>
    <row r="442" spans="1:10" x14ac:dyDescent="0.25">
      <c r="A442" s="55">
        <v>441</v>
      </c>
      <c r="B442" s="56">
        <v>43533</v>
      </c>
      <c r="C442" s="56" t="s">
        <v>961</v>
      </c>
      <c r="D442" s="56" t="s">
        <v>963</v>
      </c>
      <c r="E442" s="57" t="s">
        <v>904</v>
      </c>
      <c r="F442" s="58" t="s">
        <v>905</v>
      </c>
      <c r="G442" s="57"/>
      <c r="H442" s="57"/>
      <c r="I442" s="55">
        <v>96</v>
      </c>
      <c r="J442" s="59">
        <v>23.04</v>
      </c>
    </row>
    <row r="443" spans="1:10" x14ac:dyDescent="0.25">
      <c r="A443" s="55">
        <v>442</v>
      </c>
      <c r="B443" s="56">
        <v>43533</v>
      </c>
      <c r="C443" s="56" t="s">
        <v>961</v>
      </c>
      <c r="D443" s="56" t="s">
        <v>963</v>
      </c>
      <c r="E443" s="57" t="s">
        <v>906</v>
      </c>
      <c r="F443" s="58" t="s">
        <v>907</v>
      </c>
      <c r="G443" s="57"/>
      <c r="H443" s="57"/>
      <c r="I443" s="55">
        <v>10</v>
      </c>
      <c r="J443" s="59">
        <v>8.5</v>
      </c>
    </row>
    <row r="444" spans="1:10" x14ac:dyDescent="0.25">
      <c r="A444" s="55">
        <v>443</v>
      </c>
      <c r="B444" s="56">
        <v>43533</v>
      </c>
      <c r="C444" s="56" t="s">
        <v>961</v>
      </c>
      <c r="D444" s="56" t="s">
        <v>963</v>
      </c>
      <c r="E444" s="57" t="s">
        <v>908</v>
      </c>
      <c r="F444" s="58" t="s">
        <v>909</v>
      </c>
      <c r="G444" s="57"/>
      <c r="H444" s="57"/>
      <c r="I444" s="55">
        <v>8</v>
      </c>
      <c r="J444" s="59">
        <v>67.92</v>
      </c>
    </row>
    <row r="445" spans="1:10" x14ac:dyDescent="0.25">
      <c r="A445" s="55">
        <v>444</v>
      </c>
      <c r="B445" s="56">
        <v>43533</v>
      </c>
      <c r="C445" s="56" t="s">
        <v>961</v>
      </c>
      <c r="D445" s="56" t="s">
        <v>963</v>
      </c>
      <c r="E445" s="57" t="s">
        <v>910</v>
      </c>
      <c r="F445" s="58" t="s">
        <v>911</v>
      </c>
      <c r="G445" s="57"/>
      <c r="H445" s="57"/>
      <c r="I445" s="55">
        <v>20</v>
      </c>
      <c r="J445" s="59">
        <v>25</v>
      </c>
    </row>
    <row r="446" spans="1:10" x14ac:dyDescent="0.25">
      <c r="A446" s="55">
        <v>445</v>
      </c>
      <c r="B446" s="56">
        <v>43533</v>
      </c>
      <c r="C446" s="56" t="s">
        <v>961</v>
      </c>
      <c r="D446" s="56" t="s">
        <v>963</v>
      </c>
      <c r="E446" s="57" t="s">
        <v>912</v>
      </c>
      <c r="F446" s="58" t="s">
        <v>913</v>
      </c>
      <c r="G446" s="57"/>
      <c r="H446" s="57"/>
      <c r="I446" s="55">
        <v>1</v>
      </c>
      <c r="J446" s="59">
        <v>27</v>
      </c>
    </row>
    <row r="447" spans="1:10" x14ac:dyDescent="0.25">
      <c r="A447" s="55">
        <v>446</v>
      </c>
      <c r="B447" s="56">
        <v>43533</v>
      </c>
      <c r="C447" s="56" t="s">
        <v>961</v>
      </c>
      <c r="D447" s="56" t="s">
        <v>963</v>
      </c>
      <c r="E447" s="57" t="s">
        <v>914</v>
      </c>
      <c r="F447" s="58" t="s">
        <v>915</v>
      </c>
      <c r="G447" s="57"/>
      <c r="H447" s="57"/>
      <c r="I447" s="55">
        <v>12</v>
      </c>
      <c r="J447" s="59">
        <v>6</v>
      </c>
    </row>
    <row r="448" spans="1:10" x14ac:dyDescent="0.25">
      <c r="A448" s="55">
        <v>447</v>
      </c>
      <c r="B448" s="56">
        <v>43533</v>
      </c>
      <c r="C448" s="56" t="s">
        <v>961</v>
      </c>
      <c r="D448" s="56" t="s">
        <v>963</v>
      </c>
      <c r="E448" s="57" t="s">
        <v>916</v>
      </c>
      <c r="F448" s="58" t="s">
        <v>917</v>
      </c>
      <c r="G448" s="57"/>
      <c r="H448" s="57"/>
      <c r="I448" s="55">
        <v>8</v>
      </c>
      <c r="J448" s="59">
        <v>34.32</v>
      </c>
    </row>
    <row r="449" spans="1:10" x14ac:dyDescent="0.25">
      <c r="A449" s="55">
        <v>448</v>
      </c>
      <c r="B449" s="56">
        <v>43533</v>
      </c>
      <c r="C449" s="56" t="s">
        <v>961</v>
      </c>
      <c r="D449" s="56" t="s">
        <v>963</v>
      </c>
      <c r="E449" s="57" t="s">
        <v>918</v>
      </c>
      <c r="F449" s="58" t="s">
        <v>919</v>
      </c>
      <c r="G449" s="57"/>
      <c r="H449" s="57"/>
      <c r="I449" s="55">
        <v>10</v>
      </c>
      <c r="J449" s="59">
        <v>17.899999999999999</v>
      </c>
    </row>
    <row r="450" spans="1:10" x14ac:dyDescent="0.25">
      <c r="A450" s="55">
        <v>449</v>
      </c>
      <c r="B450" s="56">
        <v>43533</v>
      </c>
      <c r="C450" s="56" t="s">
        <v>961</v>
      </c>
      <c r="D450" s="56" t="s">
        <v>964</v>
      </c>
      <c r="E450" s="57" t="s">
        <v>920</v>
      </c>
      <c r="F450" s="58" t="s">
        <v>921</v>
      </c>
      <c r="G450" s="57"/>
      <c r="H450" s="57"/>
      <c r="I450" s="55">
        <v>4</v>
      </c>
      <c r="J450" s="59">
        <v>5.96</v>
      </c>
    </row>
    <row r="451" spans="1:10" x14ac:dyDescent="0.25">
      <c r="A451" s="55">
        <v>450</v>
      </c>
      <c r="B451" s="56">
        <v>43533</v>
      </c>
      <c r="C451" s="56" t="s">
        <v>961</v>
      </c>
      <c r="D451" s="56" t="s">
        <v>964</v>
      </c>
      <c r="E451" s="57" t="s">
        <v>922</v>
      </c>
      <c r="F451" s="58" t="s">
        <v>923</v>
      </c>
      <c r="G451" s="57"/>
      <c r="H451" s="57"/>
      <c r="I451" s="55">
        <v>12</v>
      </c>
      <c r="J451" s="59">
        <v>30</v>
      </c>
    </row>
    <row r="452" spans="1:10" x14ac:dyDescent="0.25">
      <c r="A452" s="55">
        <v>451</v>
      </c>
      <c r="B452" s="56">
        <v>43533</v>
      </c>
      <c r="C452" s="56" t="s">
        <v>961</v>
      </c>
      <c r="D452" s="56" t="s">
        <v>964</v>
      </c>
      <c r="E452" s="57" t="s">
        <v>924</v>
      </c>
      <c r="F452" s="58" t="s">
        <v>925</v>
      </c>
      <c r="G452" s="57"/>
      <c r="H452" s="57"/>
      <c r="I452" s="55">
        <v>15</v>
      </c>
      <c r="J452" s="59">
        <v>10.35</v>
      </c>
    </row>
    <row r="453" spans="1:10" x14ac:dyDescent="0.25">
      <c r="A453" s="55">
        <v>452</v>
      </c>
      <c r="B453" s="56">
        <v>43533</v>
      </c>
      <c r="C453" s="56" t="s">
        <v>961</v>
      </c>
      <c r="D453" s="56" t="s">
        <v>964</v>
      </c>
      <c r="E453" s="57" t="s">
        <v>926</v>
      </c>
      <c r="F453" s="58" t="s">
        <v>927</v>
      </c>
      <c r="G453" s="57"/>
      <c r="H453" s="57"/>
      <c r="I453" s="55">
        <v>10</v>
      </c>
      <c r="J453" s="59">
        <v>7.9</v>
      </c>
    </row>
    <row r="454" spans="1:10" x14ac:dyDescent="0.25">
      <c r="A454" s="55">
        <v>453</v>
      </c>
      <c r="B454" s="56">
        <v>43533</v>
      </c>
      <c r="C454" s="56" t="s">
        <v>961</v>
      </c>
      <c r="D454" s="56" t="s">
        <v>964</v>
      </c>
      <c r="E454" s="57" t="s">
        <v>311</v>
      </c>
      <c r="F454" s="58" t="s">
        <v>312</v>
      </c>
      <c r="G454" s="57"/>
      <c r="H454" s="57"/>
      <c r="I454" s="55">
        <v>10</v>
      </c>
      <c r="J454" s="59">
        <v>7.9</v>
      </c>
    </row>
    <row r="455" spans="1:10" x14ac:dyDescent="0.25">
      <c r="A455" s="55">
        <v>454</v>
      </c>
      <c r="B455" s="56">
        <v>43533</v>
      </c>
      <c r="C455" s="56" t="s">
        <v>961</v>
      </c>
      <c r="D455" s="56" t="s">
        <v>964</v>
      </c>
      <c r="E455" s="57" t="s">
        <v>329</v>
      </c>
      <c r="F455" s="58" t="s">
        <v>330</v>
      </c>
      <c r="G455" s="57"/>
      <c r="H455" s="57"/>
      <c r="I455" s="55">
        <v>15</v>
      </c>
      <c r="J455" s="59">
        <v>12.75</v>
      </c>
    </row>
    <row r="456" spans="1:10" x14ac:dyDescent="0.25">
      <c r="A456" s="55">
        <v>455</v>
      </c>
      <c r="B456" s="56">
        <v>43533</v>
      </c>
      <c r="C456" s="56" t="s">
        <v>961</v>
      </c>
      <c r="D456" s="56" t="s">
        <v>964</v>
      </c>
      <c r="E456" s="57" t="s">
        <v>353</v>
      </c>
      <c r="F456" s="58" t="s">
        <v>354</v>
      </c>
      <c r="G456" s="57"/>
      <c r="H456" s="57"/>
      <c r="I456" s="55">
        <v>12</v>
      </c>
      <c r="J456" s="59">
        <v>2.4000000000000004</v>
      </c>
    </row>
    <row r="457" spans="1:10" x14ac:dyDescent="0.25">
      <c r="A457" s="55">
        <v>456</v>
      </c>
      <c r="B457" s="56">
        <v>43533</v>
      </c>
      <c r="C457" s="56" t="s">
        <v>961</v>
      </c>
      <c r="D457" s="56" t="s">
        <v>964</v>
      </c>
      <c r="E457" s="57" t="s">
        <v>373</v>
      </c>
      <c r="F457" s="58" t="s">
        <v>374</v>
      </c>
      <c r="G457" s="57"/>
      <c r="H457" s="57"/>
      <c r="I457" s="55">
        <v>40</v>
      </c>
      <c r="J457" s="59">
        <v>20.399999999999999</v>
      </c>
    </row>
    <row r="458" spans="1:10" x14ac:dyDescent="0.25">
      <c r="A458" s="55">
        <v>457</v>
      </c>
      <c r="B458" s="56">
        <v>43533</v>
      </c>
      <c r="C458" s="56" t="s">
        <v>961</v>
      </c>
      <c r="D458" s="56" t="s">
        <v>964</v>
      </c>
      <c r="E458" s="57" t="s">
        <v>487</v>
      </c>
      <c r="F458" s="58" t="s">
        <v>928</v>
      </c>
      <c r="G458" s="57"/>
      <c r="H458" s="57"/>
      <c r="I458" s="55">
        <v>6</v>
      </c>
      <c r="J458" s="59">
        <v>3</v>
      </c>
    </row>
    <row r="459" spans="1:10" x14ac:dyDescent="0.25">
      <c r="A459" s="55">
        <v>458</v>
      </c>
      <c r="B459" s="56">
        <v>43533</v>
      </c>
      <c r="C459" s="56" t="s">
        <v>961</v>
      </c>
      <c r="D459" s="56" t="s">
        <v>964</v>
      </c>
      <c r="E459" s="57" t="s">
        <v>489</v>
      </c>
      <c r="F459" s="58" t="s">
        <v>490</v>
      </c>
      <c r="G459" s="57"/>
      <c r="H459" s="57"/>
      <c r="I459" s="55">
        <v>6</v>
      </c>
      <c r="J459" s="59">
        <v>3</v>
      </c>
    </row>
    <row r="460" spans="1:10" x14ac:dyDescent="0.25">
      <c r="A460" s="55">
        <v>459</v>
      </c>
      <c r="B460" s="56">
        <v>43533</v>
      </c>
      <c r="C460" s="56" t="s">
        <v>961</v>
      </c>
      <c r="D460" s="56" t="s">
        <v>964</v>
      </c>
      <c r="E460" s="57" t="s">
        <v>511</v>
      </c>
      <c r="F460" s="58" t="s">
        <v>512</v>
      </c>
      <c r="G460" s="57"/>
      <c r="H460" s="57"/>
      <c r="I460" s="55">
        <v>6</v>
      </c>
      <c r="J460" s="59">
        <v>5.9399999999999995</v>
      </c>
    </row>
    <row r="461" spans="1:10" x14ac:dyDescent="0.25">
      <c r="A461" s="55">
        <v>460</v>
      </c>
      <c r="B461" s="56">
        <v>43533</v>
      </c>
      <c r="C461" s="56" t="s">
        <v>961</v>
      </c>
      <c r="D461" s="56" t="s">
        <v>964</v>
      </c>
      <c r="E461" s="57" t="s">
        <v>904</v>
      </c>
      <c r="F461" s="58" t="s">
        <v>905</v>
      </c>
      <c r="G461" s="57"/>
      <c r="H461" s="57"/>
      <c r="I461" s="55">
        <v>96</v>
      </c>
      <c r="J461" s="59">
        <v>23.04</v>
      </c>
    </row>
    <row r="462" spans="1:10" x14ac:dyDescent="0.25">
      <c r="A462" s="55">
        <v>461</v>
      </c>
      <c r="B462" s="56">
        <v>43533</v>
      </c>
      <c r="C462" s="56" t="s">
        <v>961</v>
      </c>
      <c r="D462" s="56" t="s">
        <v>964</v>
      </c>
      <c r="E462" s="57" t="s">
        <v>929</v>
      </c>
      <c r="F462" s="58" t="s">
        <v>930</v>
      </c>
      <c r="G462" s="57"/>
      <c r="H462" s="57"/>
      <c r="I462" s="55">
        <v>10</v>
      </c>
      <c r="J462" s="59">
        <v>9.9</v>
      </c>
    </row>
    <row r="463" spans="1:10" x14ac:dyDescent="0.25">
      <c r="A463" s="55">
        <v>462</v>
      </c>
      <c r="B463" s="56">
        <v>43533</v>
      </c>
      <c r="C463" s="56" t="s">
        <v>961</v>
      </c>
      <c r="D463" s="56" t="s">
        <v>964</v>
      </c>
      <c r="E463" s="57" t="s">
        <v>711</v>
      </c>
      <c r="F463" s="58" t="s">
        <v>712</v>
      </c>
      <c r="G463" s="57"/>
      <c r="H463" s="57"/>
      <c r="I463" s="55">
        <v>12</v>
      </c>
      <c r="J463" s="59">
        <v>8.2799999999999994</v>
      </c>
    </row>
    <row r="464" spans="1:10" x14ac:dyDescent="0.25">
      <c r="A464" s="55">
        <v>463</v>
      </c>
      <c r="B464" s="56">
        <v>43533</v>
      </c>
      <c r="C464" s="56" t="s">
        <v>961</v>
      </c>
      <c r="D464" s="56" t="s">
        <v>964</v>
      </c>
      <c r="E464" s="57" t="s">
        <v>745</v>
      </c>
      <c r="F464" s="58" t="s">
        <v>746</v>
      </c>
      <c r="G464" s="57"/>
      <c r="H464" s="57"/>
      <c r="I464" s="55">
        <v>12</v>
      </c>
      <c r="J464" s="59">
        <v>7.08</v>
      </c>
    </row>
    <row r="465" spans="1:10" x14ac:dyDescent="0.25">
      <c r="A465" s="55">
        <v>464</v>
      </c>
      <c r="B465" s="56">
        <v>43533</v>
      </c>
      <c r="C465" s="56" t="s">
        <v>961</v>
      </c>
      <c r="D465" s="56" t="s">
        <v>964</v>
      </c>
      <c r="E465" s="57" t="s">
        <v>908</v>
      </c>
      <c r="F465" s="58" t="s">
        <v>909</v>
      </c>
      <c r="G465" s="57"/>
      <c r="H465" s="57"/>
      <c r="I465" s="55">
        <v>4</v>
      </c>
      <c r="J465" s="59">
        <v>33.96</v>
      </c>
    </row>
    <row r="466" spans="1:10" x14ac:dyDescent="0.25">
      <c r="A466" s="55">
        <v>465</v>
      </c>
      <c r="B466" s="56">
        <v>43533</v>
      </c>
      <c r="C466" s="56" t="s">
        <v>961</v>
      </c>
      <c r="D466" s="56" t="s">
        <v>964</v>
      </c>
      <c r="E466" s="57" t="s">
        <v>931</v>
      </c>
      <c r="F466" s="58" t="s">
        <v>932</v>
      </c>
      <c r="G466" s="57"/>
      <c r="H466" s="57"/>
      <c r="I466" s="55">
        <v>12</v>
      </c>
      <c r="J466" s="59">
        <v>65.400000000000006</v>
      </c>
    </row>
    <row r="467" spans="1:10" x14ac:dyDescent="0.25">
      <c r="A467" s="55">
        <v>466</v>
      </c>
      <c r="B467" s="56">
        <v>43533</v>
      </c>
      <c r="C467" s="56" t="s">
        <v>961</v>
      </c>
      <c r="D467" s="56" t="s">
        <v>964</v>
      </c>
      <c r="E467" s="57" t="s">
        <v>933</v>
      </c>
      <c r="F467" s="58" t="s">
        <v>934</v>
      </c>
      <c r="G467" s="57"/>
      <c r="H467" s="57"/>
      <c r="I467" s="55">
        <v>10</v>
      </c>
      <c r="J467" s="59">
        <v>11.899999999999999</v>
      </c>
    </row>
    <row r="468" spans="1:10" x14ac:dyDescent="0.25">
      <c r="A468" s="55">
        <v>467</v>
      </c>
      <c r="B468" s="56">
        <v>43533</v>
      </c>
      <c r="C468" s="56" t="s">
        <v>961</v>
      </c>
      <c r="D468" s="56" t="s">
        <v>964</v>
      </c>
      <c r="E468" s="57" t="s">
        <v>914</v>
      </c>
      <c r="F468" s="58" t="s">
        <v>915</v>
      </c>
      <c r="G468" s="57"/>
      <c r="H468" s="57"/>
      <c r="I468" s="55">
        <v>12</v>
      </c>
      <c r="J468" s="59">
        <v>9.6000000000000014</v>
      </c>
    </row>
    <row r="469" spans="1:10" x14ac:dyDescent="0.25">
      <c r="A469" s="55">
        <v>468</v>
      </c>
      <c r="B469" s="56">
        <v>43533</v>
      </c>
      <c r="C469" s="56" t="s">
        <v>961</v>
      </c>
      <c r="D469" s="56" t="s">
        <v>964</v>
      </c>
      <c r="E469" s="57" t="s">
        <v>935</v>
      </c>
      <c r="F469" s="58" t="s">
        <v>936</v>
      </c>
      <c r="G469" s="57"/>
      <c r="H469" s="57"/>
      <c r="I469" s="55">
        <v>8</v>
      </c>
      <c r="J469" s="59">
        <v>17.440000000000001</v>
      </c>
    </row>
    <row r="470" spans="1:10" x14ac:dyDescent="0.25">
      <c r="A470" s="55">
        <v>469</v>
      </c>
      <c r="B470" s="56">
        <v>43533</v>
      </c>
      <c r="C470" s="56" t="s">
        <v>961</v>
      </c>
      <c r="D470" s="56" t="s">
        <v>964</v>
      </c>
      <c r="E470" s="57" t="s">
        <v>918</v>
      </c>
      <c r="F470" s="58" t="s">
        <v>919</v>
      </c>
      <c r="G470" s="57"/>
      <c r="H470" s="57"/>
      <c r="I470" s="55">
        <v>10</v>
      </c>
      <c r="J470" s="59">
        <v>17.899999999999999</v>
      </c>
    </row>
    <row r="471" spans="1:10" x14ac:dyDescent="0.25">
      <c r="A471" s="55">
        <v>470</v>
      </c>
      <c r="B471" s="56">
        <v>43533</v>
      </c>
      <c r="C471" s="56" t="s">
        <v>961</v>
      </c>
      <c r="D471" s="56" t="s">
        <v>964</v>
      </c>
      <c r="E471" s="57" t="s">
        <v>888</v>
      </c>
      <c r="F471" s="58" t="s">
        <v>889</v>
      </c>
      <c r="G471" s="57"/>
      <c r="H471" s="57"/>
      <c r="I471" s="55">
        <v>30</v>
      </c>
      <c r="J471" s="59">
        <v>29.7</v>
      </c>
    </row>
    <row r="472" spans="1:10" x14ac:dyDescent="0.25">
      <c r="A472" s="55">
        <v>471</v>
      </c>
      <c r="B472" s="56">
        <v>43533</v>
      </c>
      <c r="C472" s="56" t="s">
        <v>961</v>
      </c>
      <c r="D472" s="56" t="s">
        <v>964</v>
      </c>
      <c r="E472" s="57" t="s">
        <v>937</v>
      </c>
      <c r="F472" s="58" t="s">
        <v>938</v>
      </c>
      <c r="G472" s="57"/>
      <c r="H472" s="57"/>
      <c r="I472" s="55">
        <v>8</v>
      </c>
      <c r="J472" s="59">
        <v>15.92</v>
      </c>
    </row>
    <row r="473" spans="1:10" x14ac:dyDescent="0.25">
      <c r="A473" s="55">
        <v>472</v>
      </c>
      <c r="B473" s="56">
        <v>43533</v>
      </c>
      <c r="C473" s="56" t="s">
        <v>961</v>
      </c>
      <c r="D473" s="56" t="s">
        <v>964</v>
      </c>
      <c r="E473" s="57" t="s">
        <v>939</v>
      </c>
      <c r="F473" s="58" t="s">
        <v>940</v>
      </c>
      <c r="G473" s="57"/>
      <c r="H473" s="57"/>
      <c r="I473" s="55">
        <v>8</v>
      </c>
      <c r="J473" s="59">
        <v>14</v>
      </c>
    </row>
    <row r="474" spans="1:10" x14ac:dyDescent="0.25">
      <c r="A474" s="55">
        <v>473</v>
      </c>
      <c r="B474" s="56">
        <v>43533</v>
      </c>
      <c r="C474" s="56" t="s">
        <v>961</v>
      </c>
      <c r="D474" s="56" t="s">
        <v>964</v>
      </c>
      <c r="E474" s="57" t="s">
        <v>941</v>
      </c>
      <c r="F474" s="58" t="s">
        <v>942</v>
      </c>
      <c r="G474" s="57"/>
      <c r="H474" s="57"/>
      <c r="I474" s="55">
        <v>8</v>
      </c>
      <c r="J474" s="59">
        <v>21.52</v>
      </c>
    </row>
    <row r="475" spans="1:10" x14ac:dyDescent="0.25">
      <c r="A475" s="55">
        <v>474</v>
      </c>
      <c r="B475" s="56">
        <v>43803</v>
      </c>
      <c r="C475" s="56" t="s">
        <v>970</v>
      </c>
      <c r="D475" s="56" t="s">
        <v>971</v>
      </c>
      <c r="E475" s="57"/>
      <c r="F475" s="58" t="s">
        <v>28</v>
      </c>
      <c r="G475" s="57" t="s">
        <v>869</v>
      </c>
      <c r="H475" s="57" t="s">
        <v>870</v>
      </c>
      <c r="I475" s="55">
        <v>10</v>
      </c>
      <c r="J475" s="59">
        <v>100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159" activePane="bottomRight" state="frozen"/>
      <selection pane="topRight" activeCell="K1" sqref="K1"/>
      <selection pane="bottomLeft" activeCell="A4" sqref="A4"/>
      <selection pane="bottomRight" activeCell="I162" sqref="I162"/>
    </sheetView>
  </sheetViews>
  <sheetFormatPr defaultRowHeight="15" x14ac:dyDescent="0.25"/>
  <cols>
    <col min="1" max="1" width="7.125" customWidth="1"/>
    <col min="2" max="2" width="11.625" customWidth="1"/>
    <col min="3" max="3" width="30.125" style="11" customWidth="1"/>
    <col min="4" max="4" width="19" customWidth="1"/>
    <col min="5" max="5" width="17.125" bestFit="1" customWidth="1"/>
    <col min="6" max="6" width="11.875" style="8" customWidth="1"/>
    <col min="7" max="7" width="11.25" style="32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2" x14ac:dyDescent="0.2">
      <c r="A1" s="38" t="s">
        <v>0</v>
      </c>
      <c r="B1" s="39" t="s">
        <v>2</v>
      </c>
      <c r="C1" s="39" t="s">
        <v>3</v>
      </c>
      <c r="D1" s="39" t="s">
        <v>4</v>
      </c>
      <c r="E1" s="39" t="s">
        <v>5</v>
      </c>
      <c r="F1" s="40" t="s">
        <v>10</v>
      </c>
      <c r="G1" s="41" t="s">
        <v>872</v>
      </c>
      <c r="H1" s="39" t="s">
        <v>8</v>
      </c>
      <c r="I1" s="39" t="s">
        <v>9</v>
      </c>
      <c r="J1" s="39" t="s">
        <v>7</v>
      </c>
    </row>
    <row r="2" spans="1:10" x14ac:dyDescent="0.25">
      <c r="A2" s="81">
        <v>1</v>
      </c>
      <c r="B2" s="60" t="s">
        <v>21</v>
      </c>
      <c r="C2" s="61" t="s">
        <v>22</v>
      </c>
      <c r="D2" s="60" t="s">
        <v>869</v>
      </c>
      <c r="E2" s="60" t="s">
        <v>870</v>
      </c>
      <c r="F2" s="62">
        <v>10</v>
      </c>
      <c r="G2" s="63">
        <v>43913</v>
      </c>
      <c r="H2" s="60">
        <v>25</v>
      </c>
      <c r="I2" s="76">
        <f>SUMIFS(StockInData[Quantity],StockInData[Product ID],ProductMaster!$B2)-SUMIFS(StockOutData[Quantity],StockOutData[Product ID],ProductMaster!$B2)</f>
        <v>55</v>
      </c>
      <c r="J2" s="80">
        <f>SUMIFS(StockInData[Value],StockInData[Product ID],ProductMaster!$B2)-SUMIFS(StockOutData[Value],StockOutData[Product ID],ProductMaster!$B2)</f>
        <v>137.5</v>
      </c>
    </row>
    <row r="3" spans="1:10" x14ac:dyDescent="0.25">
      <c r="A3" s="75">
        <v>2</v>
      </c>
      <c r="B3" s="76" t="s">
        <v>23</v>
      </c>
      <c r="C3" s="77" t="s">
        <v>24</v>
      </c>
      <c r="D3" s="76" t="s">
        <v>869</v>
      </c>
      <c r="E3" s="76" t="s">
        <v>870</v>
      </c>
      <c r="F3" s="78">
        <v>10</v>
      </c>
      <c r="G3" s="79">
        <f>StockInData[Expiry]</f>
        <v>43915</v>
      </c>
      <c r="H3" s="76">
        <v>25</v>
      </c>
      <c r="I3" s="76">
        <f>SUMIFS(StockInData[Quantity],StockInData[Product ID],ProductMaster!$B3)-SUMIFS(StockOutData[Quantity],StockOutData[Product ID],ProductMaster!$B3)</f>
        <v>33</v>
      </c>
      <c r="J3" s="80">
        <f>SUMIFS(StockInData[Value],StockInData[Product ID],ProductMaster!$B3)-SUMIFS(StockOutData[Value],StockOutData[Product ID],ProductMaster!$B3)</f>
        <v>82.5</v>
      </c>
    </row>
    <row r="4" spans="1:10" x14ac:dyDescent="0.25">
      <c r="A4" s="75">
        <v>3</v>
      </c>
      <c r="B4" s="76" t="s">
        <v>25</v>
      </c>
      <c r="C4" s="77" t="s">
        <v>26</v>
      </c>
      <c r="D4" s="76" t="s">
        <v>869</v>
      </c>
      <c r="E4" s="76" t="s">
        <v>870</v>
      </c>
      <c r="F4" s="78">
        <v>10</v>
      </c>
      <c r="G4" s="79">
        <f>StockInData[Expiry]</f>
        <v>43917</v>
      </c>
      <c r="H4" s="76">
        <v>25</v>
      </c>
      <c r="I4" s="76">
        <f>SUMIFS(StockInData[Quantity],StockInData[Product ID],ProductMaster!$B4)-SUMIFS(StockOutData[Quantity],StockOutData[Product ID],ProductMaster!$B4)</f>
        <v>35</v>
      </c>
      <c r="J4" s="80">
        <f>SUMIFS(StockInData[Value],StockInData[Product ID],ProductMaster!$B4)-SUMIFS(StockOutData[Value],StockOutData[Product ID],ProductMaster!$B4)</f>
        <v>87.5</v>
      </c>
    </row>
    <row r="5" spans="1:10" x14ac:dyDescent="0.25">
      <c r="A5" s="75">
        <v>4</v>
      </c>
      <c r="B5" s="76" t="s">
        <v>27</v>
      </c>
      <c r="C5" s="77" t="s">
        <v>28</v>
      </c>
      <c r="D5" s="76" t="s">
        <v>869</v>
      </c>
      <c r="E5" s="76" t="s">
        <v>870</v>
      </c>
      <c r="F5" s="78">
        <v>10</v>
      </c>
      <c r="G5" s="79">
        <f>StockInData[Expiry]</f>
        <v>43919</v>
      </c>
      <c r="H5" s="76">
        <v>25</v>
      </c>
      <c r="I5" s="76">
        <f>SUMIFS(StockInData[Quantity],StockInData[Product ID],ProductMaster!$B5)-SUMIFS(StockOutData[Quantity],StockOutData[Product ID],ProductMaster!$B5)</f>
        <v>27</v>
      </c>
      <c r="J5" s="80">
        <f>SUMIFS(StockInData[Value],StockInData[Product ID],ProductMaster!$B5)-SUMIFS(StockOutData[Value],StockOutData[Product ID],ProductMaster!$B5)</f>
        <v>67.5</v>
      </c>
    </row>
    <row r="6" spans="1:10" x14ac:dyDescent="0.25">
      <c r="A6" s="75">
        <v>5</v>
      </c>
      <c r="B6" s="76" t="s">
        <v>29</v>
      </c>
      <c r="C6" s="77" t="s">
        <v>30</v>
      </c>
      <c r="D6" s="76" t="s">
        <v>869</v>
      </c>
      <c r="E6" s="76" t="s">
        <v>870</v>
      </c>
      <c r="F6" s="78">
        <v>10</v>
      </c>
      <c r="G6" s="79">
        <f>StockInData[Expiry]</f>
        <v>43921</v>
      </c>
      <c r="H6" s="76">
        <v>25</v>
      </c>
      <c r="I6" s="76">
        <f>SUMIFS(StockInData[Quantity],StockInData[Product ID],ProductMaster!$B6)-SUMIFS(StockOutData[Quantity],StockOutData[Product ID],ProductMaster!$B6)</f>
        <v>8</v>
      </c>
      <c r="J6" s="80">
        <f>SUMIFS(StockInData[Value],StockInData[Product ID],ProductMaster!$B6)-SUMIFS(StockOutData[Value],StockOutData[Product ID],ProductMaster!$B6)</f>
        <v>20</v>
      </c>
    </row>
    <row r="7" spans="1:10" x14ac:dyDescent="0.25">
      <c r="A7" s="75">
        <v>6</v>
      </c>
      <c r="B7" s="76" t="s">
        <v>31</v>
      </c>
      <c r="C7" s="77" t="s">
        <v>32</v>
      </c>
      <c r="D7" s="76" t="s">
        <v>869</v>
      </c>
      <c r="E7" s="76" t="s">
        <v>870</v>
      </c>
      <c r="F7" s="78">
        <v>10</v>
      </c>
      <c r="G7" s="79">
        <f>StockInData[Expiry]</f>
        <v>43923</v>
      </c>
      <c r="H7" s="76">
        <v>25</v>
      </c>
      <c r="I7" s="76">
        <f>SUMIFS(StockInData[Quantity],StockInData[Product ID],ProductMaster!$B7)-SUMIFS(StockOutData[Quantity],StockOutData[Product ID],ProductMaster!$B7)</f>
        <v>15</v>
      </c>
      <c r="J7" s="80">
        <f>SUMIFS(StockInData[Value],StockInData[Product ID],ProductMaster!$B7)-SUMIFS(StockOutData[Value],StockOutData[Product ID],ProductMaster!$B7)</f>
        <v>37.5</v>
      </c>
    </row>
    <row r="8" spans="1:10" x14ac:dyDescent="0.25">
      <c r="A8" s="75">
        <v>7</v>
      </c>
      <c r="B8" s="76" t="s">
        <v>33</v>
      </c>
      <c r="C8" s="77" t="s">
        <v>34</v>
      </c>
      <c r="D8" s="76" t="s">
        <v>869</v>
      </c>
      <c r="E8" s="76" t="s">
        <v>870</v>
      </c>
      <c r="F8" s="78">
        <v>10</v>
      </c>
      <c r="G8" s="79">
        <f>StockInData[Expiry]</f>
        <v>43925</v>
      </c>
      <c r="H8" s="76">
        <v>25</v>
      </c>
      <c r="I8" s="76">
        <f>SUMIFS(StockInData[Quantity],StockInData[Product ID],ProductMaster!$B8)-SUMIFS(StockOutData[Quantity],StockOutData[Product ID],ProductMaster!$B8)</f>
        <v>4</v>
      </c>
      <c r="J8" s="80">
        <f>SUMIFS(StockInData[Value],StockInData[Product ID],ProductMaster!$B8)-SUMIFS(StockOutData[Value],StockOutData[Product ID],ProductMaster!$B8)</f>
        <v>18.46</v>
      </c>
    </row>
    <row r="9" spans="1:10" x14ac:dyDescent="0.25">
      <c r="A9" s="75">
        <v>8</v>
      </c>
      <c r="B9" s="76" t="s">
        <v>35</v>
      </c>
      <c r="C9" s="77" t="s">
        <v>36</v>
      </c>
      <c r="D9" s="76" t="s">
        <v>869</v>
      </c>
      <c r="E9" s="76" t="s">
        <v>870</v>
      </c>
      <c r="F9" s="78">
        <v>10</v>
      </c>
      <c r="G9" s="79">
        <f>StockInData[Expiry]</f>
        <v>43927</v>
      </c>
      <c r="H9" s="76">
        <v>25</v>
      </c>
      <c r="I9" s="76">
        <f>SUMIFS(StockInData[Quantity],StockInData[Product ID],ProductMaster!$B9)-SUMIFS(StockOutData[Quantity],StockOutData[Product ID],ProductMaster!$B9)</f>
        <v>60</v>
      </c>
      <c r="J9" s="80">
        <f>SUMIFS(StockInData[Value],StockInData[Product ID],ProductMaster!$B9)-SUMIFS(StockOutData[Value],StockOutData[Product ID],ProductMaster!$B9)</f>
        <v>150</v>
      </c>
    </row>
    <row r="10" spans="1:10" x14ac:dyDescent="0.25">
      <c r="A10" s="75">
        <v>9</v>
      </c>
      <c r="B10" s="76" t="s">
        <v>37</v>
      </c>
      <c r="C10" s="77" t="s">
        <v>38</v>
      </c>
      <c r="D10" s="76" t="s">
        <v>869</v>
      </c>
      <c r="E10" s="76" t="s">
        <v>870</v>
      </c>
      <c r="F10" s="78">
        <v>10</v>
      </c>
      <c r="G10" s="79">
        <f>StockInData[Expiry]</f>
        <v>43929</v>
      </c>
      <c r="H10" s="76">
        <v>25</v>
      </c>
      <c r="I10" s="76">
        <f>SUMIFS(StockInData[Quantity],StockInData[Product ID],ProductMaster!$B10)-SUMIFS(StockOutData[Quantity],StockOutData[Product ID],ProductMaster!$B10)</f>
        <v>67</v>
      </c>
      <c r="J10" s="80">
        <f>SUMIFS(StockInData[Value],StockInData[Product ID],ProductMaster!$B10)-SUMIFS(StockOutData[Value],StockOutData[Product ID],ProductMaster!$B10)</f>
        <v>167.5</v>
      </c>
    </row>
    <row r="11" spans="1:10" x14ac:dyDescent="0.25">
      <c r="A11" s="75">
        <v>10</v>
      </c>
      <c r="B11" s="76" t="s">
        <v>39</v>
      </c>
      <c r="C11" s="77" t="s">
        <v>40</v>
      </c>
      <c r="D11" s="76" t="s">
        <v>869</v>
      </c>
      <c r="E11" s="76" t="s">
        <v>870</v>
      </c>
      <c r="F11" s="78">
        <v>10</v>
      </c>
      <c r="G11" s="79">
        <f>StockInData[Expiry]</f>
        <v>43931</v>
      </c>
      <c r="H11" s="76">
        <v>25</v>
      </c>
      <c r="I11" s="76">
        <f>SUMIFS(StockInData[Quantity],StockInData[Product ID],ProductMaster!$B11)-SUMIFS(StockOutData[Quantity],StockOutData[Product ID],ProductMaster!$B11)</f>
        <v>69</v>
      </c>
      <c r="J11" s="80">
        <f>SUMIFS(StockInData[Value],StockInData[Product ID],ProductMaster!$B11)-SUMIFS(StockOutData[Value],StockOutData[Product ID],ProductMaster!$B11)</f>
        <v>172.5</v>
      </c>
    </row>
    <row r="12" spans="1:10" x14ac:dyDescent="0.25">
      <c r="A12" s="75">
        <v>11</v>
      </c>
      <c r="B12" s="76" t="s">
        <v>41</v>
      </c>
      <c r="C12" s="77" t="s">
        <v>42</v>
      </c>
      <c r="D12" s="76" t="s">
        <v>869</v>
      </c>
      <c r="E12" s="76" t="s">
        <v>870</v>
      </c>
      <c r="F12" s="78">
        <v>10</v>
      </c>
      <c r="G12" s="79">
        <f>StockInData[Expiry]</f>
        <v>43933</v>
      </c>
      <c r="H12" s="76">
        <v>25</v>
      </c>
      <c r="I12" s="76">
        <f>SUMIFS(StockInData[Quantity],StockInData[Product ID],ProductMaster!$B12)-SUMIFS(StockOutData[Quantity],StockOutData[Product ID],ProductMaster!$B12)</f>
        <v>81</v>
      </c>
      <c r="J12" s="80">
        <f>SUMIFS(StockInData[Value],StockInData[Product ID],ProductMaster!$B12)-SUMIFS(StockOutData[Value],StockOutData[Product ID],ProductMaster!$B12)</f>
        <v>202.5</v>
      </c>
    </row>
    <row r="13" spans="1:10" x14ac:dyDescent="0.25">
      <c r="A13" s="75">
        <v>12</v>
      </c>
      <c r="B13" s="76" t="s">
        <v>43</v>
      </c>
      <c r="C13" s="77" t="s">
        <v>44</v>
      </c>
      <c r="D13" s="76" t="s">
        <v>869</v>
      </c>
      <c r="E13" s="76" t="s">
        <v>870</v>
      </c>
      <c r="F13" s="78">
        <v>10</v>
      </c>
      <c r="G13" s="79">
        <f>StockInData[Expiry]</f>
        <v>43935</v>
      </c>
      <c r="H13" s="76">
        <v>25</v>
      </c>
      <c r="I13" s="76">
        <f>SUMIFS(StockInData[Quantity],StockInData[Product ID],ProductMaster!$B13)-SUMIFS(StockOutData[Quantity],StockOutData[Product ID],ProductMaster!$B13)</f>
        <v>62</v>
      </c>
      <c r="J13" s="80">
        <f>SUMIFS(StockInData[Value],StockInData[Product ID],ProductMaster!$B13)-SUMIFS(StockOutData[Value],StockOutData[Product ID],ProductMaster!$B13)</f>
        <v>213.05</v>
      </c>
    </row>
    <row r="14" spans="1:10" x14ac:dyDescent="0.25">
      <c r="A14" s="75">
        <v>13</v>
      </c>
      <c r="B14" s="76" t="s">
        <v>45</v>
      </c>
      <c r="C14" s="77" t="s">
        <v>46</v>
      </c>
      <c r="D14" s="76" t="s">
        <v>869</v>
      </c>
      <c r="E14" s="76" t="s">
        <v>870</v>
      </c>
      <c r="F14" s="78">
        <v>10</v>
      </c>
      <c r="G14" s="79">
        <f>StockInData[Expiry]</f>
        <v>43937</v>
      </c>
      <c r="H14" s="76">
        <v>25</v>
      </c>
      <c r="I14" s="76">
        <f>SUMIFS(StockInData[Quantity],StockInData[Product ID],ProductMaster!$B14)-SUMIFS(StockOutData[Quantity],StockOutData[Product ID],ProductMaster!$B14)</f>
        <v>46</v>
      </c>
      <c r="J14" s="80">
        <f>SUMIFS(StockInData[Value],StockInData[Product ID],ProductMaster!$B14)-SUMIFS(StockOutData[Value],StockOutData[Product ID],ProductMaster!$B14)</f>
        <v>115</v>
      </c>
    </row>
    <row r="15" spans="1:10" x14ac:dyDescent="0.25">
      <c r="A15" s="75">
        <v>14</v>
      </c>
      <c r="B15" s="76" t="s">
        <v>47</v>
      </c>
      <c r="C15" s="77" t="s">
        <v>48</v>
      </c>
      <c r="D15" s="76" t="s">
        <v>869</v>
      </c>
      <c r="E15" s="76" t="s">
        <v>870</v>
      </c>
      <c r="F15" s="78">
        <v>10</v>
      </c>
      <c r="G15" s="79">
        <f>StockInData[Expiry]</f>
        <v>43939</v>
      </c>
      <c r="H15" s="76">
        <v>25</v>
      </c>
      <c r="I15" s="76">
        <f>SUMIFS(StockInData[Quantity],StockInData[Product ID],ProductMaster!$B15)-SUMIFS(StockOutData[Quantity],StockOutData[Product ID],ProductMaster!$B15)</f>
        <v>27</v>
      </c>
      <c r="J15" s="80">
        <f>SUMIFS(StockInData[Value],StockInData[Product ID],ProductMaster!$B15)-SUMIFS(StockOutData[Value],StockOutData[Product ID],ProductMaster!$B15)</f>
        <v>67.5</v>
      </c>
    </row>
    <row r="16" spans="1:10" x14ac:dyDescent="0.25">
      <c r="A16" s="75">
        <v>15</v>
      </c>
      <c r="B16" s="76" t="s">
        <v>49</v>
      </c>
      <c r="C16" s="77" t="s">
        <v>50</v>
      </c>
      <c r="D16" s="76" t="s">
        <v>869</v>
      </c>
      <c r="E16" s="76" t="s">
        <v>870</v>
      </c>
      <c r="F16" s="78">
        <v>10</v>
      </c>
      <c r="G16" s="79">
        <f>StockInData[Expiry]</f>
        <v>43941</v>
      </c>
      <c r="H16" s="76">
        <v>25</v>
      </c>
      <c r="I16" s="76">
        <f>SUMIFS(StockInData[Quantity],StockInData[Product ID],ProductMaster!$B16)-SUMIFS(StockOutData[Quantity],StockOutData[Product ID],ProductMaster!$B16)</f>
        <v>25</v>
      </c>
      <c r="J16" s="80">
        <f>SUMIFS(StockInData[Value],StockInData[Product ID],ProductMaster!$B16)-SUMIFS(StockOutData[Value],StockOutData[Product ID],ProductMaster!$B16)</f>
        <v>62.5</v>
      </c>
    </row>
    <row r="17" spans="1:10" x14ac:dyDescent="0.25">
      <c r="A17" s="75">
        <v>16</v>
      </c>
      <c r="B17" s="76" t="s">
        <v>51</v>
      </c>
      <c r="C17" s="77" t="s">
        <v>52</v>
      </c>
      <c r="D17" s="76" t="s">
        <v>869</v>
      </c>
      <c r="E17" s="76" t="s">
        <v>870</v>
      </c>
      <c r="F17" s="78">
        <v>10</v>
      </c>
      <c r="G17" s="79">
        <f>StockInData[Expiry]</f>
        <v>43943</v>
      </c>
      <c r="H17" s="76">
        <v>25</v>
      </c>
      <c r="I17" s="76">
        <f>SUMIFS(StockInData[Quantity],StockInData[Product ID],ProductMaster!$B17)-SUMIFS(StockOutData[Quantity],StockOutData[Product ID],ProductMaster!$B17)</f>
        <v>18</v>
      </c>
      <c r="J17" s="80">
        <f>SUMIFS(StockInData[Value],StockInData[Product ID],ProductMaster!$B17)-SUMIFS(StockOutData[Value],StockOutData[Product ID],ProductMaster!$B17)</f>
        <v>45</v>
      </c>
    </row>
    <row r="18" spans="1:10" x14ac:dyDescent="0.25">
      <c r="A18" s="75">
        <v>17</v>
      </c>
      <c r="B18" s="76" t="s">
        <v>53</v>
      </c>
      <c r="C18" s="77" t="s">
        <v>54</v>
      </c>
      <c r="D18" s="76" t="s">
        <v>869</v>
      </c>
      <c r="E18" s="76" t="s">
        <v>870</v>
      </c>
      <c r="F18" s="78">
        <v>10</v>
      </c>
      <c r="G18" s="79">
        <f>StockInData[Expiry]</f>
        <v>43945</v>
      </c>
      <c r="H18" s="76">
        <v>25</v>
      </c>
      <c r="I18" s="76">
        <f>SUMIFS(StockInData[Quantity],StockInData[Product ID],ProductMaster!$B18)-SUMIFS(StockOutData[Quantity],StockOutData[Product ID],ProductMaster!$B18)</f>
        <v>5</v>
      </c>
      <c r="J18" s="80">
        <f>SUMIFS(StockInData[Value],StockInData[Product ID],ProductMaster!$B18)-SUMIFS(StockOutData[Value],StockOutData[Product ID],ProductMaster!$B18)</f>
        <v>12.5</v>
      </c>
    </row>
    <row r="19" spans="1:10" x14ac:dyDescent="0.25">
      <c r="A19" s="75">
        <v>18</v>
      </c>
      <c r="B19" s="76" t="s">
        <v>55</v>
      </c>
      <c r="C19" s="77" t="s">
        <v>56</v>
      </c>
      <c r="D19" s="76" t="s">
        <v>869</v>
      </c>
      <c r="E19" s="76" t="s">
        <v>870</v>
      </c>
      <c r="F19" s="78">
        <v>10</v>
      </c>
      <c r="G19" s="79">
        <f>StockInData[Expiry]</f>
        <v>43947</v>
      </c>
      <c r="H19" s="76">
        <v>25</v>
      </c>
      <c r="I19" s="76">
        <f>SUMIFS(StockInData[Quantity],StockInData[Product ID],ProductMaster!$B19)-SUMIFS(StockOutData[Quantity],StockOutData[Product ID],ProductMaster!$B19)</f>
        <v>1</v>
      </c>
      <c r="J19" s="80">
        <f>SUMIFS(StockInData[Value],StockInData[Product ID],ProductMaster!$B19)-SUMIFS(StockOutData[Value],StockOutData[Product ID],ProductMaster!$B19)</f>
        <v>2.5</v>
      </c>
    </row>
    <row r="20" spans="1:10" x14ac:dyDescent="0.25">
      <c r="A20" s="75">
        <v>19</v>
      </c>
      <c r="B20" s="76" t="s">
        <v>57</v>
      </c>
      <c r="C20" s="77" t="s">
        <v>58</v>
      </c>
      <c r="D20" s="76" t="s">
        <v>869</v>
      </c>
      <c r="E20" s="76" t="s">
        <v>870</v>
      </c>
      <c r="F20" s="78">
        <v>10</v>
      </c>
      <c r="G20" s="79">
        <f>StockInData[Expiry]</f>
        <v>43949</v>
      </c>
      <c r="H20" s="76">
        <v>25</v>
      </c>
      <c r="I20" s="76">
        <f>SUMIFS(StockInData[Quantity],StockInData[Product ID],ProductMaster!$B20)-SUMIFS(StockOutData[Quantity],StockOutData[Product ID],ProductMaster!$B20)</f>
        <v>11</v>
      </c>
      <c r="J20" s="80">
        <f>SUMIFS(StockInData[Value],StockInData[Product ID],ProductMaster!$B20)-SUMIFS(StockOutData[Value],StockOutData[Product ID],ProductMaster!$B20)</f>
        <v>27.5</v>
      </c>
    </row>
    <row r="21" spans="1:10" x14ac:dyDescent="0.25">
      <c r="A21" s="75">
        <v>20</v>
      </c>
      <c r="B21" s="76" t="s">
        <v>59</v>
      </c>
      <c r="C21" s="77" t="s">
        <v>60</v>
      </c>
      <c r="D21" s="76" t="s">
        <v>869</v>
      </c>
      <c r="E21" s="76" t="s">
        <v>870</v>
      </c>
      <c r="F21" s="78">
        <v>10</v>
      </c>
      <c r="G21" s="79">
        <f>StockInData[Expiry]</f>
        <v>43951</v>
      </c>
      <c r="H21" s="76">
        <v>25</v>
      </c>
      <c r="I21" s="76">
        <f>SUMIFS(StockInData[Quantity],StockInData[Product ID],ProductMaster!$B21)-SUMIFS(StockOutData[Quantity],StockOutData[Product ID],ProductMaster!$B21)</f>
        <v>51</v>
      </c>
      <c r="J21" s="80">
        <f>SUMIFS(StockInData[Value],StockInData[Product ID],ProductMaster!$B21)-SUMIFS(StockOutData[Value],StockOutData[Product ID],ProductMaster!$B21)</f>
        <v>127.5</v>
      </c>
    </row>
    <row r="22" spans="1:10" x14ac:dyDescent="0.25">
      <c r="A22" s="75">
        <v>21</v>
      </c>
      <c r="B22" s="76" t="s">
        <v>61</v>
      </c>
      <c r="C22" s="77" t="s">
        <v>62</v>
      </c>
      <c r="D22" s="76" t="s">
        <v>869</v>
      </c>
      <c r="E22" s="76" t="s">
        <v>870</v>
      </c>
      <c r="F22" s="78">
        <v>10</v>
      </c>
      <c r="G22" s="79">
        <f>StockInData[Expiry]</f>
        <v>43953</v>
      </c>
      <c r="H22" s="76">
        <v>25</v>
      </c>
      <c r="I22" s="76">
        <f>SUMIFS(StockInData[Quantity],StockInData[Product ID],ProductMaster!$B22)-SUMIFS(StockOutData[Quantity],StockOutData[Product ID],ProductMaster!$B22)</f>
        <v>61</v>
      </c>
      <c r="J22" s="80">
        <f>SUMIFS(StockInData[Value],StockInData[Product ID],ProductMaster!$B22)-SUMIFS(StockOutData[Value],StockOutData[Product ID],ProductMaster!$B22)</f>
        <v>152.5</v>
      </c>
    </row>
    <row r="23" spans="1:10" x14ac:dyDescent="0.25">
      <c r="A23" s="75">
        <v>22</v>
      </c>
      <c r="B23" s="76" t="s">
        <v>63</v>
      </c>
      <c r="C23" s="77" t="s">
        <v>64</v>
      </c>
      <c r="D23" s="76" t="s">
        <v>869</v>
      </c>
      <c r="E23" s="76" t="s">
        <v>870</v>
      </c>
      <c r="F23" s="78">
        <v>10</v>
      </c>
      <c r="G23" s="79">
        <f>StockInData[Expiry]</f>
        <v>43955</v>
      </c>
      <c r="H23" s="76">
        <v>25</v>
      </c>
      <c r="I23" s="76">
        <f>SUMIFS(StockInData[Quantity],StockInData[Product ID],ProductMaster!$B23)-SUMIFS(StockOutData[Quantity],StockOutData[Product ID],ProductMaster!$B23)</f>
        <v>74</v>
      </c>
      <c r="J23" s="80">
        <f>SUMIFS(StockInData[Value],StockInData[Product ID],ProductMaster!$B23)-SUMIFS(StockOutData[Value],StockOutData[Product ID],ProductMaster!$B23)</f>
        <v>185</v>
      </c>
    </row>
    <row r="24" spans="1:10" x14ac:dyDescent="0.25">
      <c r="A24" s="75">
        <v>23</v>
      </c>
      <c r="B24" s="76" t="s">
        <v>65</v>
      </c>
      <c r="C24" s="77" t="s">
        <v>66</v>
      </c>
      <c r="D24" s="76" t="s">
        <v>869</v>
      </c>
      <c r="E24" s="76" t="s">
        <v>870</v>
      </c>
      <c r="F24" s="78">
        <v>10</v>
      </c>
      <c r="G24" s="79">
        <f>StockInData[Expiry]</f>
        <v>43957</v>
      </c>
      <c r="H24" s="76">
        <v>25</v>
      </c>
      <c r="I24" s="76">
        <f>SUMIFS(StockInData[Quantity],StockInData[Product ID],ProductMaster!$B24)-SUMIFS(StockOutData[Quantity],StockOutData[Product ID],ProductMaster!$B24)</f>
        <v>89</v>
      </c>
      <c r="J24" s="80">
        <f>SUMIFS(StockInData[Value],StockInData[Product ID],ProductMaster!$B24)-SUMIFS(StockOutData[Value],StockOutData[Product ID],ProductMaster!$B24)</f>
        <v>222.5</v>
      </c>
    </row>
    <row r="25" spans="1:10" x14ac:dyDescent="0.25">
      <c r="A25" s="75">
        <v>24</v>
      </c>
      <c r="B25" s="76" t="s">
        <v>67</v>
      </c>
      <c r="C25" s="77" t="s">
        <v>68</v>
      </c>
      <c r="D25" s="76" t="s">
        <v>869</v>
      </c>
      <c r="E25" s="76" t="s">
        <v>870</v>
      </c>
      <c r="F25" s="78">
        <v>10</v>
      </c>
      <c r="G25" s="79">
        <f>StockInData[Expiry]</f>
        <v>43959</v>
      </c>
      <c r="H25" s="76">
        <v>25</v>
      </c>
      <c r="I25" s="76">
        <f>SUMIFS(StockInData[Quantity],StockInData[Product ID],ProductMaster!$B25)-SUMIFS(StockOutData[Quantity],StockOutData[Product ID],ProductMaster!$B25)</f>
        <v>94</v>
      </c>
      <c r="J25" s="80">
        <f>SUMIFS(StockInData[Value],StockInData[Product ID],ProductMaster!$B25)-SUMIFS(StockOutData[Value],StockOutData[Product ID],ProductMaster!$B25)</f>
        <v>235</v>
      </c>
    </row>
    <row r="26" spans="1:10" x14ac:dyDescent="0.25">
      <c r="A26" s="75">
        <v>25</v>
      </c>
      <c r="B26" s="76" t="s">
        <v>69</v>
      </c>
      <c r="C26" s="77" t="s">
        <v>70</v>
      </c>
      <c r="D26" s="76" t="s">
        <v>869</v>
      </c>
      <c r="E26" s="76" t="s">
        <v>870</v>
      </c>
      <c r="F26" s="78">
        <v>10</v>
      </c>
      <c r="G26" s="79">
        <f>StockInData[Expiry]</f>
        <v>43961</v>
      </c>
      <c r="H26" s="76">
        <v>25</v>
      </c>
      <c r="I26" s="76">
        <f>SUMIFS(StockInData[Quantity],StockInData[Product ID],ProductMaster!$B26)-SUMIFS(StockOutData[Quantity],StockOutData[Product ID],ProductMaster!$B26)</f>
        <v>45</v>
      </c>
      <c r="J26" s="80">
        <f>SUMIFS(StockInData[Value],StockInData[Product ID],ProductMaster!$B26)-SUMIFS(StockOutData[Value],StockOutData[Product ID],ProductMaster!$B26)</f>
        <v>112.5</v>
      </c>
    </row>
    <row r="27" spans="1:10" x14ac:dyDescent="0.25">
      <c r="A27" s="75">
        <v>26</v>
      </c>
      <c r="B27" s="76" t="s">
        <v>71</v>
      </c>
      <c r="C27" s="77" t="s">
        <v>72</v>
      </c>
      <c r="D27" s="76" t="s">
        <v>869</v>
      </c>
      <c r="E27" s="76" t="s">
        <v>870</v>
      </c>
      <c r="F27" s="78">
        <v>10</v>
      </c>
      <c r="G27" s="79">
        <f>StockInData[Expiry]</f>
        <v>43963</v>
      </c>
      <c r="H27" s="76">
        <v>25</v>
      </c>
      <c r="I27" s="76">
        <f>SUMIFS(StockInData[Quantity],StockInData[Product ID],ProductMaster!$B27)-SUMIFS(StockOutData[Quantity],StockOutData[Product ID],ProductMaster!$B27)</f>
        <v>22</v>
      </c>
      <c r="J27" s="80">
        <f>SUMIFS(StockInData[Value],StockInData[Product ID],ProductMaster!$B27)-SUMIFS(StockOutData[Value],StockOutData[Product ID],ProductMaster!$B27)</f>
        <v>55</v>
      </c>
    </row>
    <row r="28" spans="1:10" x14ac:dyDescent="0.25">
      <c r="A28" s="75">
        <v>27</v>
      </c>
      <c r="B28" s="76" t="s">
        <v>73</v>
      </c>
      <c r="C28" s="77" t="s">
        <v>74</v>
      </c>
      <c r="D28" s="76" t="s">
        <v>869</v>
      </c>
      <c r="E28" s="76" t="s">
        <v>870</v>
      </c>
      <c r="F28" s="78">
        <v>10</v>
      </c>
      <c r="G28" s="79">
        <f>StockInData[Expiry]</f>
        <v>43965</v>
      </c>
      <c r="H28" s="76">
        <v>25</v>
      </c>
      <c r="I28" s="76">
        <f>SUMIFS(StockInData[Quantity],StockInData[Product ID],ProductMaster!$B28)-SUMIFS(StockOutData[Quantity],StockOutData[Product ID],ProductMaster!$B28)</f>
        <v>18</v>
      </c>
      <c r="J28" s="80">
        <f>SUMIFS(StockInData[Value],StockInData[Product ID],ProductMaster!$B28)-SUMIFS(StockOutData[Value],StockOutData[Product ID],ProductMaster!$B28)</f>
        <v>45</v>
      </c>
    </row>
    <row r="29" spans="1:10" x14ac:dyDescent="0.25">
      <c r="A29" s="75">
        <v>28</v>
      </c>
      <c r="B29" s="76" t="s">
        <v>75</v>
      </c>
      <c r="C29" s="77" t="s">
        <v>76</v>
      </c>
      <c r="D29" s="76" t="s">
        <v>869</v>
      </c>
      <c r="E29" s="76" t="s">
        <v>870</v>
      </c>
      <c r="F29" s="78">
        <v>10</v>
      </c>
      <c r="G29" s="79">
        <f>StockInData[Expiry]</f>
        <v>43967</v>
      </c>
      <c r="H29" s="76">
        <v>25</v>
      </c>
      <c r="I29" s="76">
        <f>SUMIFS(StockInData[Quantity],StockInData[Product ID],ProductMaster!$B29)-SUMIFS(StockOutData[Quantity],StockOutData[Product ID],ProductMaster!$B29)</f>
        <v>11</v>
      </c>
      <c r="J29" s="80">
        <f>SUMIFS(StockInData[Value],StockInData[Product ID],ProductMaster!$B29)-SUMIFS(StockOutData[Value],StockOutData[Product ID],ProductMaster!$B29)</f>
        <v>27.5</v>
      </c>
    </row>
    <row r="30" spans="1:10" x14ac:dyDescent="0.25">
      <c r="A30" s="75">
        <v>29</v>
      </c>
      <c r="B30" s="76" t="s">
        <v>77</v>
      </c>
      <c r="C30" s="77" t="s">
        <v>78</v>
      </c>
      <c r="D30" s="76" t="s">
        <v>869</v>
      </c>
      <c r="E30" s="76" t="s">
        <v>870</v>
      </c>
      <c r="F30" s="78">
        <v>10</v>
      </c>
      <c r="G30" s="79">
        <f>StockInData[Expiry]</f>
        <v>43969</v>
      </c>
      <c r="H30" s="76">
        <v>25</v>
      </c>
      <c r="I30" s="76">
        <f>SUMIFS(StockInData[Quantity],StockInData[Product ID],ProductMaster!$B30)-SUMIFS(StockOutData[Quantity],StockOutData[Product ID],ProductMaster!$B30)</f>
        <v>7</v>
      </c>
      <c r="J30" s="80">
        <f>SUMIFS(StockInData[Value],StockInData[Product ID],ProductMaster!$B30)-SUMIFS(StockOutData[Value],StockOutData[Product ID],ProductMaster!$B30)</f>
        <v>17.5</v>
      </c>
    </row>
    <row r="31" spans="1:10" x14ac:dyDescent="0.25">
      <c r="A31" s="75">
        <v>30</v>
      </c>
      <c r="B31" s="76" t="s">
        <v>79</v>
      </c>
      <c r="C31" s="77" t="s">
        <v>80</v>
      </c>
      <c r="D31" s="76" t="s">
        <v>869</v>
      </c>
      <c r="E31" s="76" t="s">
        <v>870</v>
      </c>
      <c r="F31" s="78">
        <v>10</v>
      </c>
      <c r="G31" s="79">
        <f>StockInData[Expiry]</f>
        <v>43971</v>
      </c>
      <c r="H31" s="76">
        <v>25</v>
      </c>
      <c r="I31" s="76">
        <f>SUMIFS(StockInData[Quantity],StockInData[Product ID],ProductMaster!$B31)-SUMIFS(StockOutData[Quantity],StockOutData[Product ID],ProductMaster!$B31)</f>
        <v>14</v>
      </c>
      <c r="J31" s="80">
        <f>SUMIFS(StockInData[Value],StockInData[Product ID],ProductMaster!$B31)-SUMIFS(StockOutData[Value],StockOutData[Product ID],ProductMaster!$B31)</f>
        <v>35</v>
      </c>
    </row>
    <row r="32" spans="1:10" x14ac:dyDescent="0.25">
      <c r="A32" s="75">
        <v>31</v>
      </c>
      <c r="B32" s="76" t="s">
        <v>81</v>
      </c>
      <c r="C32" s="77" t="s">
        <v>82</v>
      </c>
      <c r="D32" s="76" t="s">
        <v>869</v>
      </c>
      <c r="E32" s="76" t="s">
        <v>870</v>
      </c>
      <c r="F32" s="78">
        <v>10</v>
      </c>
      <c r="G32" s="79">
        <f>StockInData[Expiry]</f>
        <v>43973</v>
      </c>
      <c r="H32" s="76">
        <v>25</v>
      </c>
      <c r="I32" s="76">
        <f>SUMIFS(StockInData[Quantity],StockInData[Product ID],ProductMaster!$B32)-SUMIFS(StockOutData[Quantity],StockOutData[Product ID],ProductMaster!$B32)</f>
        <v>16</v>
      </c>
      <c r="J32" s="80">
        <f>SUMIFS(StockInData[Value],StockInData[Product ID],ProductMaster!$B32)-SUMIFS(StockOutData[Value],StockOutData[Product ID],ProductMaster!$B32)</f>
        <v>40</v>
      </c>
    </row>
    <row r="33" spans="1:10" x14ac:dyDescent="0.25">
      <c r="A33" s="75">
        <v>32</v>
      </c>
      <c r="B33" s="76" t="s">
        <v>83</v>
      </c>
      <c r="C33" s="77" t="s">
        <v>84</v>
      </c>
      <c r="D33" s="76" t="s">
        <v>869</v>
      </c>
      <c r="E33" s="76" t="s">
        <v>870</v>
      </c>
      <c r="F33" s="78">
        <v>10</v>
      </c>
      <c r="G33" s="79">
        <f>StockInData[Expiry]</f>
        <v>43975</v>
      </c>
      <c r="H33" s="76">
        <v>25</v>
      </c>
      <c r="I33" s="76">
        <f>SUMIFS(StockInData[Quantity],StockInData[Product ID],ProductMaster!$B33)-SUMIFS(StockOutData[Quantity],StockOutData[Product ID],ProductMaster!$B33)</f>
        <v>50</v>
      </c>
      <c r="J33" s="80">
        <f>SUMIFS(StockInData[Value],StockInData[Product ID],ProductMaster!$B33)-SUMIFS(StockOutData[Value],StockOutData[Product ID],ProductMaster!$B33)</f>
        <v>125</v>
      </c>
    </row>
    <row r="34" spans="1:10" x14ac:dyDescent="0.25">
      <c r="A34" s="75">
        <v>33</v>
      </c>
      <c r="B34" s="76" t="s">
        <v>85</v>
      </c>
      <c r="C34" s="77" t="s">
        <v>86</v>
      </c>
      <c r="D34" s="76" t="s">
        <v>869</v>
      </c>
      <c r="E34" s="76" t="s">
        <v>870</v>
      </c>
      <c r="F34" s="78">
        <v>10</v>
      </c>
      <c r="G34" s="79">
        <f>StockInData[Expiry]</f>
        <v>43977</v>
      </c>
      <c r="H34" s="76">
        <v>25</v>
      </c>
      <c r="I34" s="76">
        <f>SUMIFS(StockInData[Quantity],StockInData[Product ID],ProductMaster!$B34)-SUMIFS(StockOutData[Quantity],StockOutData[Product ID],ProductMaster!$B34)</f>
        <v>56</v>
      </c>
      <c r="J34" s="80">
        <f>SUMIFS(StockInData[Value],StockInData[Product ID],ProductMaster!$B34)-SUMIFS(StockOutData[Value],StockOutData[Product ID],ProductMaster!$B34)</f>
        <v>140</v>
      </c>
    </row>
    <row r="35" spans="1:10" x14ac:dyDescent="0.25">
      <c r="A35" s="75">
        <v>34</v>
      </c>
      <c r="B35" s="76" t="s">
        <v>87</v>
      </c>
      <c r="C35" s="77" t="s">
        <v>88</v>
      </c>
      <c r="D35" s="76" t="s">
        <v>869</v>
      </c>
      <c r="E35" s="76" t="s">
        <v>870</v>
      </c>
      <c r="F35" s="78">
        <v>10</v>
      </c>
      <c r="G35" s="79">
        <f>StockInData[Expiry]</f>
        <v>43979</v>
      </c>
      <c r="H35" s="76">
        <v>25</v>
      </c>
      <c r="I35" s="76">
        <f>SUMIFS(StockInData[Quantity],StockInData[Product ID],ProductMaster!$B35)-SUMIFS(StockOutData[Quantity],StockOutData[Product ID],ProductMaster!$B35)</f>
        <v>72</v>
      </c>
      <c r="J35" s="80">
        <f>SUMIFS(StockInData[Value],StockInData[Product ID],ProductMaster!$B35)-SUMIFS(StockOutData[Value],StockOutData[Product ID],ProductMaster!$B35)</f>
        <v>180</v>
      </c>
    </row>
    <row r="36" spans="1:10" x14ac:dyDescent="0.25">
      <c r="A36" s="75">
        <v>35</v>
      </c>
      <c r="B36" s="76" t="s">
        <v>89</v>
      </c>
      <c r="C36" s="77" t="s">
        <v>90</v>
      </c>
      <c r="D36" s="76" t="s">
        <v>869</v>
      </c>
      <c r="E36" s="76" t="s">
        <v>870</v>
      </c>
      <c r="F36" s="78">
        <v>10</v>
      </c>
      <c r="G36" s="79">
        <f>StockInData[Expiry]</f>
        <v>43981</v>
      </c>
      <c r="H36" s="76">
        <v>25</v>
      </c>
      <c r="I36" s="76">
        <f>SUMIFS(StockInData[Quantity],StockInData[Product ID],ProductMaster!$B36)-SUMIFS(StockOutData[Quantity],StockOutData[Product ID],ProductMaster!$B36)</f>
        <v>85</v>
      </c>
      <c r="J36" s="80">
        <f>SUMIFS(StockInData[Value],StockInData[Product ID],ProductMaster!$B36)-SUMIFS(StockOutData[Value],StockOutData[Product ID],ProductMaster!$B36)</f>
        <v>212.5</v>
      </c>
    </row>
    <row r="37" spans="1:10" x14ac:dyDescent="0.25">
      <c r="A37" s="75">
        <v>36</v>
      </c>
      <c r="B37" s="76" t="s">
        <v>91</v>
      </c>
      <c r="C37" s="77" t="s">
        <v>92</v>
      </c>
      <c r="D37" s="76" t="s">
        <v>869</v>
      </c>
      <c r="E37" s="76" t="s">
        <v>870</v>
      </c>
      <c r="F37" s="78">
        <v>10</v>
      </c>
      <c r="G37" s="79">
        <f>StockInData[Expiry]</f>
        <v>43983</v>
      </c>
      <c r="H37" s="76">
        <v>25</v>
      </c>
      <c r="I37" s="76">
        <f>SUMIFS(StockInData[Quantity],StockInData[Product ID],ProductMaster!$B37)-SUMIFS(StockOutData[Quantity],StockOutData[Product ID],ProductMaster!$B37)</f>
        <v>88</v>
      </c>
      <c r="J37" s="80">
        <f>SUMIFS(StockInData[Value],StockInData[Product ID],ProductMaster!$B37)-SUMIFS(StockOutData[Value],StockOutData[Product ID],ProductMaster!$B37)</f>
        <v>220</v>
      </c>
    </row>
    <row r="38" spans="1:10" x14ac:dyDescent="0.25">
      <c r="A38" s="75">
        <v>37</v>
      </c>
      <c r="B38" s="76" t="s">
        <v>93</v>
      </c>
      <c r="C38" s="77" t="s">
        <v>94</v>
      </c>
      <c r="D38" s="76" t="s">
        <v>869</v>
      </c>
      <c r="E38" s="76" t="s">
        <v>870</v>
      </c>
      <c r="F38" s="78">
        <v>10</v>
      </c>
      <c r="G38" s="79">
        <f>StockInData[Expiry]</f>
        <v>43985</v>
      </c>
      <c r="H38" s="76">
        <v>25</v>
      </c>
      <c r="I38" s="76">
        <f>SUMIFS(StockInData[Quantity],StockInData[Product ID],ProductMaster!$B38)-SUMIFS(StockOutData[Quantity],StockOutData[Product ID],ProductMaster!$B38)</f>
        <v>95</v>
      </c>
      <c r="J38" s="80">
        <f>SUMIFS(StockInData[Value],StockInData[Product ID],ProductMaster!$B38)-SUMIFS(StockOutData[Value],StockOutData[Product ID],ProductMaster!$B38)</f>
        <v>237.5</v>
      </c>
    </row>
    <row r="39" spans="1:10" x14ac:dyDescent="0.25">
      <c r="A39" s="75">
        <v>38</v>
      </c>
      <c r="B39" s="76" t="s">
        <v>95</v>
      </c>
      <c r="C39" s="77" t="s">
        <v>96</v>
      </c>
      <c r="D39" s="76" t="s">
        <v>869</v>
      </c>
      <c r="E39" s="76" t="s">
        <v>870</v>
      </c>
      <c r="F39" s="78">
        <v>10</v>
      </c>
      <c r="G39" s="79">
        <f>StockInData[Expiry]</f>
        <v>43987</v>
      </c>
      <c r="H39" s="76">
        <v>25</v>
      </c>
      <c r="I39" s="76">
        <f>SUMIFS(StockInData[Quantity],StockInData[Product ID],ProductMaster!$B39)-SUMIFS(StockOutData[Quantity],StockOutData[Product ID],ProductMaster!$B39)</f>
        <v>41</v>
      </c>
      <c r="J39" s="80">
        <f>SUMIFS(StockInData[Value],StockInData[Product ID],ProductMaster!$B39)-SUMIFS(StockOutData[Value],StockOutData[Product ID],ProductMaster!$B39)</f>
        <v>114.62</v>
      </c>
    </row>
    <row r="40" spans="1:10" x14ac:dyDescent="0.25">
      <c r="A40" s="75">
        <v>39</v>
      </c>
      <c r="B40" s="76" t="s">
        <v>97</v>
      </c>
      <c r="C40" s="77" t="s">
        <v>98</v>
      </c>
      <c r="D40" s="76" t="s">
        <v>869</v>
      </c>
      <c r="E40" s="76" t="s">
        <v>870</v>
      </c>
      <c r="F40" s="78">
        <v>10</v>
      </c>
      <c r="G40" s="79">
        <f>StockInData[Expiry]</f>
        <v>43989</v>
      </c>
      <c r="H40" s="76">
        <v>25</v>
      </c>
      <c r="I40" s="76">
        <f>SUMIFS(StockInData[Quantity],StockInData[Product ID],ProductMaster!$B40)-SUMIFS(StockOutData[Quantity],StockOutData[Product ID],ProductMaster!$B40)</f>
        <v>25</v>
      </c>
      <c r="J40" s="80">
        <f>SUMIFS(StockInData[Value],StockInData[Product ID],ProductMaster!$B40)-SUMIFS(StockOutData[Value],StockOutData[Product ID],ProductMaster!$B40)</f>
        <v>62.5</v>
      </c>
    </row>
    <row r="41" spans="1:10" x14ac:dyDescent="0.25">
      <c r="A41" s="75">
        <v>40</v>
      </c>
      <c r="B41" s="76" t="s">
        <v>99</v>
      </c>
      <c r="C41" s="77" t="s">
        <v>100</v>
      </c>
      <c r="D41" s="76" t="s">
        <v>869</v>
      </c>
      <c r="E41" s="76" t="s">
        <v>870</v>
      </c>
      <c r="F41" s="78">
        <v>10</v>
      </c>
      <c r="G41" s="79">
        <f>StockInData[Expiry]</f>
        <v>43991</v>
      </c>
      <c r="H41" s="76">
        <v>25</v>
      </c>
      <c r="I41" s="76">
        <f>SUMIFS(StockInData[Quantity],StockInData[Product ID],ProductMaster!$B41)-SUMIFS(StockOutData[Quantity],StockOutData[Product ID],ProductMaster!$B41)</f>
        <v>12</v>
      </c>
      <c r="J41" s="80">
        <f>SUMIFS(StockInData[Value],StockInData[Product ID],ProductMaster!$B41)-SUMIFS(StockOutData[Value],StockOutData[Product ID],ProductMaster!$B41)</f>
        <v>30</v>
      </c>
    </row>
    <row r="42" spans="1:10" x14ac:dyDescent="0.25">
      <c r="A42" s="75">
        <v>41</v>
      </c>
      <c r="B42" s="76" t="s">
        <v>101</v>
      </c>
      <c r="C42" s="77" t="s">
        <v>102</v>
      </c>
      <c r="D42" s="76" t="s">
        <v>869</v>
      </c>
      <c r="E42" s="76" t="s">
        <v>870</v>
      </c>
      <c r="F42" s="78">
        <v>10</v>
      </c>
      <c r="G42" s="79">
        <f>StockInData[Expiry]</f>
        <v>43993</v>
      </c>
      <c r="H42" s="76">
        <v>25</v>
      </c>
      <c r="I42" s="76">
        <f>SUMIFS(StockInData[Quantity],StockInData[Product ID],ProductMaster!$B42)-SUMIFS(StockOutData[Quantity],StockOutData[Product ID],ProductMaster!$B42)</f>
        <v>13</v>
      </c>
      <c r="J42" s="80">
        <f>SUMIFS(StockInData[Value],StockInData[Product ID],ProductMaster!$B42)-SUMIFS(StockOutData[Value],StockOutData[Product ID],ProductMaster!$B42)</f>
        <v>32.5</v>
      </c>
    </row>
    <row r="43" spans="1:10" x14ac:dyDescent="0.25">
      <c r="A43" s="75">
        <v>42</v>
      </c>
      <c r="B43" s="76" t="s">
        <v>103</v>
      </c>
      <c r="C43" s="77" t="s">
        <v>104</v>
      </c>
      <c r="D43" s="76" t="s">
        <v>869</v>
      </c>
      <c r="E43" s="76" t="s">
        <v>870</v>
      </c>
      <c r="F43" s="78">
        <v>10</v>
      </c>
      <c r="G43" s="79">
        <f>StockInData[Expiry]</f>
        <v>43995</v>
      </c>
      <c r="H43" s="76">
        <v>25</v>
      </c>
      <c r="I43" s="76">
        <f>SUMIFS(StockInData[Quantity],StockInData[Product ID],ProductMaster!$B43)-SUMIFS(StockOutData[Quantity],StockOutData[Product ID],ProductMaster!$B43)</f>
        <v>10</v>
      </c>
      <c r="J43" s="80">
        <f>SUMIFS(StockInData[Value],StockInData[Product ID],ProductMaster!$B43)-SUMIFS(StockOutData[Value],StockOutData[Product ID],ProductMaster!$B43)</f>
        <v>25</v>
      </c>
    </row>
    <row r="44" spans="1:10" x14ac:dyDescent="0.25">
      <c r="A44" s="75">
        <v>43</v>
      </c>
      <c r="B44" s="76" t="s">
        <v>105</v>
      </c>
      <c r="C44" s="77" t="s">
        <v>106</v>
      </c>
      <c r="D44" s="76" t="s">
        <v>869</v>
      </c>
      <c r="E44" s="76" t="s">
        <v>870</v>
      </c>
      <c r="F44" s="78">
        <v>10</v>
      </c>
      <c r="G44" s="79">
        <f>StockInData[Expiry]</f>
        <v>43997</v>
      </c>
      <c r="H44" s="76">
        <v>25</v>
      </c>
      <c r="I44" s="76">
        <f>SUMIFS(StockInData[Quantity],StockInData[Product ID],ProductMaster!$B44)-SUMIFS(StockOutData[Quantity],StockOutData[Product ID],ProductMaster!$B44)</f>
        <v>9</v>
      </c>
      <c r="J44" s="80">
        <f>SUMIFS(StockInData[Value],StockInData[Product ID],ProductMaster!$B44)-SUMIFS(StockOutData[Value],StockOutData[Product ID],ProductMaster!$B44)</f>
        <v>22.5</v>
      </c>
    </row>
    <row r="45" spans="1:10" x14ac:dyDescent="0.25">
      <c r="A45" s="75">
        <v>44</v>
      </c>
      <c r="B45" s="76" t="s">
        <v>107</v>
      </c>
      <c r="C45" s="77" t="s">
        <v>108</v>
      </c>
      <c r="D45" s="76" t="s">
        <v>869</v>
      </c>
      <c r="E45" s="76" t="s">
        <v>870</v>
      </c>
      <c r="F45" s="78">
        <v>10</v>
      </c>
      <c r="G45" s="79">
        <f>StockInData[Expiry]</f>
        <v>43999</v>
      </c>
      <c r="H45" s="76">
        <v>25</v>
      </c>
      <c r="I45" s="76">
        <f>SUMIFS(StockInData[Quantity],StockInData[Product ID],ProductMaster!$B45)-SUMIFS(StockOutData[Quantity],StockOutData[Product ID],ProductMaster!$B45)</f>
        <v>13</v>
      </c>
      <c r="J45" s="80">
        <f>SUMIFS(StockInData[Value],StockInData[Product ID],ProductMaster!$B45)-SUMIFS(StockOutData[Value],StockOutData[Product ID],ProductMaster!$B45)</f>
        <v>32.5</v>
      </c>
    </row>
    <row r="46" spans="1:10" x14ac:dyDescent="0.25">
      <c r="A46" s="75">
        <v>45</v>
      </c>
      <c r="B46" s="76" t="s">
        <v>109</v>
      </c>
      <c r="C46" s="77" t="s">
        <v>110</v>
      </c>
      <c r="D46" s="76" t="s">
        <v>869</v>
      </c>
      <c r="E46" s="76" t="s">
        <v>870</v>
      </c>
      <c r="F46" s="78">
        <v>10</v>
      </c>
      <c r="G46" s="79">
        <f>StockInData[Expiry]</f>
        <v>44001</v>
      </c>
      <c r="H46" s="76">
        <v>25</v>
      </c>
      <c r="I46" s="76">
        <f>SUMIFS(StockInData[Quantity],StockInData[Product ID],ProductMaster!$B46)-SUMIFS(StockOutData[Quantity],StockOutData[Product ID],ProductMaster!$B46)</f>
        <v>55</v>
      </c>
      <c r="J46" s="80">
        <f>SUMIFS(StockInData[Value],StockInData[Product ID],ProductMaster!$B46)-SUMIFS(StockOutData[Value],StockOutData[Product ID],ProductMaster!$B46)</f>
        <v>137.5</v>
      </c>
    </row>
    <row r="47" spans="1:10" x14ac:dyDescent="0.25">
      <c r="A47" s="75">
        <v>46</v>
      </c>
      <c r="B47" s="76" t="s">
        <v>111</v>
      </c>
      <c r="C47" s="77" t="s">
        <v>112</v>
      </c>
      <c r="D47" s="76" t="s">
        <v>869</v>
      </c>
      <c r="E47" s="76" t="s">
        <v>870</v>
      </c>
      <c r="F47" s="78">
        <v>10</v>
      </c>
      <c r="G47" s="79">
        <f>StockInData[Expiry]</f>
        <v>44003</v>
      </c>
      <c r="H47" s="76">
        <v>25</v>
      </c>
      <c r="I47" s="76">
        <f>SUMIFS(StockInData[Quantity],StockInData[Product ID],ProductMaster!$B47)-SUMIFS(StockOutData[Quantity],StockOutData[Product ID],ProductMaster!$B47)</f>
        <v>67</v>
      </c>
      <c r="J47" s="80">
        <f>SUMIFS(StockInData[Value],StockInData[Product ID],ProductMaster!$B47)-SUMIFS(StockOutData[Value],StockOutData[Product ID],ProductMaster!$B47)</f>
        <v>167.5</v>
      </c>
    </row>
    <row r="48" spans="1:10" x14ac:dyDescent="0.25">
      <c r="A48" s="75">
        <v>47</v>
      </c>
      <c r="B48" s="76" t="s">
        <v>113</v>
      </c>
      <c r="C48" s="77" t="s">
        <v>114</v>
      </c>
      <c r="D48" s="76" t="s">
        <v>869</v>
      </c>
      <c r="E48" s="76" t="s">
        <v>870</v>
      </c>
      <c r="F48" s="78">
        <v>10</v>
      </c>
      <c r="G48" s="79">
        <f>StockInData[Expiry]</f>
        <v>44005</v>
      </c>
      <c r="H48" s="76">
        <v>25</v>
      </c>
      <c r="I48" s="76">
        <f>SUMIFS(StockInData[Quantity],StockInData[Product ID],ProductMaster!$B48)-SUMIFS(StockOutData[Quantity],StockOutData[Product ID],ProductMaster!$B48)</f>
        <v>69</v>
      </c>
      <c r="J48" s="80">
        <f>SUMIFS(StockInData[Value],StockInData[Product ID],ProductMaster!$B48)-SUMIFS(StockOutData[Value],StockOutData[Product ID],ProductMaster!$B48)</f>
        <v>172.5</v>
      </c>
    </row>
    <row r="49" spans="1:10" x14ac:dyDescent="0.25">
      <c r="A49" s="75">
        <v>48</v>
      </c>
      <c r="B49" s="76" t="s">
        <v>115</v>
      </c>
      <c r="C49" s="77" t="s">
        <v>116</v>
      </c>
      <c r="D49" s="76" t="s">
        <v>869</v>
      </c>
      <c r="E49" s="76" t="s">
        <v>870</v>
      </c>
      <c r="F49" s="78">
        <v>10</v>
      </c>
      <c r="G49" s="79">
        <f>StockInData[Expiry]</f>
        <v>44007</v>
      </c>
      <c r="H49" s="76">
        <v>25</v>
      </c>
      <c r="I49" s="76">
        <f>SUMIFS(StockInData[Quantity],StockInData[Product ID],ProductMaster!$B49)-SUMIFS(StockOutData[Quantity],StockOutData[Product ID],ProductMaster!$B49)</f>
        <v>81</v>
      </c>
      <c r="J49" s="80">
        <f>SUMIFS(StockInData[Value],StockInData[Product ID],ProductMaster!$B49)-SUMIFS(StockOutData[Value],StockOutData[Product ID],ProductMaster!$B49)</f>
        <v>202.5</v>
      </c>
    </row>
    <row r="50" spans="1:10" x14ac:dyDescent="0.25">
      <c r="A50" s="75">
        <v>49</v>
      </c>
      <c r="B50" s="76" t="s">
        <v>117</v>
      </c>
      <c r="C50" s="77" t="s">
        <v>118</v>
      </c>
      <c r="D50" s="76" t="s">
        <v>869</v>
      </c>
      <c r="E50" s="76" t="s">
        <v>870</v>
      </c>
      <c r="F50" s="78">
        <v>10</v>
      </c>
      <c r="G50" s="79">
        <f>StockInData[Expiry]</f>
        <v>44009</v>
      </c>
      <c r="H50" s="76">
        <v>25</v>
      </c>
      <c r="I50" s="76">
        <f>SUMIFS(StockInData[Quantity],StockInData[Product ID],ProductMaster!$B50)-SUMIFS(StockOutData[Quantity],StockOutData[Product ID],ProductMaster!$B50)</f>
        <v>89</v>
      </c>
      <c r="J50" s="80">
        <f>SUMIFS(StockInData[Value],StockInData[Product ID],ProductMaster!$B50)-SUMIFS(StockOutData[Value],StockOutData[Product ID],ProductMaster!$B50)</f>
        <v>222.5</v>
      </c>
    </row>
    <row r="51" spans="1:10" x14ac:dyDescent="0.25">
      <c r="A51" s="75">
        <v>50</v>
      </c>
      <c r="B51" s="76" t="s">
        <v>119</v>
      </c>
      <c r="C51" s="77" t="s">
        <v>120</v>
      </c>
      <c r="D51" s="76" t="s">
        <v>869</v>
      </c>
      <c r="E51" s="76" t="s">
        <v>870</v>
      </c>
      <c r="F51" s="78">
        <v>10</v>
      </c>
      <c r="G51" s="79">
        <f>StockInData[Expiry]</f>
        <v>44011</v>
      </c>
      <c r="H51" s="76">
        <v>25</v>
      </c>
      <c r="I51" s="76">
        <f>SUMIFS(StockInData[Quantity],StockInData[Product ID],ProductMaster!$B51)-SUMIFS(StockOutData[Quantity],StockOutData[Product ID],ProductMaster!$B51)</f>
        <v>86</v>
      </c>
      <c r="J51" s="80">
        <f>SUMIFS(StockInData[Value],StockInData[Product ID],ProductMaster!$B51)-SUMIFS(StockOutData[Value],StockOutData[Product ID],ProductMaster!$B51)</f>
        <v>215</v>
      </c>
    </row>
    <row r="52" spans="1:10" x14ac:dyDescent="0.25">
      <c r="A52" s="75">
        <v>51</v>
      </c>
      <c r="B52" s="76" t="s">
        <v>121</v>
      </c>
      <c r="C52" s="77" t="s">
        <v>122</v>
      </c>
      <c r="D52" s="76" t="s">
        <v>869</v>
      </c>
      <c r="E52" s="76" t="s">
        <v>870</v>
      </c>
      <c r="F52" s="78">
        <v>10</v>
      </c>
      <c r="G52" s="79">
        <f>StockInData[Expiry]</f>
        <v>44013</v>
      </c>
      <c r="H52" s="76">
        <v>25</v>
      </c>
      <c r="I52" s="76">
        <f>SUMIFS(StockInData[Quantity],StockInData[Product ID],ProductMaster!$B52)-SUMIFS(StockOutData[Quantity],StockOutData[Product ID],ProductMaster!$B52)</f>
        <v>87</v>
      </c>
      <c r="J52" s="80">
        <f>SUMIFS(StockInData[Value],StockInData[Product ID],ProductMaster!$B52)-SUMIFS(StockOutData[Value],StockOutData[Product ID],ProductMaster!$B52)</f>
        <v>217.5</v>
      </c>
    </row>
    <row r="53" spans="1:10" x14ac:dyDescent="0.25">
      <c r="A53" s="75">
        <v>52</v>
      </c>
      <c r="B53" s="76" t="s">
        <v>123</v>
      </c>
      <c r="C53" s="77" t="s">
        <v>124</v>
      </c>
      <c r="D53" s="76" t="s">
        <v>869</v>
      </c>
      <c r="E53" s="76" t="s">
        <v>870</v>
      </c>
      <c r="F53" s="78">
        <v>10</v>
      </c>
      <c r="G53" s="79">
        <f>StockInData[Expiry]</f>
        <v>44015</v>
      </c>
      <c r="H53" s="76">
        <v>25</v>
      </c>
      <c r="I53" s="76">
        <f>SUMIFS(StockInData[Quantity],StockInData[Product ID],ProductMaster!$B53)-SUMIFS(StockOutData[Quantity],StockOutData[Product ID],ProductMaster!$B53)</f>
        <v>95</v>
      </c>
      <c r="J53" s="80">
        <f>SUMIFS(StockInData[Value],StockInData[Product ID],ProductMaster!$B53)-SUMIFS(StockOutData[Value],StockOutData[Product ID],ProductMaster!$B53)</f>
        <v>237.5</v>
      </c>
    </row>
    <row r="54" spans="1:10" x14ac:dyDescent="0.25">
      <c r="A54" s="75">
        <v>53</v>
      </c>
      <c r="B54" s="76" t="s">
        <v>125</v>
      </c>
      <c r="C54" s="77" t="s">
        <v>126</v>
      </c>
      <c r="D54" s="76" t="s">
        <v>869</v>
      </c>
      <c r="E54" s="76" t="s">
        <v>870</v>
      </c>
      <c r="F54" s="78">
        <v>10</v>
      </c>
      <c r="G54" s="79">
        <f>StockInData[Expiry]</f>
        <v>44017</v>
      </c>
      <c r="H54" s="76">
        <v>25</v>
      </c>
      <c r="I54" s="76">
        <f>SUMIFS(StockInData[Quantity],StockInData[Product ID],ProductMaster!$B54)-SUMIFS(StockOutData[Quantity],StockOutData[Product ID],ProductMaster!$B54)</f>
        <v>53</v>
      </c>
      <c r="J54" s="80">
        <f>SUMIFS(StockInData[Value],StockInData[Product ID],ProductMaster!$B54)-SUMIFS(StockOutData[Value],StockOutData[Product ID],ProductMaster!$B54)</f>
        <v>132.5</v>
      </c>
    </row>
    <row r="55" spans="1:10" x14ac:dyDescent="0.25">
      <c r="A55" s="75">
        <v>54</v>
      </c>
      <c r="B55" s="76" t="s">
        <v>127</v>
      </c>
      <c r="C55" s="77" t="s">
        <v>128</v>
      </c>
      <c r="D55" s="76" t="s">
        <v>869</v>
      </c>
      <c r="E55" s="76" t="s">
        <v>870</v>
      </c>
      <c r="F55" s="78">
        <v>10</v>
      </c>
      <c r="G55" s="79">
        <f>StockInData[Expiry]</f>
        <v>44019</v>
      </c>
      <c r="H55" s="76">
        <v>25</v>
      </c>
      <c r="I55" s="76">
        <f>SUMIFS(StockInData[Quantity],StockInData[Product ID],ProductMaster!$B55)-SUMIFS(StockOutData[Quantity],StockOutData[Product ID],ProductMaster!$B55)</f>
        <v>25</v>
      </c>
      <c r="J55" s="80">
        <f>SUMIFS(StockInData[Value],StockInData[Product ID],ProductMaster!$B55)-SUMIFS(StockOutData[Value],StockOutData[Product ID],ProductMaster!$B55)</f>
        <v>62.5</v>
      </c>
    </row>
    <row r="56" spans="1:10" x14ac:dyDescent="0.25">
      <c r="A56" s="75">
        <v>55</v>
      </c>
      <c r="B56" s="76" t="s">
        <v>129</v>
      </c>
      <c r="C56" s="77" t="s">
        <v>130</v>
      </c>
      <c r="D56" s="76" t="s">
        <v>869</v>
      </c>
      <c r="E56" s="76" t="s">
        <v>870</v>
      </c>
      <c r="F56" s="78">
        <v>10</v>
      </c>
      <c r="G56" s="79">
        <f>StockInData[Expiry]</f>
        <v>44021</v>
      </c>
      <c r="H56" s="76">
        <v>25</v>
      </c>
      <c r="I56" s="76">
        <f>SUMIFS(StockInData[Quantity],StockInData[Product ID],ProductMaster!$B56)-SUMIFS(StockOutData[Quantity],StockOutData[Product ID],ProductMaster!$B56)</f>
        <v>12</v>
      </c>
      <c r="J56" s="80">
        <f>SUMIFS(StockInData[Value],StockInData[Product ID],ProductMaster!$B56)-SUMIFS(StockOutData[Value],StockOutData[Product ID],ProductMaster!$B56)</f>
        <v>30</v>
      </c>
    </row>
    <row r="57" spans="1:10" x14ac:dyDescent="0.25">
      <c r="A57" s="75">
        <v>56</v>
      </c>
      <c r="B57" s="76" t="s">
        <v>131</v>
      </c>
      <c r="C57" s="77" t="s">
        <v>132</v>
      </c>
      <c r="D57" s="76" t="s">
        <v>869</v>
      </c>
      <c r="E57" s="76" t="s">
        <v>870</v>
      </c>
      <c r="F57" s="78">
        <v>10</v>
      </c>
      <c r="G57" s="79">
        <f>StockInData[Expiry]</f>
        <v>44023</v>
      </c>
      <c r="H57" s="76">
        <v>25</v>
      </c>
      <c r="I57" s="76">
        <f>SUMIFS(StockInData[Quantity],StockInData[Product ID],ProductMaster!$B57)-SUMIFS(StockOutData[Quantity],StockOutData[Product ID],ProductMaster!$B57)</f>
        <v>13</v>
      </c>
      <c r="J57" s="80">
        <f>SUMIFS(StockInData[Value],StockInData[Product ID],ProductMaster!$B57)-SUMIFS(StockOutData[Value],StockOutData[Product ID],ProductMaster!$B57)</f>
        <v>32.5</v>
      </c>
    </row>
    <row r="58" spans="1:10" x14ac:dyDescent="0.25">
      <c r="A58" s="75">
        <v>57</v>
      </c>
      <c r="B58" s="76" t="s">
        <v>133</v>
      </c>
      <c r="C58" s="77" t="s">
        <v>134</v>
      </c>
      <c r="D58" s="76" t="s">
        <v>869</v>
      </c>
      <c r="E58" s="76" t="s">
        <v>870</v>
      </c>
      <c r="F58" s="78">
        <v>10</v>
      </c>
      <c r="G58" s="79">
        <f>StockInData[Expiry]</f>
        <v>44025</v>
      </c>
      <c r="H58" s="76">
        <v>25</v>
      </c>
      <c r="I58" s="76">
        <f>SUMIFS(StockInData[Quantity],StockInData[Product ID],ProductMaster!$B58)-SUMIFS(StockOutData[Quantity],StockOutData[Product ID],ProductMaster!$B58)</f>
        <v>6</v>
      </c>
      <c r="J58" s="80">
        <f>SUMIFS(StockInData[Value],StockInData[Product ID],ProductMaster!$B58)-SUMIFS(StockOutData[Value],StockOutData[Product ID],ProductMaster!$B58)</f>
        <v>15</v>
      </c>
    </row>
    <row r="59" spans="1:10" x14ac:dyDescent="0.25">
      <c r="A59" s="75">
        <v>58</v>
      </c>
      <c r="B59" s="76" t="s">
        <v>135</v>
      </c>
      <c r="C59" s="77" t="s">
        <v>136</v>
      </c>
      <c r="D59" s="76" t="s">
        <v>869</v>
      </c>
      <c r="E59" s="76" t="s">
        <v>870</v>
      </c>
      <c r="F59" s="78">
        <v>10</v>
      </c>
      <c r="G59" s="79">
        <f>StockInData[Expiry]</f>
        <v>44027</v>
      </c>
      <c r="H59" s="76">
        <v>25</v>
      </c>
      <c r="I59" s="76">
        <f>SUMIFS(StockInData[Quantity],StockInData[Product ID],ProductMaster!$B59)-SUMIFS(StockOutData[Quantity],StockOutData[Product ID],ProductMaster!$B59)</f>
        <v>6</v>
      </c>
      <c r="J59" s="80">
        <f>SUMIFS(StockInData[Value],StockInData[Product ID],ProductMaster!$B59)-SUMIFS(StockOutData[Value],StockOutData[Product ID],ProductMaster!$B59)</f>
        <v>15</v>
      </c>
    </row>
    <row r="60" spans="1:10" x14ac:dyDescent="0.25">
      <c r="A60" s="75">
        <v>59</v>
      </c>
      <c r="B60" s="76" t="s">
        <v>137</v>
      </c>
      <c r="C60" s="77" t="s">
        <v>138</v>
      </c>
      <c r="D60" s="76" t="s">
        <v>869</v>
      </c>
      <c r="E60" s="76" t="s">
        <v>870</v>
      </c>
      <c r="F60" s="78">
        <v>10</v>
      </c>
      <c r="G60" s="79">
        <f>StockInData[Expiry]</f>
        <v>44029</v>
      </c>
      <c r="H60" s="76">
        <v>25</v>
      </c>
      <c r="I60" s="76">
        <f>SUMIFS(StockInData[Quantity],StockInData[Product ID],ProductMaster!$B60)-SUMIFS(StockOutData[Quantity],StockOutData[Product ID],ProductMaster!$B60)</f>
        <v>18</v>
      </c>
      <c r="J60" s="80">
        <f>SUMIFS(StockInData[Value],StockInData[Product ID],ProductMaster!$B60)-SUMIFS(StockOutData[Value],StockOutData[Product ID],ProductMaster!$B60)</f>
        <v>45</v>
      </c>
    </row>
    <row r="61" spans="1:10" x14ac:dyDescent="0.25">
      <c r="A61" s="75">
        <v>60</v>
      </c>
      <c r="B61" s="76" t="s">
        <v>139</v>
      </c>
      <c r="C61" s="77" t="s">
        <v>140</v>
      </c>
      <c r="D61" s="76" t="s">
        <v>869</v>
      </c>
      <c r="E61" s="76" t="s">
        <v>870</v>
      </c>
      <c r="F61" s="78">
        <v>10</v>
      </c>
      <c r="G61" s="79">
        <f>StockInData[Expiry]</f>
        <v>44031</v>
      </c>
      <c r="H61" s="76">
        <v>25</v>
      </c>
      <c r="I61" s="76">
        <f>SUMIFS(StockInData[Quantity],StockInData[Product ID],ProductMaster!$B61)-SUMIFS(StockOutData[Quantity],StockOutData[Product ID],ProductMaster!$B61)</f>
        <v>58</v>
      </c>
      <c r="J61" s="80">
        <f>SUMIFS(StockInData[Value],StockInData[Product ID],ProductMaster!$B61)-SUMIFS(StockOutData[Value],StockOutData[Product ID],ProductMaster!$B61)</f>
        <v>145</v>
      </c>
    </row>
    <row r="62" spans="1:10" x14ac:dyDescent="0.25">
      <c r="A62" s="75">
        <v>61</v>
      </c>
      <c r="B62" s="76" t="s">
        <v>141</v>
      </c>
      <c r="C62" s="77" t="s">
        <v>142</v>
      </c>
      <c r="D62" s="76" t="s">
        <v>869</v>
      </c>
      <c r="E62" s="76" t="s">
        <v>870</v>
      </c>
      <c r="F62" s="78">
        <v>10</v>
      </c>
      <c r="G62" s="79">
        <f>StockInData[Expiry]</f>
        <v>44033</v>
      </c>
      <c r="H62" s="76">
        <v>25</v>
      </c>
      <c r="I62" s="76">
        <f>SUMIFS(StockInData[Quantity],StockInData[Product ID],ProductMaster!$B62)-SUMIFS(StockOutData[Quantity],StockOutData[Product ID],ProductMaster!$B62)</f>
        <v>59</v>
      </c>
      <c r="J62" s="80">
        <f>SUMIFS(StockInData[Value],StockInData[Product ID],ProductMaster!$B62)-SUMIFS(StockOutData[Value],StockOutData[Product ID],ProductMaster!$B62)</f>
        <v>147.5</v>
      </c>
    </row>
    <row r="63" spans="1:10" x14ac:dyDescent="0.25">
      <c r="A63" s="75">
        <v>62</v>
      </c>
      <c r="B63" s="76" t="s">
        <v>143</v>
      </c>
      <c r="C63" s="77" t="s">
        <v>144</v>
      </c>
      <c r="D63" s="76" t="s">
        <v>869</v>
      </c>
      <c r="E63" s="76" t="s">
        <v>870</v>
      </c>
      <c r="F63" s="78">
        <v>10</v>
      </c>
      <c r="G63" s="79">
        <f>StockInData[Expiry]</f>
        <v>44035</v>
      </c>
      <c r="H63" s="76">
        <v>25</v>
      </c>
      <c r="I63" s="76">
        <f>SUMIFS(StockInData[Quantity],StockInData[Product ID],ProductMaster!$B63)-SUMIFS(StockOutData[Quantity],StockOutData[Product ID],ProductMaster!$B63)</f>
        <v>66</v>
      </c>
      <c r="J63" s="80">
        <f>SUMIFS(StockInData[Value],StockInData[Product ID],ProductMaster!$B63)-SUMIFS(StockOutData[Value],StockOutData[Product ID],ProductMaster!$B63)</f>
        <v>165</v>
      </c>
    </row>
    <row r="64" spans="1:10" x14ac:dyDescent="0.25">
      <c r="A64" s="75">
        <v>63</v>
      </c>
      <c r="B64" s="76" t="s">
        <v>145</v>
      </c>
      <c r="C64" s="77" t="s">
        <v>146</v>
      </c>
      <c r="D64" s="76" t="s">
        <v>869</v>
      </c>
      <c r="E64" s="76" t="s">
        <v>870</v>
      </c>
      <c r="F64" s="78">
        <v>10</v>
      </c>
      <c r="G64" s="79">
        <f>StockInData[Expiry]</f>
        <v>44037</v>
      </c>
      <c r="H64" s="76">
        <v>25</v>
      </c>
      <c r="I64" s="76">
        <f>SUMIFS(StockInData[Quantity],StockInData[Product ID],ProductMaster!$B64)-SUMIFS(StockOutData[Quantity],StockOutData[Product ID],ProductMaster!$B64)</f>
        <v>87</v>
      </c>
      <c r="J64" s="80">
        <f>SUMIFS(StockInData[Value],StockInData[Product ID],ProductMaster!$B64)-SUMIFS(StockOutData[Value],StockOutData[Product ID],ProductMaster!$B64)</f>
        <v>217.5</v>
      </c>
    </row>
    <row r="65" spans="1:10" x14ac:dyDescent="0.25">
      <c r="A65" s="75">
        <v>64</v>
      </c>
      <c r="B65" s="76" t="s">
        <v>147</v>
      </c>
      <c r="C65" s="77" t="s">
        <v>148</v>
      </c>
      <c r="D65" s="76" t="s">
        <v>869</v>
      </c>
      <c r="E65" s="76" t="s">
        <v>870</v>
      </c>
      <c r="F65" s="78">
        <v>10</v>
      </c>
      <c r="G65" s="79">
        <f>StockInData[Expiry]</f>
        <v>44039</v>
      </c>
      <c r="H65" s="76">
        <v>25</v>
      </c>
      <c r="I65" s="76">
        <f>SUMIFS(StockInData[Quantity],StockInData[Product ID],ProductMaster!$B65)-SUMIFS(StockOutData[Quantity],StockOutData[Product ID],ProductMaster!$B65)</f>
        <v>91</v>
      </c>
      <c r="J65" s="80">
        <f>SUMIFS(StockInData[Value],StockInData[Product ID],ProductMaster!$B65)-SUMIFS(StockOutData[Value],StockOutData[Product ID],ProductMaster!$B65)</f>
        <v>227.5</v>
      </c>
    </row>
    <row r="66" spans="1:10" x14ac:dyDescent="0.25">
      <c r="A66" s="75">
        <v>65</v>
      </c>
      <c r="B66" s="76" t="s">
        <v>149</v>
      </c>
      <c r="C66" s="77" t="s">
        <v>150</v>
      </c>
      <c r="D66" s="76" t="s">
        <v>869</v>
      </c>
      <c r="E66" s="76" t="s">
        <v>870</v>
      </c>
      <c r="F66" s="78">
        <v>10</v>
      </c>
      <c r="G66" s="79">
        <f>StockInData[Expiry]</f>
        <v>44041</v>
      </c>
      <c r="H66" s="76">
        <v>25</v>
      </c>
      <c r="I66" s="76">
        <f>SUMIFS(StockInData[Quantity],StockInData[Product ID],ProductMaster!$B66)-SUMIFS(StockOutData[Quantity],StockOutData[Product ID],ProductMaster!$B66)</f>
        <v>90</v>
      </c>
      <c r="J66" s="80">
        <f>SUMIFS(StockInData[Value],StockInData[Product ID],ProductMaster!$B66)-SUMIFS(StockOutData[Value],StockOutData[Product ID],ProductMaster!$B66)</f>
        <v>225</v>
      </c>
    </row>
    <row r="67" spans="1:10" x14ac:dyDescent="0.25">
      <c r="A67" s="75">
        <v>66</v>
      </c>
      <c r="B67" s="76" t="s">
        <v>151</v>
      </c>
      <c r="C67" s="77" t="s">
        <v>152</v>
      </c>
      <c r="D67" s="76" t="s">
        <v>869</v>
      </c>
      <c r="E67" s="76" t="s">
        <v>870</v>
      </c>
      <c r="F67" s="78">
        <v>10</v>
      </c>
      <c r="G67" s="79">
        <f>StockInData[Expiry]</f>
        <v>44043</v>
      </c>
      <c r="H67" s="76">
        <v>25</v>
      </c>
      <c r="I67" s="76">
        <f>SUMIFS(StockInData[Quantity],StockInData[Product ID],ProductMaster!$B67)-SUMIFS(StockOutData[Quantity],StockOutData[Product ID],ProductMaster!$B67)</f>
        <v>90</v>
      </c>
      <c r="J67" s="80">
        <f>SUMIFS(StockInData[Value],StockInData[Product ID],ProductMaster!$B67)-SUMIFS(StockOutData[Value],StockOutData[Product ID],ProductMaster!$B67)</f>
        <v>225</v>
      </c>
    </row>
    <row r="68" spans="1:10" x14ac:dyDescent="0.25">
      <c r="A68" s="75">
        <v>67</v>
      </c>
      <c r="B68" s="76" t="s">
        <v>153</v>
      </c>
      <c r="C68" s="77" t="s">
        <v>154</v>
      </c>
      <c r="D68" s="76" t="s">
        <v>869</v>
      </c>
      <c r="E68" s="76" t="s">
        <v>870</v>
      </c>
      <c r="F68" s="78">
        <v>10</v>
      </c>
      <c r="G68" s="79">
        <f>StockInData[Expiry]</f>
        <v>44045</v>
      </c>
      <c r="H68" s="76">
        <v>25</v>
      </c>
      <c r="I68" s="76">
        <f>SUMIFS(StockInData[Quantity],StockInData[Product ID],ProductMaster!$B68)-SUMIFS(StockOutData[Quantity],StockOutData[Product ID],ProductMaster!$B68)</f>
        <v>93</v>
      </c>
      <c r="J68" s="80">
        <f>SUMIFS(StockInData[Value],StockInData[Product ID],ProductMaster!$B68)-SUMIFS(StockOutData[Value],StockOutData[Product ID],ProductMaster!$B68)</f>
        <v>232.5</v>
      </c>
    </row>
    <row r="69" spans="1:10" x14ac:dyDescent="0.25">
      <c r="A69" s="75">
        <v>68</v>
      </c>
      <c r="B69" s="76" t="s">
        <v>155</v>
      </c>
      <c r="C69" s="77" t="s">
        <v>156</v>
      </c>
      <c r="D69" s="76" t="s">
        <v>869</v>
      </c>
      <c r="E69" s="76" t="s">
        <v>870</v>
      </c>
      <c r="F69" s="78">
        <v>10</v>
      </c>
      <c r="G69" s="79">
        <f>StockInData[Expiry]</f>
        <v>44047</v>
      </c>
      <c r="H69" s="76">
        <v>25</v>
      </c>
      <c r="I69" s="76">
        <f>SUMIFS(StockInData[Quantity],StockInData[Product ID],ProductMaster!$B69)-SUMIFS(StockOutData[Quantity],StockOutData[Product ID],ProductMaster!$B69)</f>
        <v>45</v>
      </c>
      <c r="J69" s="80">
        <f>SUMIFS(StockInData[Value],StockInData[Product ID],ProductMaster!$B69)-SUMIFS(StockOutData[Value],StockOutData[Product ID],ProductMaster!$B69)</f>
        <v>112.5</v>
      </c>
    </row>
    <row r="70" spans="1:10" x14ac:dyDescent="0.25">
      <c r="A70" s="75">
        <v>69</v>
      </c>
      <c r="B70" s="76" t="s">
        <v>157</v>
      </c>
      <c r="C70" s="77" t="s">
        <v>158</v>
      </c>
      <c r="D70" s="76" t="s">
        <v>869</v>
      </c>
      <c r="E70" s="76" t="s">
        <v>871</v>
      </c>
      <c r="F70" s="78">
        <v>10</v>
      </c>
      <c r="G70" s="79">
        <f>StockInData[Expiry]</f>
        <v>44049</v>
      </c>
      <c r="H70" s="76">
        <v>25</v>
      </c>
      <c r="I70" s="76">
        <f>SUMIFS(StockInData[Quantity],StockInData[Product ID],ProductMaster!$B70)-SUMIFS(StockOutData[Quantity],StockOutData[Product ID],ProductMaster!$B70)</f>
        <v>22</v>
      </c>
      <c r="J70" s="80">
        <f>SUMIFS(StockInData[Value],StockInData[Product ID],ProductMaster!$B70)-SUMIFS(StockOutData[Value],StockOutData[Product ID],ProductMaster!$B70)</f>
        <v>55</v>
      </c>
    </row>
    <row r="71" spans="1:10" x14ac:dyDescent="0.25">
      <c r="A71" s="75">
        <v>70</v>
      </c>
      <c r="B71" s="76" t="s">
        <v>159</v>
      </c>
      <c r="C71" s="77" t="s">
        <v>160</v>
      </c>
      <c r="D71" s="76" t="s">
        <v>869</v>
      </c>
      <c r="E71" s="76" t="s">
        <v>871</v>
      </c>
      <c r="F71" s="78">
        <v>10</v>
      </c>
      <c r="G71" s="79">
        <f>StockInData[Expiry]</f>
        <v>44051</v>
      </c>
      <c r="H71" s="76">
        <v>25</v>
      </c>
      <c r="I71" s="76">
        <f>SUMIFS(StockInData[Quantity],StockInData[Product ID],ProductMaster!$B71)-SUMIFS(StockOutData[Quantity],StockOutData[Product ID],ProductMaster!$B71)</f>
        <v>18</v>
      </c>
      <c r="J71" s="80">
        <f>SUMIFS(StockInData[Value],StockInData[Product ID],ProductMaster!$B71)-SUMIFS(StockOutData[Value],StockOutData[Product ID],ProductMaster!$B71)</f>
        <v>45</v>
      </c>
    </row>
    <row r="72" spans="1:10" x14ac:dyDescent="0.25">
      <c r="A72" s="75">
        <v>71</v>
      </c>
      <c r="B72" s="76" t="s">
        <v>161</v>
      </c>
      <c r="C72" s="77" t="s">
        <v>162</v>
      </c>
      <c r="D72" s="76" t="s">
        <v>869</v>
      </c>
      <c r="E72" s="76" t="s">
        <v>871</v>
      </c>
      <c r="F72" s="78">
        <v>10</v>
      </c>
      <c r="G72" s="79">
        <f>StockInData[Expiry]</f>
        <v>44053</v>
      </c>
      <c r="H72" s="76">
        <v>25</v>
      </c>
      <c r="I72" s="76">
        <f>SUMIFS(StockInData[Quantity],StockInData[Product ID],ProductMaster!$B72)-SUMIFS(StockOutData[Quantity],StockOutData[Product ID],ProductMaster!$B72)</f>
        <v>11</v>
      </c>
      <c r="J72" s="80">
        <f>SUMIFS(StockInData[Value],StockInData[Product ID],ProductMaster!$B72)-SUMIFS(StockOutData[Value],StockOutData[Product ID],ProductMaster!$B72)</f>
        <v>27.5</v>
      </c>
    </row>
    <row r="73" spans="1:10" x14ac:dyDescent="0.25">
      <c r="A73" s="75">
        <v>72</v>
      </c>
      <c r="B73" s="76" t="s">
        <v>163</v>
      </c>
      <c r="C73" s="77" t="s">
        <v>164</v>
      </c>
      <c r="D73" s="76" t="s">
        <v>869</v>
      </c>
      <c r="E73" s="76" t="s">
        <v>871</v>
      </c>
      <c r="F73" s="78">
        <v>10</v>
      </c>
      <c r="G73" s="79">
        <f>StockInData[Expiry]</f>
        <v>44055</v>
      </c>
      <c r="H73" s="76">
        <v>25</v>
      </c>
      <c r="I73" s="76">
        <f>SUMIFS(StockInData[Quantity],StockInData[Product ID],ProductMaster!$B73)-SUMIFS(StockOutData[Quantity],StockOutData[Product ID],ProductMaster!$B73)</f>
        <v>7</v>
      </c>
      <c r="J73" s="80">
        <f>SUMIFS(StockInData[Value],StockInData[Product ID],ProductMaster!$B73)-SUMIFS(StockOutData[Value],StockOutData[Product ID],ProductMaster!$B73)</f>
        <v>17.5</v>
      </c>
    </row>
    <row r="74" spans="1:10" x14ac:dyDescent="0.25">
      <c r="A74" s="75">
        <v>73</v>
      </c>
      <c r="B74" s="76" t="s">
        <v>165</v>
      </c>
      <c r="C74" s="77" t="s">
        <v>166</v>
      </c>
      <c r="D74" s="76" t="s">
        <v>869</v>
      </c>
      <c r="E74" s="76" t="s">
        <v>871</v>
      </c>
      <c r="F74" s="78">
        <v>10</v>
      </c>
      <c r="G74" s="79">
        <f>StockInData[Expiry]</f>
        <v>44057</v>
      </c>
      <c r="H74" s="76">
        <v>25</v>
      </c>
      <c r="I74" s="76">
        <f>SUMIFS(StockInData[Quantity],StockInData[Product ID],ProductMaster!$B74)-SUMIFS(StockOutData[Quantity],StockOutData[Product ID],ProductMaster!$B74)</f>
        <v>14</v>
      </c>
      <c r="J74" s="80">
        <f>SUMIFS(StockInData[Value],StockInData[Product ID],ProductMaster!$B74)-SUMIFS(StockOutData[Value],StockOutData[Product ID],ProductMaster!$B74)</f>
        <v>35</v>
      </c>
    </row>
    <row r="75" spans="1:10" x14ac:dyDescent="0.25">
      <c r="A75" s="75">
        <v>74</v>
      </c>
      <c r="B75" s="76" t="s">
        <v>167</v>
      </c>
      <c r="C75" s="77" t="s">
        <v>168</v>
      </c>
      <c r="D75" s="76" t="s">
        <v>869</v>
      </c>
      <c r="E75" s="76" t="s">
        <v>871</v>
      </c>
      <c r="F75" s="78">
        <v>10</v>
      </c>
      <c r="G75" s="79">
        <f>StockInData[Expiry]</f>
        <v>44059</v>
      </c>
      <c r="H75" s="76">
        <v>25</v>
      </c>
      <c r="I75" s="76">
        <f>SUMIFS(StockInData[Quantity],StockInData[Product ID],ProductMaster!$B75)-SUMIFS(StockOutData[Quantity],StockOutData[Product ID],ProductMaster!$B75)</f>
        <v>16</v>
      </c>
      <c r="J75" s="80">
        <f>SUMIFS(StockInData[Value],StockInData[Product ID],ProductMaster!$B75)-SUMIFS(StockOutData[Value],StockOutData[Product ID],ProductMaster!$B75)</f>
        <v>40</v>
      </c>
    </row>
    <row r="76" spans="1:10" x14ac:dyDescent="0.25">
      <c r="A76" s="75">
        <v>75</v>
      </c>
      <c r="B76" s="76" t="s">
        <v>169</v>
      </c>
      <c r="C76" s="77" t="s">
        <v>170</v>
      </c>
      <c r="D76" s="76" t="s">
        <v>869</v>
      </c>
      <c r="E76" s="76" t="s">
        <v>871</v>
      </c>
      <c r="F76" s="78">
        <v>10</v>
      </c>
      <c r="G76" s="79">
        <f>StockInData[Expiry]</f>
        <v>44061</v>
      </c>
      <c r="H76" s="76">
        <v>25</v>
      </c>
      <c r="I76" s="76">
        <f>SUMIFS(StockInData[Quantity],StockInData[Product ID],ProductMaster!$B76)-SUMIFS(StockOutData[Quantity],StockOutData[Product ID],ProductMaster!$B76)</f>
        <v>50</v>
      </c>
      <c r="J76" s="80">
        <f>SUMIFS(StockInData[Value],StockInData[Product ID],ProductMaster!$B76)-SUMIFS(StockOutData[Value],StockOutData[Product ID],ProductMaster!$B76)</f>
        <v>125</v>
      </c>
    </row>
    <row r="77" spans="1:10" x14ac:dyDescent="0.25">
      <c r="A77" s="75">
        <v>76</v>
      </c>
      <c r="B77" s="76" t="s">
        <v>171</v>
      </c>
      <c r="C77" s="77" t="s">
        <v>172</v>
      </c>
      <c r="D77" s="76" t="s">
        <v>869</v>
      </c>
      <c r="E77" s="76" t="s">
        <v>871</v>
      </c>
      <c r="F77" s="78">
        <v>10</v>
      </c>
      <c r="G77" s="79">
        <f>StockInData[Expiry]</f>
        <v>44063</v>
      </c>
      <c r="H77" s="76">
        <v>25</v>
      </c>
      <c r="I77" s="76">
        <f>SUMIFS(StockInData[Quantity],StockInData[Product ID],ProductMaster!$B77)-SUMIFS(StockOutData[Quantity],StockOutData[Product ID],ProductMaster!$B77)</f>
        <v>56</v>
      </c>
      <c r="J77" s="80">
        <f>SUMIFS(StockInData[Value],StockInData[Product ID],ProductMaster!$B77)-SUMIFS(StockOutData[Value],StockOutData[Product ID],ProductMaster!$B77)</f>
        <v>140</v>
      </c>
    </row>
    <row r="78" spans="1:10" x14ac:dyDescent="0.25">
      <c r="A78" s="75">
        <v>77</v>
      </c>
      <c r="B78" s="76" t="s">
        <v>173</v>
      </c>
      <c r="C78" s="77" t="s">
        <v>174</v>
      </c>
      <c r="D78" s="76" t="s">
        <v>869</v>
      </c>
      <c r="E78" s="76" t="s">
        <v>871</v>
      </c>
      <c r="F78" s="78">
        <v>10</v>
      </c>
      <c r="G78" s="79">
        <f>StockInData[Expiry]</f>
        <v>44065</v>
      </c>
      <c r="H78" s="76">
        <v>25</v>
      </c>
      <c r="I78" s="76">
        <f>SUMIFS(StockInData[Quantity],StockInData[Product ID],ProductMaster!$B78)-SUMIFS(StockOutData[Quantity],StockOutData[Product ID],ProductMaster!$B78)</f>
        <v>72</v>
      </c>
      <c r="J78" s="80">
        <f>SUMIFS(StockInData[Value],StockInData[Product ID],ProductMaster!$B78)-SUMIFS(StockOutData[Value],StockOutData[Product ID],ProductMaster!$B78)</f>
        <v>180</v>
      </c>
    </row>
    <row r="79" spans="1:10" x14ac:dyDescent="0.25">
      <c r="A79" s="75">
        <v>78</v>
      </c>
      <c r="B79" s="76" t="s">
        <v>175</v>
      </c>
      <c r="C79" s="77" t="s">
        <v>176</v>
      </c>
      <c r="D79" s="76" t="s">
        <v>869</v>
      </c>
      <c r="E79" s="76" t="s">
        <v>871</v>
      </c>
      <c r="F79" s="78">
        <v>10</v>
      </c>
      <c r="G79" s="79">
        <f>StockInData[Expiry]</f>
        <v>44067</v>
      </c>
      <c r="H79" s="76">
        <v>25</v>
      </c>
      <c r="I79" s="76">
        <f>SUMIFS(StockInData[Quantity],StockInData[Product ID],ProductMaster!$B79)-SUMIFS(StockOutData[Quantity],StockOutData[Product ID],ProductMaster!$B79)</f>
        <v>85</v>
      </c>
      <c r="J79" s="80">
        <f>SUMIFS(StockInData[Value],StockInData[Product ID],ProductMaster!$B79)-SUMIFS(StockOutData[Value],StockOutData[Product ID],ProductMaster!$B79)</f>
        <v>212.5</v>
      </c>
    </row>
    <row r="80" spans="1:10" x14ac:dyDescent="0.25">
      <c r="A80" s="75">
        <v>79</v>
      </c>
      <c r="B80" s="76" t="s">
        <v>177</v>
      </c>
      <c r="C80" s="77" t="s">
        <v>178</v>
      </c>
      <c r="D80" s="76" t="s">
        <v>869</v>
      </c>
      <c r="E80" s="76" t="s">
        <v>871</v>
      </c>
      <c r="F80" s="78">
        <v>10</v>
      </c>
      <c r="G80" s="79">
        <f>StockInData[Expiry]</f>
        <v>44069</v>
      </c>
      <c r="H80" s="76">
        <v>25</v>
      </c>
      <c r="I80" s="76">
        <f>SUMIFS(StockInData[Quantity],StockInData[Product ID],ProductMaster!$B80)-SUMIFS(StockOutData[Quantity],StockOutData[Product ID],ProductMaster!$B80)</f>
        <v>88</v>
      </c>
      <c r="J80" s="80">
        <f>SUMIFS(StockInData[Value],StockInData[Product ID],ProductMaster!$B80)-SUMIFS(StockOutData[Value],StockOutData[Product ID],ProductMaster!$B80)</f>
        <v>220</v>
      </c>
    </row>
    <row r="81" spans="1:10" x14ac:dyDescent="0.25">
      <c r="A81" s="75">
        <v>80</v>
      </c>
      <c r="B81" s="76" t="s">
        <v>179</v>
      </c>
      <c r="C81" s="77" t="s">
        <v>180</v>
      </c>
      <c r="D81" s="76" t="s">
        <v>869</v>
      </c>
      <c r="E81" s="76" t="s">
        <v>871</v>
      </c>
      <c r="F81" s="78">
        <v>10</v>
      </c>
      <c r="G81" s="79">
        <f>StockInData[Expiry]</f>
        <v>44071</v>
      </c>
      <c r="H81" s="76">
        <v>25</v>
      </c>
      <c r="I81" s="76">
        <f>SUMIFS(StockInData[Quantity],StockInData[Product ID],ProductMaster!$B81)-SUMIFS(StockOutData[Quantity],StockOutData[Product ID],ProductMaster!$B81)</f>
        <v>35</v>
      </c>
      <c r="J81" s="80">
        <f>SUMIFS(StockInData[Value],StockInData[Product ID],ProductMaster!$B81)-SUMIFS(StockOutData[Value],StockOutData[Product ID],ProductMaster!$B81)</f>
        <v>87.5</v>
      </c>
    </row>
    <row r="82" spans="1:10" x14ac:dyDescent="0.25">
      <c r="A82" s="75">
        <v>81</v>
      </c>
      <c r="B82" s="76" t="s">
        <v>181</v>
      </c>
      <c r="C82" s="77" t="s">
        <v>182</v>
      </c>
      <c r="D82" s="76" t="s">
        <v>869</v>
      </c>
      <c r="E82" s="76" t="s">
        <v>871</v>
      </c>
      <c r="F82" s="78">
        <v>10</v>
      </c>
      <c r="G82" s="79">
        <f>StockInData[Expiry]</f>
        <v>44073</v>
      </c>
      <c r="H82" s="76">
        <v>25</v>
      </c>
      <c r="I82" s="76">
        <f>SUMIFS(StockInData[Quantity],StockInData[Product ID],ProductMaster!$B82)-SUMIFS(StockOutData[Quantity],StockOutData[Product ID],ProductMaster!$B82)</f>
        <v>23</v>
      </c>
      <c r="J82" s="80">
        <f>SUMIFS(StockInData[Value],StockInData[Product ID],ProductMaster!$B82)-SUMIFS(StockOutData[Value],StockOutData[Product ID],ProductMaster!$B82)</f>
        <v>57.5</v>
      </c>
    </row>
    <row r="83" spans="1:10" x14ac:dyDescent="0.25">
      <c r="A83" s="75">
        <v>82</v>
      </c>
      <c r="B83" s="76" t="s">
        <v>183</v>
      </c>
      <c r="C83" s="77" t="s">
        <v>184</v>
      </c>
      <c r="D83" s="76" t="s">
        <v>869</v>
      </c>
      <c r="E83" s="76" t="s">
        <v>871</v>
      </c>
      <c r="F83" s="78">
        <v>10</v>
      </c>
      <c r="G83" s="79">
        <f>StockInData[Expiry]</f>
        <v>44075</v>
      </c>
      <c r="H83" s="76">
        <v>25</v>
      </c>
      <c r="I83" s="76">
        <f>SUMIFS(StockInData[Quantity],StockInData[Product ID],ProductMaster!$B83)-SUMIFS(StockOutData[Quantity],StockOutData[Product ID],ProductMaster!$B83)</f>
        <v>10</v>
      </c>
      <c r="J83" s="80">
        <f>SUMIFS(StockInData[Value],StockInData[Product ID],ProductMaster!$B83)-SUMIFS(StockOutData[Value],StockOutData[Product ID],ProductMaster!$B83)</f>
        <v>25</v>
      </c>
    </row>
    <row r="84" spans="1:10" x14ac:dyDescent="0.25">
      <c r="A84" s="75">
        <v>83</v>
      </c>
      <c r="B84" s="76" t="s">
        <v>185</v>
      </c>
      <c r="C84" s="77" t="s">
        <v>186</v>
      </c>
      <c r="D84" s="76" t="s">
        <v>869</v>
      </c>
      <c r="E84" s="76" t="s">
        <v>871</v>
      </c>
      <c r="F84" s="78">
        <v>10</v>
      </c>
      <c r="G84" s="79">
        <f>StockInData[Expiry]</f>
        <v>44077</v>
      </c>
      <c r="H84" s="76">
        <v>25</v>
      </c>
      <c r="I84" s="76">
        <f>SUMIFS(StockInData[Quantity],StockInData[Product ID],ProductMaster!$B84)-SUMIFS(StockOutData[Quantity],StockOutData[Product ID],ProductMaster!$B84)</f>
        <v>2</v>
      </c>
      <c r="J84" s="80">
        <f>SUMIFS(StockInData[Value],StockInData[Product ID],ProductMaster!$B84)-SUMIFS(StockOutData[Value],StockOutData[Product ID],ProductMaster!$B84)</f>
        <v>5</v>
      </c>
    </row>
    <row r="85" spans="1:10" x14ac:dyDescent="0.25">
      <c r="A85" s="75">
        <v>84</v>
      </c>
      <c r="B85" s="76" t="s">
        <v>187</v>
      </c>
      <c r="C85" s="77" t="s">
        <v>188</v>
      </c>
      <c r="D85" s="76" t="s">
        <v>869</v>
      </c>
      <c r="E85" s="76" t="s">
        <v>871</v>
      </c>
      <c r="F85" s="78">
        <v>10</v>
      </c>
      <c r="G85" s="79">
        <f>StockInData[Expiry]</f>
        <v>44079</v>
      </c>
      <c r="H85" s="76">
        <v>25</v>
      </c>
      <c r="I85" s="76">
        <f>SUMIFS(StockInData[Quantity],StockInData[Product ID],ProductMaster!$B85)-SUMIFS(StockOutData[Quantity],StockOutData[Product ID],ProductMaster!$B85)</f>
        <v>7</v>
      </c>
      <c r="J85" s="80">
        <f>SUMIFS(StockInData[Value],StockInData[Product ID],ProductMaster!$B85)-SUMIFS(StockOutData[Value],StockOutData[Product ID],ProductMaster!$B85)</f>
        <v>17.5</v>
      </c>
    </row>
    <row r="86" spans="1:10" x14ac:dyDescent="0.25">
      <c r="A86" s="75">
        <v>85</v>
      </c>
      <c r="B86" s="76" t="s">
        <v>189</v>
      </c>
      <c r="C86" s="77" t="s">
        <v>190</v>
      </c>
      <c r="D86" s="76" t="s">
        <v>869</v>
      </c>
      <c r="E86" s="76" t="s">
        <v>871</v>
      </c>
      <c r="F86" s="78">
        <v>10</v>
      </c>
      <c r="G86" s="79">
        <f>StockInData[Expiry]</f>
        <v>44081</v>
      </c>
      <c r="H86" s="76">
        <v>25</v>
      </c>
      <c r="I86" s="76">
        <f>SUMIFS(StockInData[Quantity],StockInData[Product ID],ProductMaster!$B86)-SUMIFS(StockOutData[Quantity],StockOutData[Product ID],ProductMaster!$B86)</f>
        <v>13</v>
      </c>
      <c r="J86" s="80">
        <f>SUMIFS(StockInData[Value],StockInData[Product ID],ProductMaster!$B86)-SUMIFS(StockOutData[Value],StockOutData[Product ID],ProductMaster!$B86)</f>
        <v>32.5</v>
      </c>
    </row>
    <row r="87" spans="1:10" x14ac:dyDescent="0.25">
      <c r="A87" s="75">
        <v>86</v>
      </c>
      <c r="B87" s="76" t="s">
        <v>191</v>
      </c>
      <c r="C87" s="77" t="s">
        <v>192</v>
      </c>
      <c r="D87" s="76" t="s">
        <v>869</v>
      </c>
      <c r="E87" s="76" t="s">
        <v>871</v>
      </c>
      <c r="F87" s="78">
        <v>10</v>
      </c>
      <c r="G87" s="79">
        <f>StockInData[Expiry]</f>
        <v>44083</v>
      </c>
      <c r="H87" s="76">
        <v>25</v>
      </c>
      <c r="I87" s="76">
        <f>SUMIFS(StockInData[Quantity],StockInData[Product ID],ProductMaster!$B87)-SUMIFS(StockOutData[Quantity],StockOutData[Product ID],ProductMaster!$B87)</f>
        <v>55</v>
      </c>
      <c r="J87" s="80">
        <f>SUMIFS(StockInData[Value],StockInData[Product ID],ProductMaster!$B87)-SUMIFS(StockOutData[Value],StockOutData[Product ID],ProductMaster!$B87)</f>
        <v>137.5</v>
      </c>
    </row>
    <row r="88" spans="1:10" x14ac:dyDescent="0.25">
      <c r="A88" s="75">
        <v>87</v>
      </c>
      <c r="B88" s="76" t="s">
        <v>193</v>
      </c>
      <c r="C88" s="77" t="s">
        <v>194</v>
      </c>
      <c r="D88" s="76" t="s">
        <v>869</v>
      </c>
      <c r="E88" s="76" t="s">
        <v>871</v>
      </c>
      <c r="F88" s="78">
        <v>10</v>
      </c>
      <c r="G88" s="79">
        <f>StockInData[Expiry]</f>
        <v>44085</v>
      </c>
      <c r="H88" s="76">
        <v>25</v>
      </c>
      <c r="I88" s="76">
        <f>SUMIFS(StockInData[Quantity],StockInData[Product ID],ProductMaster!$B88)-SUMIFS(StockOutData[Quantity],StockOutData[Product ID],ProductMaster!$B88)</f>
        <v>67</v>
      </c>
      <c r="J88" s="80">
        <f>SUMIFS(StockInData[Value],StockInData[Product ID],ProductMaster!$B88)-SUMIFS(StockOutData[Value],StockOutData[Product ID],ProductMaster!$B88)</f>
        <v>167.5</v>
      </c>
    </row>
    <row r="89" spans="1:10" x14ac:dyDescent="0.25">
      <c r="A89" s="75">
        <v>88</v>
      </c>
      <c r="B89" s="76" t="s">
        <v>195</v>
      </c>
      <c r="C89" s="77" t="s">
        <v>196</v>
      </c>
      <c r="D89" s="76" t="s">
        <v>869</v>
      </c>
      <c r="E89" s="76" t="s">
        <v>871</v>
      </c>
      <c r="F89" s="78">
        <v>10</v>
      </c>
      <c r="G89" s="79">
        <f>StockInData[Expiry]</f>
        <v>44087</v>
      </c>
      <c r="H89" s="76">
        <v>25</v>
      </c>
      <c r="I89" s="76">
        <f>SUMIFS(StockInData[Quantity],StockInData[Product ID],ProductMaster!$B89)-SUMIFS(StockOutData[Quantity],StockOutData[Product ID],ProductMaster!$B89)</f>
        <v>69</v>
      </c>
      <c r="J89" s="80">
        <f>SUMIFS(StockInData[Value],StockInData[Product ID],ProductMaster!$B89)-SUMIFS(StockOutData[Value],StockOutData[Product ID],ProductMaster!$B89)</f>
        <v>172.5</v>
      </c>
    </row>
    <row r="90" spans="1:10" x14ac:dyDescent="0.25">
      <c r="A90" s="75">
        <v>89</v>
      </c>
      <c r="B90" s="76" t="s">
        <v>197</v>
      </c>
      <c r="C90" s="77" t="s">
        <v>198</v>
      </c>
      <c r="D90" s="76" t="s">
        <v>869</v>
      </c>
      <c r="E90" s="76" t="s">
        <v>871</v>
      </c>
      <c r="F90" s="78">
        <v>10</v>
      </c>
      <c r="G90" s="79">
        <f>StockInData[Expiry]</f>
        <v>44089</v>
      </c>
      <c r="H90" s="76">
        <v>25</v>
      </c>
      <c r="I90" s="76">
        <f>SUMIFS(StockInData[Quantity],StockInData[Product ID],ProductMaster!$B90)-SUMIFS(StockOutData[Quantity],StockOutData[Product ID],ProductMaster!$B90)</f>
        <v>81</v>
      </c>
      <c r="J90" s="80">
        <f>SUMIFS(StockInData[Value],StockInData[Product ID],ProductMaster!$B90)-SUMIFS(StockOutData[Value],StockOutData[Product ID],ProductMaster!$B90)</f>
        <v>202.5</v>
      </c>
    </row>
    <row r="91" spans="1:10" x14ac:dyDescent="0.25">
      <c r="A91" s="75">
        <v>90</v>
      </c>
      <c r="B91" s="76" t="s">
        <v>199</v>
      </c>
      <c r="C91" s="77" t="s">
        <v>200</v>
      </c>
      <c r="D91" s="76" t="s">
        <v>869</v>
      </c>
      <c r="E91" s="76" t="s">
        <v>871</v>
      </c>
      <c r="F91" s="78">
        <v>10</v>
      </c>
      <c r="G91" s="79">
        <f>StockInData[Expiry]</f>
        <v>44091</v>
      </c>
      <c r="H91" s="76">
        <v>25</v>
      </c>
      <c r="I91" s="76">
        <f>SUMIFS(StockInData[Quantity],StockInData[Product ID],ProductMaster!$B91)-SUMIFS(StockOutData[Quantity],StockOutData[Product ID],ProductMaster!$B91)</f>
        <v>89</v>
      </c>
      <c r="J91" s="80">
        <f>SUMIFS(StockInData[Value],StockInData[Product ID],ProductMaster!$B91)-SUMIFS(StockOutData[Value],StockOutData[Product ID],ProductMaster!$B91)</f>
        <v>222.5</v>
      </c>
    </row>
    <row r="92" spans="1:10" x14ac:dyDescent="0.25">
      <c r="A92" s="75">
        <v>91</v>
      </c>
      <c r="B92" s="76" t="s">
        <v>201</v>
      </c>
      <c r="C92" s="77" t="s">
        <v>202</v>
      </c>
      <c r="D92" s="76" t="s">
        <v>869</v>
      </c>
      <c r="E92" s="76" t="s">
        <v>871</v>
      </c>
      <c r="F92" s="78">
        <v>10</v>
      </c>
      <c r="G92" s="79">
        <f>StockInData[Expiry]</f>
        <v>44093</v>
      </c>
      <c r="H92" s="76">
        <v>25</v>
      </c>
      <c r="I92" s="76">
        <f>SUMIFS(StockInData[Quantity],StockInData[Product ID],ProductMaster!$B92)-SUMIFS(StockOutData[Quantity],StockOutData[Product ID],ProductMaster!$B92)</f>
        <v>46</v>
      </c>
      <c r="J92" s="80">
        <f>SUMIFS(StockInData[Value],StockInData[Product ID],ProductMaster!$B92)-SUMIFS(StockOutData[Value],StockOutData[Product ID],ProductMaster!$B92)</f>
        <v>115</v>
      </c>
    </row>
    <row r="93" spans="1:10" x14ac:dyDescent="0.25">
      <c r="A93" s="75">
        <v>92</v>
      </c>
      <c r="B93" s="76" t="s">
        <v>203</v>
      </c>
      <c r="C93" s="77" t="s">
        <v>204</v>
      </c>
      <c r="D93" s="76" t="s">
        <v>869</v>
      </c>
      <c r="E93" s="76" t="s">
        <v>871</v>
      </c>
      <c r="F93" s="78">
        <v>10</v>
      </c>
      <c r="G93" s="79">
        <f>StockInData[Expiry]</f>
        <v>44095</v>
      </c>
      <c r="H93" s="76">
        <v>25</v>
      </c>
      <c r="I93" s="76">
        <f>SUMIFS(StockInData[Quantity],StockInData[Product ID],ProductMaster!$B93)-SUMIFS(StockOutData[Quantity],StockOutData[Product ID],ProductMaster!$B93)</f>
        <v>27</v>
      </c>
      <c r="J93" s="80">
        <f>SUMIFS(StockInData[Value],StockInData[Product ID],ProductMaster!$B93)-SUMIFS(StockOutData[Value],StockOutData[Product ID],ProductMaster!$B93)</f>
        <v>67.5</v>
      </c>
    </row>
    <row r="94" spans="1:10" x14ac:dyDescent="0.25">
      <c r="A94" s="75">
        <v>93</v>
      </c>
      <c r="B94" s="76" t="s">
        <v>205</v>
      </c>
      <c r="C94" s="77" t="s">
        <v>206</v>
      </c>
      <c r="D94" s="76" t="s">
        <v>869</v>
      </c>
      <c r="E94" s="76" t="s">
        <v>871</v>
      </c>
      <c r="F94" s="78">
        <v>10</v>
      </c>
      <c r="G94" s="79">
        <f>StockInData[Expiry]</f>
        <v>44097</v>
      </c>
      <c r="H94" s="76">
        <v>25</v>
      </c>
      <c r="I94" s="76">
        <f>SUMIFS(StockInData[Quantity],StockInData[Product ID],ProductMaster!$B94)-SUMIFS(StockOutData[Quantity],StockOutData[Product ID],ProductMaster!$B94)</f>
        <v>25</v>
      </c>
      <c r="J94" s="80">
        <f>SUMIFS(StockInData[Value],StockInData[Product ID],ProductMaster!$B94)-SUMIFS(StockOutData[Value],StockOutData[Product ID],ProductMaster!$B94)</f>
        <v>62.5</v>
      </c>
    </row>
    <row r="95" spans="1:10" x14ac:dyDescent="0.25">
      <c r="A95" s="75">
        <v>94</v>
      </c>
      <c r="B95" s="76" t="s">
        <v>207</v>
      </c>
      <c r="C95" s="77" t="s">
        <v>208</v>
      </c>
      <c r="D95" s="76" t="s">
        <v>869</v>
      </c>
      <c r="E95" s="76" t="s">
        <v>871</v>
      </c>
      <c r="F95" s="78">
        <v>10</v>
      </c>
      <c r="G95" s="79">
        <f>StockInData[Expiry]</f>
        <v>44099</v>
      </c>
      <c r="H95" s="76">
        <v>25</v>
      </c>
      <c r="I95" s="76">
        <f>SUMIFS(StockInData[Quantity],StockInData[Product ID],ProductMaster!$B95)-SUMIFS(StockOutData[Quantity],StockOutData[Product ID],ProductMaster!$B95)</f>
        <v>18</v>
      </c>
      <c r="J95" s="80">
        <f>SUMIFS(StockInData[Value],StockInData[Product ID],ProductMaster!$B95)-SUMIFS(StockOutData[Value],StockOutData[Product ID],ProductMaster!$B95)</f>
        <v>45</v>
      </c>
    </row>
    <row r="96" spans="1:10" x14ac:dyDescent="0.25">
      <c r="A96" s="75">
        <v>95</v>
      </c>
      <c r="B96" s="76" t="s">
        <v>209</v>
      </c>
      <c r="C96" s="77" t="s">
        <v>210</v>
      </c>
      <c r="D96" s="76" t="s">
        <v>869</v>
      </c>
      <c r="E96" s="76" t="s">
        <v>871</v>
      </c>
      <c r="F96" s="78">
        <v>10</v>
      </c>
      <c r="G96" s="79">
        <f>StockInData[Expiry]</f>
        <v>44101</v>
      </c>
      <c r="H96" s="76">
        <v>25</v>
      </c>
      <c r="I96" s="76">
        <f>SUMIFS(StockInData[Quantity],StockInData[Product ID],ProductMaster!$B96)-SUMIFS(StockOutData[Quantity],StockOutData[Product ID],ProductMaster!$B96)</f>
        <v>5</v>
      </c>
      <c r="J96" s="80">
        <f>SUMIFS(StockInData[Value],StockInData[Product ID],ProductMaster!$B96)-SUMIFS(StockOutData[Value],StockOutData[Product ID],ProductMaster!$B96)</f>
        <v>12.5</v>
      </c>
    </row>
    <row r="97" spans="1:10" x14ac:dyDescent="0.25">
      <c r="A97" s="75">
        <v>96</v>
      </c>
      <c r="B97" s="76" t="s">
        <v>211</v>
      </c>
      <c r="C97" s="77" t="s">
        <v>212</v>
      </c>
      <c r="D97" s="76" t="s">
        <v>869</v>
      </c>
      <c r="E97" s="76" t="s">
        <v>871</v>
      </c>
      <c r="F97" s="78">
        <v>10</v>
      </c>
      <c r="G97" s="79">
        <f>StockInData[Expiry]</f>
        <v>44103</v>
      </c>
      <c r="H97" s="76">
        <v>25</v>
      </c>
      <c r="I97" s="76">
        <f>SUMIFS(StockInData[Quantity],StockInData[Product ID],ProductMaster!$B97)-SUMIFS(StockOutData[Quantity],StockOutData[Product ID],ProductMaster!$B97)</f>
        <v>1</v>
      </c>
      <c r="J97" s="80">
        <f>SUMIFS(StockInData[Value],StockInData[Product ID],ProductMaster!$B97)-SUMIFS(StockOutData[Value],StockOutData[Product ID],ProductMaster!$B97)</f>
        <v>2.5</v>
      </c>
    </row>
    <row r="98" spans="1:10" x14ac:dyDescent="0.25">
      <c r="A98" s="75">
        <v>97</v>
      </c>
      <c r="B98" s="76" t="s">
        <v>213</v>
      </c>
      <c r="C98" s="77" t="s">
        <v>214</v>
      </c>
      <c r="D98" s="76" t="s">
        <v>869</v>
      </c>
      <c r="E98" s="76" t="s">
        <v>871</v>
      </c>
      <c r="F98" s="78">
        <v>10</v>
      </c>
      <c r="G98" s="79">
        <f>StockInData[Expiry]</f>
        <v>44105</v>
      </c>
      <c r="H98" s="76">
        <v>25</v>
      </c>
      <c r="I98" s="76">
        <f>SUMIFS(StockInData[Quantity],StockInData[Product ID],ProductMaster!$B98)-SUMIFS(StockOutData[Quantity],StockOutData[Product ID],ProductMaster!$B98)</f>
        <v>88</v>
      </c>
      <c r="J98" s="80">
        <f>SUMIFS(StockInData[Value],StockInData[Product ID],ProductMaster!$B98)-SUMIFS(StockOutData[Value],StockOutData[Product ID],ProductMaster!$B98)</f>
        <v>220</v>
      </c>
    </row>
    <row r="99" spans="1:10" x14ac:dyDescent="0.25">
      <c r="A99" s="75">
        <v>98</v>
      </c>
      <c r="B99" s="76" t="s">
        <v>215</v>
      </c>
      <c r="C99" s="77" t="s">
        <v>216</v>
      </c>
      <c r="D99" s="76" t="s">
        <v>869</v>
      </c>
      <c r="E99" s="76" t="s">
        <v>871</v>
      </c>
      <c r="F99" s="78">
        <v>10</v>
      </c>
      <c r="G99" s="79">
        <f>StockInData[Expiry]</f>
        <v>44107</v>
      </c>
      <c r="H99" s="76">
        <v>25</v>
      </c>
      <c r="I99" s="76">
        <f>SUMIFS(StockInData[Quantity],StockInData[Product ID],ProductMaster!$B99)-SUMIFS(StockOutData[Quantity],StockOutData[Product ID],ProductMaster!$B99)</f>
        <v>86</v>
      </c>
      <c r="J99" s="80">
        <f>SUMIFS(StockInData[Value],StockInData[Product ID],ProductMaster!$B99)-SUMIFS(StockOutData[Value],StockOutData[Product ID],ProductMaster!$B99)</f>
        <v>215</v>
      </c>
    </row>
    <row r="100" spans="1:10" x14ac:dyDescent="0.25">
      <c r="A100" s="75">
        <v>99</v>
      </c>
      <c r="B100" s="76" t="s">
        <v>217</v>
      </c>
      <c r="C100" s="77" t="s">
        <v>218</v>
      </c>
      <c r="D100" s="76" t="s">
        <v>869</v>
      </c>
      <c r="E100" s="76" t="s">
        <v>871</v>
      </c>
      <c r="F100" s="78">
        <v>10</v>
      </c>
      <c r="G100" s="79">
        <f>StockInData[Expiry]</f>
        <v>44109</v>
      </c>
      <c r="H100" s="76">
        <v>25</v>
      </c>
      <c r="I100" s="76">
        <f>SUMIFS(StockInData[Quantity],StockInData[Product ID],ProductMaster!$B100)-SUMIFS(StockOutData[Quantity],StockOutData[Product ID],ProductMaster!$B100)</f>
        <v>87</v>
      </c>
      <c r="J100" s="80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75">
        <v>100</v>
      </c>
      <c r="B101" s="76" t="s">
        <v>219</v>
      </c>
      <c r="C101" s="77" t="s">
        <v>220</v>
      </c>
      <c r="D101" s="76" t="s">
        <v>869</v>
      </c>
      <c r="E101" s="76" t="s">
        <v>871</v>
      </c>
      <c r="F101" s="78">
        <v>10</v>
      </c>
      <c r="G101" s="79">
        <f>StockInData[Expiry]</f>
        <v>44111</v>
      </c>
      <c r="H101" s="76">
        <v>25</v>
      </c>
      <c r="I101" s="76">
        <f>SUMIFS(StockInData[Quantity],StockInData[Product ID],ProductMaster!$B101)-SUMIFS(StockOutData[Quantity],StockOutData[Product ID],ProductMaster!$B101)</f>
        <v>95</v>
      </c>
      <c r="J101" s="80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75">
        <v>101</v>
      </c>
      <c r="B102" s="76" t="s">
        <v>221</v>
      </c>
      <c r="C102" s="77" t="s">
        <v>222</v>
      </c>
      <c r="D102" s="76" t="s">
        <v>869</v>
      </c>
      <c r="E102" s="76" t="s">
        <v>871</v>
      </c>
      <c r="F102" s="78">
        <v>10</v>
      </c>
      <c r="G102" s="79">
        <f>StockInData[Expiry]</f>
        <v>44113</v>
      </c>
      <c r="H102" s="76">
        <v>25</v>
      </c>
      <c r="I102" s="76">
        <f>SUMIFS(StockInData[Quantity],StockInData[Product ID],ProductMaster!$B102)-SUMIFS(StockOutData[Quantity],StockOutData[Product ID],ProductMaster!$B102)</f>
        <v>33</v>
      </c>
      <c r="J102" s="80">
        <f>SUMIFS(StockInData[Value],StockInData[Product ID],ProductMaster!$B102)-SUMIFS(StockOutData[Value],StockOutData[Product ID],ProductMaster!$B102)</f>
        <v>82.5</v>
      </c>
    </row>
    <row r="103" spans="1:10" x14ac:dyDescent="0.25">
      <c r="A103" s="75">
        <v>102</v>
      </c>
      <c r="B103" s="76" t="s">
        <v>223</v>
      </c>
      <c r="C103" s="77" t="s">
        <v>224</v>
      </c>
      <c r="D103" s="76" t="s">
        <v>869</v>
      </c>
      <c r="E103" s="76" t="s">
        <v>871</v>
      </c>
      <c r="F103" s="78">
        <v>10</v>
      </c>
      <c r="G103" s="79">
        <f>StockInData[Expiry]</f>
        <v>44115</v>
      </c>
      <c r="H103" s="76">
        <v>25</v>
      </c>
      <c r="I103" s="76">
        <f>SUMIFS(StockInData[Quantity],StockInData[Product ID],ProductMaster!$B103)-SUMIFS(StockOutData[Quantity],StockOutData[Product ID],ProductMaster!$B103)</f>
        <v>15</v>
      </c>
      <c r="J103" s="80">
        <f>SUMIFS(StockInData[Value],StockInData[Product ID],ProductMaster!$B103)-SUMIFS(StockOutData[Value],StockOutData[Product ID],ProductMaster!$B103)</f>
        <v>37.5</v>
      </c>
    </row>
    <row r="104" spans="1:10" x14ac:dyDescent="0.25">
      <c r="A104" s="75">
        <v>103</v>
      </c>
      <c r="B104" s="76" t="s">
        <v>225</v>
      </c>
      <c r="C104" s="77" t="s">
        <v>226</v>
      </c>
      <c r="D104" s="76" t="s">
        <v>869</v>
      </c>
      <c r="E104" s="76" t="s">
        <v>871</v>
      </c>
      <c r="F104" s="78">
        <v>10</v>
      </c>
      <c r="G104" s="79">
        <f>StockInData[Expiry]</f>
        <v>44117</v>
      </c>
      <c r="H104" s="76">
        <v>25</v>
      </c>
      <c r="I104" s="76">
        <f>SUMIFS(StockInData[Quantity],StockInData[Product ID],ProductMaster!$B104)-SUMIFS(StockOutData[Quantity],StockOutData[Product ID],ProductMaster!$B104)</f>
        <v>7</v>
      </c>
      <c r="J104" s="80">
        <f>SUMIFS(StockInData[Value],StockInData[Product ID],ProductMaster!$B104)-SUMIFS(StockOutData[Value],StockOutData[Product ID],ProductMaster!$B104)</f>
        <v>17.5</v>
      </c>
    </row>
    <row r="105" spans="1:10" x14ac:dyDescent="0.25">
      <c r="A105" s="75">
        <v>104</v>
      </c>
      <c r="B105" s="76" t="s">
        <v>227</v>
      </c>
      <c r="C105" s="77" t="s">
        <v>228</v>
      </c>
      <c r="D105" s="76" t="s">
        <v>869</v>
      </c>
      <c r="E105" s="76" t="s">
        <v>871</v>
      </c>
      <c r="F105" s="78">
        <v>10</v>
      </c>
      <c r="G105" s="79">
        <f>StockInData[Expiry]</f>
        <v>44119</v>
      </c>
      <c r="H105" s="76">
        <v>25</v>
      </c>
      <c r="I105" s="76">
        <f>SUMIFS(StockInData[Quantity],StockInData[Product ID],ProductMaster!$B105)-SUMIFS(StockOutData[Quantity],StockOutData[Product ID],ProductMaster!$B105)</f>
        <v>8</v>
      </c>
      <c r="J105" s="80">
        <f>SUMIFS(StockInData[Value],StockInData[Product ID],ProductMaster!$B105)-SUMIFS(StockOutData[Value],StockOutData[Product ID],ProductMaster!$B105)</f>
        <v>20</v>
      </c>
    </row>
    <row r="106" spans="1:10" x14ac:dyDescent="0.25">
      <c r="A106" s="75">
        <v>105</v>
      </c>
      <c r="B106" s="76" t="s">
        <v>229</v>
      </c>
      <c r="C106" s="77" t="s">
        <v>230</v>
      </c>
      <c r="D106" s="76" t="s">
        <v>869</v>
      </c>
      <c r="E106" s="76" t="s">
        <v>871</v>
      </c>
      <c r="F106" s="78">
        <v>10</v>
      </c>
      <c r="G106" s="79">
        <f>StockInData[Expiry]</f>
        <v>44121</v>
      </c>
      <c r="H106" s="76">
        <v>25</v>
      </c>
      <c r="I106" s="76">
        <f>SUMIFS(StockInData[Quantity],StockInData[Product ID],ProductMaster!$B106)-SUMIFS(StockOutData[Quantity],StockOutData[Product ID],ProductMaster!$B106)</f>
        <v>9</v>
      </c>
      <c r="J106" s="80">
        <f>SUMIFS(StockInData[Value],StockInData[Product ID],ProductMaster!$B106)-SUMIFS(StockOutData[Value],StockOutData[Product ID],ProductMaster!$B106)</f>
        <v>22.5</v>
      </c>
    </row>
    <row r="107" spans="1:10" x14ac:dyDescent="0.25">
      <c r="A107" s="75">
        <v>106</v>
      </c>
      <c r="B107" s="76" t="s">
        <v>231</v>
      </c>
      <c r="C107" s="77" t="s">
        <v>232</v>
      </c>
      <c r="D107" s="76" t="s">
        <v>869</v>
      </c>
      <c r="E107" s="76" t="s">
        <v>871</v>
      </c>
      <c r="F107" s="78">
        <v>10</v>
      </c>
      <c r="G107" s="79">
        <f>StockInData[Expiry]</f>
        <v>44123</v>
      </c>
      <c r="H107" s="76">
        <v>25</v>
      </c>
      <c r="I107" s="76">
        <f>SUMIFS(StockInData[Quantity],StockInData[Product ID],ProductMaster!$B107)-SUMIFS(StockOutData[Quantity],StockOutData[Product ID],ProductMaster!$B107)</f>
        <v>13</v>
      </c>
      <c r="J107" s="80">
        <f>SUMIFS(StockInData[Value],StockInData[Product ID],ProductMaster!$B107)-SUMIFS(StockOutData[Value],StockOutData[Product ID],ProductMaster!$B107)</f>
        <v>32.5</v>
      </c>
    </row>
    <row r="108" spans="1:10" x14ac:dyDescent="0.25">
      <c r="A108" s="75">
        <v>107</v>
      </c>
      <c r="B108" s="76" t="s">
        <v>233</v>
      </c>
      <c r="C108" s="77" t="s">
        <v>234</v>
      </c>
      <c r="D108" s="76" t="s">
        <v>869</v>
      </c>
      <c r="E108" s="76" t="s">
        <v>871</v>
      </c>
      <c r="F108" s="78">
        <v>10</v>
      </c>
      <c r="G108" s="79">
        <f>StockInData[Expiry]</f>
        <v>44125</v>
      </c>
      <c r="H108" s="76">
        <v>25</v>
      </c>
      <c r="I108" s="76">
        <f>SUMIFS(StockInData[Quantity],StockInData[Product ID],ProductMaster!$B108)-SUMIFS(StockOutData[Quantity],StockOutData[Product ID],ProductMaster!$B108)</f>
        <v>58</v>
      </c>
      <c r="J108" s="80">
        <f>SUMIFS(StockInData[Value],StockInData[Product ID],ProductMaster!$B108)-SUMIFS(StockOutData[Value],StockOutData[Product ID],ProductMaster!$B108)</f>
        <v>145</v>
      </c>
    </row>
    <row r="109" spans="1:10" x14ac:dyDescent="0.25">
      <c r="A109" s="75">
        <v>108</v>
      </c>
      <c r="B109" s="76" t="s">
        <v>235</v>
      </c>
      <c r="C109" s="77" t="s">
        <v>236</v>
      </c>
      <c r="D109" s="76" t="s">
        <v>869</v>
      </c>
      <c r="E109" s="76" t="s">
        <v>871</v>
      </c>
      <c r="F109" s="78">
        <v>10</v>
      </c>
      <c r="G109" s="79">
        <f>StockInData[Expiry]</f>
        <v>44127</v>
      </c>
      <c r="H109" s="76">
        <v>25</v>
      </c>
      <c r="I109" s="76">
        <f>SUMIFS(StockInData[Quantity],StockInData[Product ID],ProductMaster!$B109)-SUMIFS(StockOutData[Quantity],StockOutData[Product ID],ProductMaster!$B109)</f>
        <v>59</v>
      </c>
      <c r="J109" s="80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75">
        <v>109</v>
      </c>
      <c r="B110" s="76" t="s">
        <v>237</v>
      </c>
      <c r="C110" s="77" t="s">
        <v>238</v>
      </c>
      <c r="D110" s="76" t="s">
        <v>869</v>
      </c>
      <c r="E110" s="76" t="s">
        <v>871</v>
      </c>
      <c r="F110" s="78">
        <v>10</v>
      </c>
      <c r="G110" s="79">
        <f>StockInData[Expiry]</f>
        <v>44129</v>
      </c>
      <c r="H110" s="76">
        <v>25</v>
      </c>
      <c r="I110" s="76">
        <f>SUMIFS(StockInData[Quantity],StockInData[Product ID],ProductMaster!$B110)-SUMIFS(StockOutData[Quantity],StockOutData[Product ID],ProductMaster!$B110)</f>
        <v>66</v>
      </c>
      <c r="J110" s="80">
        <f>SUMIFS(StockInData[Value],StockInData[Product ID],ProductMaster!$B110)-SUMIFS(StockOutData[Value],StockOutData[Product ID],ProductMaster!$B110)</f>
        <v>165</v>
      </c>
    </row>
    <row r="111" spans="1:10" x14ac:dyDescent="0.25">
      <c r="A111" s="75">
        <v>110</v>
      </c>
      <c r="B111" s="76" t="s">
        <v>239</v>
      </c>
      <c r="C111" s="77" t="s">
        <v>240</v>
      </c>
      <c r="D111" s="76" t="s">
        <v>869</v>
      </c>
      <c r="E111" s="76" t="s">
        <v>871</v>
      </c>
      <c r="F111" s="78">
        <v>10</v>
      </c>
      <c r="G111" s="79">
        <f>StockInData[Expiry]</f>
        <v>44131</v>
      </c>
      <c r="H111" s="76">
        <v>25</v>
      </c>
      <c r="I111" s="76">
        <f>SUMIFS(StockInData[Quantity],StockInData[Product ID],ProductMaster!$B111)-SUMIFS(StockOutData[Quantity],StockOutData[Product ID],ProductMaster!$B111)</f>
        <v>87</v>
      </c>
      <c r="J111" s="80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75">
        <v>111</v>
      </c>
      <c r="B112" s="76" t="s">
        <v>241</v>
      </c>
      <c r="C112" s="77" t="s">
        <v>242</v>
      </c>
      <c r="D112" s="76" t="s">
        <v>869</v>
      </c>
      <c r="E112" s="76" t="s">
        <v>871</v>
      </c>
      <c r="F112" s="78">
        <v>10</v>
      </c>
      <c r="G112" s="79">
        <f>StockInData[Expiry]</f>
        <v>44133</v>
      </c>
      <c r="H112" s="76">
        <v>25</v>
      </c>
      <c r="I112" s="76">
        <f>SUMIFS(StockInData[Quantity],StockInData[Product ID],ProductMaster!$B112)-SUMIFS(StockOutData[Quantity],StockOutData[Product ID],ProductMaster!$B112)</f>
        <v>87</v>
      </c>
      <c r="J112" s="80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75">
        <v>112</v>
      </c>
      <c r="B113" s="76" t="s">
        <v>243</v>
      </c>
      <c r="C113" s="77" t="s">
        <v>244</v>
      </c>
      <c r="D113" s="76" t="s">
        <v>869</v>
      </c>
      <c r="E113" s="76" t="s">
        <v>871</v>
      </c>
      <c r="F113" s="78">
        <v>10</v>
      </c>
      <c r="G113" s="79">
        <f>StockInData[Expiry]</f>
        <v>44135</v>
      </c>
      <c r="H113" s="76">
        <v>25</v>
      </c>
      <c r="I113" s="76">
        <f>SUMIFS(StockInData[Quantity],StockInData[Product ID],ProductMaster!$B113)-SUMIFS(StockOutData[Quantity],StockOutData[Product ID],ProductMaster!$B113)</f>
        <v>47</v>
      </c>
      <c r="J113" s="80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75">
        <v>113</v>
      </c>
      <c r="B114" s="76" t="s">
        <v>245</v>
      </c>
      <c r="C114" s="77" t="s">
        <v>246</v>
      </c>
      <c r="D114" s="76" t="s">
        <v>869</v>
      </c>
      <c r="E114" s="76" t="s">
        <v>871</v>
      </c>
      <c r="F114" s="78">
        <v>10</v>
      </c>
      <c r="G114" s="79">
        <f>StockInData[Expiry]</f>
        <v>44137</v>
      </c>
      <c r="H114" s="76">
        <v>25</v>
      </c>
      <c r="I114" s="76">
        <f>SUMIFS(StockInData[Quantity],StockInData[Product ID],ProductMaster!$B114)-SUMIFS(StockOutData[Quantity],StockOutData[Product ID],ProductMaster!$B114)</f>
        <v>35</v>
      </c>
      <c r="J114" s="80">
        <f>SUMIFS(StockInData[Value],StockInData[Product ID],ProductMaster!$B114)-SUMIFS(StockOutData[Value],StockOutData[Product ID],ProductMaster!$B114)</f>
        <v>87.5</v>
      </c>
    </row>
    <row r="115" spans="1:10" x14ac:dyDescent="0.25">
      <c r="A115" s="75">
        <v>114</v>
      </c>
      <c r="B115" s="76" t="s">
        <v>247</v>
      </c>
      <c r="C115" s="77" t="s">
        <v>248</v>
      </c>
      <c r="D115" s="76" t="s">
        <v>869</v>
      </c>
      <c r="E115" s="76" t="s">
        <v>871</v>
      </c>
      <c r="F115" s="78">
        <v>10</v>
      </c>
      <c r="G115" s="79">
        <f>StockInData[Expiry]</f>
        <v>44139</v>
      </c>
      <c r="H115" s="76">
        <v>25</v>
      </c>
      <c r="I115" s="76">
        <f>SUMIFS(StockInData[Quantity],StockInData[Product ID],ProductMaster!$B115)-SUMIFS(StockOutData[Quantity],StockOutData[Product ID],ProductMaster!$B115)</f>
        <v>23</v>
      </c>
      <c r="J115" s="80">
        <f>SUMIFS(StockInData[Value],StockInData[Product ID],ProductMaster!$B115)-SUMIFS(StockOutData[Value],StockOutData[Product ID],ProductMaster!$B115)</f>
        <v>57.5</v>
      </c>
    </row>
    <row r="116" spans="1:10" x14ac:dyDescent="0.25">
      <c r="A116" s="75">
        <v>115</v>
      </c>
      <c r="B116" s="76" t="s">
        <v>249</v>
      </c>
      <c r="C116" s="77" t="s">
        <v>250</v>
      </c>
      <c r="D116" s="76" t="s">
        <v>869</v>
      </c>
      <c r="E116" s="76" t="s">
        <v>871</v>
      </c>
      <c r="F116" s="78">
        <v>10</v>
      </c>
      <c r="G116" s="79">
        <f>StockInData[Expiry]</f>
        <v>44141</v>
      </c>
      <c r="H116" s="76">
        <v>25</v>
      </c>
      <c r="I116" s="76">
        <f>SUMIFS(StockInData[Quantity],StockInData[Product ID],ProductMaster!$B116)-SUMIFS(StockOutData[Quantity],StockOutData[Product ID],ProductMaster!$B116)</f>
        <v>10</v>
      </c>
      <c r="J116" s="80">
        <f>SUMIFS(StockInData[Value],StockInData[Product ID],ProductMaster!$B116)-SUMIFS(StockOutData[Value],StockOutData[Product ID],ProductMaster!$B116)</f>
        <v>25</v>
      </c>
    </row>
    <row r="117" spans="1:10" x14ac:dyDescent="0.25">
      <c r="A117" s="75">
        <v>116</v>
      </c>
      <c r="B117" s="76" t="s">
        <v>251</v>
      </c>
      <c r="C117" s="77" t="s">
        <v>252</v>
      </c>
      <c r="D117" s="76" t="s">
        <v>869</v>
      </c>
      <c r="E117" s="76" t="s">
        <v>871</v>
      </c>
      <c r="F117" s="78">
        <v>10</v>
      </c>
      <c r="G117" s="79">
        <f>StockInData[Expiry]</f>
        <v>44143</v>
      </c>
      <c r="H117" s="76">
        <v>25</v>
      </c>
      <c r="I117" s="76">
        <f>SUMIFS(StockInData[Quantity],StockInData[Product ID],ProductMaster!$B117)-SUMIFS(StockOutData[Quantity],StockOutData[Product ID],ProductMaster!$B117)</f>
        <v>2</v>
      </c>
      <c r="J117" s="80">
        <f>SUMIFS(StockInData[Value],StockInData[Product ID],ProductMaster!$B117)-SUMIFS(StockOutData[Value],StockOutData[Product ID],ProductMaster!$B117)</f>
        <v>5</v>
      </c>
    </row>
    <row r="118" spans="1:10" x14ac:dyDescent="0.25">
      <c r="A118" s="75">
        <v>117</v>
      </c>
      <c r="B118" s="76" t="s">
        <v>253</v>
      </c>
      <c r="C118" s="77" t="s">
        <v>254</v>
      </c>
      <c r="D118" s="76" t="s">
        <v>869</v>
      </c>
      <c r="E118" s="76" t="s">
        <v>871</v>
      </c>
      <c r="F118" s="78">
        <v>10</v>
      </c>
      <c r="G118" s="79">
        <f>StockInData[Expiry]</f>
        <v>44145</v>
      </c>
      <c r="H118" s="76">
        <v>25</v>
      </c>
      <c r="I118" s="76">
        <f>SUMIFS(StockInData[Quantity],StockInData[Product ID],ProductMaster!$B118)-SUMIFS(StockOutData[Quantity],StockOutData[Product ID],ProductMaster!$B118)</f>
        <v>7</v>
      </c>
      <c r="J118" s="80">
        <f>SUMIFS(StockInData[Value],StockInData[Product ID],ProductMaster!$B118)-SUMIFS(StockOutData[Value],StockOutData[Product ID],ProductMaster!$B118)</f>
        <v>17.5</v>
      </c>
    </row>
    <row r="119" spans="1:10" x14ac:dyDescent="0.25">
      <c r="A119" s="75">
        <v>118</v>
      </c>
      <c r="B119" s="76" t="s">
        <v>255</v>
      </c>
      <c r="C119" s="77" t="s">
        <v>256</v>
      </c>
      <c r="D119" s="76" t="s">
        <v>869</v>
      </c>
      <c r="E119" s="76" t="s">
        <v>871</v>
      </c>
      <c r="F119" s="78">
        <v>10</v>
      </c>
      <c r="G119" s="79">
        <f>StockInData[Expiry]</f>
        <v>44147</v>
      </c>
      <c r="H119" s="76">
        <v>25</v>
      </c>
      <c r="I119" s="76">
        <f>SUMIFS(StockInData[Quantity],StockInData[Product ID],ProductMaster!$B119)-SUMIFS(StockOutData[Quantity],StockOutData[Product ID],ProductMaster!$B119)</f>
        <v>9</v>
      </c>
      <c r="J119" s="80">
        <f>SUMIFS(StockInData[Value],StockInData[Product ID],ProductMaster!$B119)-SUMIFS(StockOutData[Value],StockOutData[Product ID],ProductMaster!$B119)</f>
        <v>22.5</v>
      </c>
    </row>
    <row r="120" spans="1:10" x14ac:dyDescent="0.25">
      <c r="A120" s="75">
        <v>119</v>
      </c>
      <c r="B120" s="76" t="s">
        <v>257</v>
      </c>
      <c r="C120" s="77" t="s">
        <v>258</v>
      </c>
      <c r="D120" s="76" t="s">
        <v>869</v>
      </c>
      <c r="E120" s="76" t="s">
        <v>871</v>
      </c>
      <c r="F120" s="78">
        <v>10</v>
      </c>
      <c r="G120" s="79">
        <f>StockInData[Expiry]</f>
        <v>44149</v>
      </c>
      <c r="H120" s="76">
        <v>25</v>
      </c>
      <c r="I120" s="76">
        <f>SUMIFS(StockInData[Quantity],StockInData[Product ID],ProductMaster!$B120)-SUMIFS(StockOutData[Quantity],StockOutData[Product ID],ProductMaster!$B120)</f>
        <v>52</v>
      </c>
      <c r="J120" s="80">
        <f>SUMIFS(StockInData[Value],StockInData[Product ID],ProductMaster!$B120)-SUMIFS(StockOutData[Value],StockOutData[Product ID],ProductMaster!$B120)</f>
        <v>130</v>
      </c>
    </row>
    <row r="121" spans="1:10" x14ac:dyDescent="0.25">
      <c r="A121" s="75">
        <v>120</v>
      </c>
      <c r="B121" s="76" t="s">
        <v>259</v>
      </c>
      <c r="C121" s="77" t="s">
        <v>260</v>
      </c>
      <c r="D121" s="76" t="s">
        <v>869</v>
      </c>
      <c r="E121" s="76" t="s">
        <v>871</v>
      </c>
      <c r="F121" s="78">
        <v>10</v>
      </c>
      <c r="G121" s="79">
        <f>StockInData[Expiry]</f>
        <v>44151</v>
      </c>
      <c r="H121" s="76">
        <v>25</v>
      </c>
      <c r="I121" s="76">
        <f>SUMIFS(StockInData[Quantity],StockInData[Product ID],ProductMaster!$B121)-SUMIFS(StockOutData[Quantity],StockOutData[Product ID],ProductMaster!$B121)</f>
        <v>69</v>
      </c>
      <c r="J121" s="80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75">
        <v>121</v>
      </c>
      <c r="B122" s="76" t="s">
        <v>261</v>
      </c>
      <c r="C122" s="77" t="s">
        <v>262</v>
      </c>
      <c r="D122" s="76" t="s">
        <v>869</v>
      </c>
      <c r="E122" s="76" t="s">
        <v>871</v>
      </c>
      <c r="F122" s="78">
        <v>10</v>
      </c>
      <c r="G122" s="79">
        <f>StockInData[Expiry]</f>
        <v>44153</v>
      </c>
      <c r="H122" s="76">
        <v>25</v>
      </c>
      <c r="I122" s="76">
        <f>SUMIFS(StockInData[Quantity],StockInData[Product ID],ProductMaster!$B122)-SUMIFS(StockOutData[Quantity],StockOutData[Product ID],ProductMaster!$B122)</f>
        <v>77</v>
      </c>
      <c r="J122" s="80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75">
        <v>122</v>
      </c>
      <c r="B123" s="76" t="s">
        <v>263</v>
      </c>
      <c r="C123" s="77" t="s">
        <v>264</v>
      </c>
      <c r="D123" s="76" t="s">
        <v>869</v>
      </c>
      <c r="E123" s="76" t="s">
        <v>871</v>
      </c>
      <c r="F123" s="78">
        <v>10</v>
      </c>
      <c r="G123" s="79">
        <f>StockInData[Expiry]</f>
        <v>44155</v>
      </c>
      <c r="H123" s="76">
        <v>25</v>
      </c>
      <c r="I123" s="76">
        <f>SUMIFS(StockInData[Quantity],StockInData[Product ID],ProductMaster!$B123)-SUMIFS(StockOutData[Quantity],StockOutData[Product ID],ProductMaster!$B123)</f>
        <v>84</v>
      </c>
      <c r="J123" s="80">
        <f>SUMIFS(StockInData[Value],StockInData[Product ID],ProductMaster!$B123)-SUMIFS(StockOutData[Value],StockOutData[Product ID],ProductMaster!$B123)</f>
        <v>210</v>
      </c>
    </row>
    <row r="124" spans="1:10" x14ac:dyDescent="0.25">
      <c r="A124" s="75">
        <v>123</v>
      </c>
      <c r="B124" s="76" t="s">
        <v>265</v>
      </c>
      <c r="C124" s="77" t="s">
        <v>266</v>
      </c>
      <c r="D124" s="76" t="s">
        <v>869</v>
      </c>
      <c r="E124" s="76" t="s">
        <v>871</v>
      </c>
      <c r="F124" s="78">
        <v>10</v>
      </c>
      <c r="G124" s="79">
        <f>StockInData[Expiry]</f>
        <v>44157</v>
      </c>
      <c r="H124" s="76">
        <v>25</v>
      </c>
      <c r="I124" s="76">
        <f>SUMIFS(StockInData[Quantity],StockInData[Product ID],ProductMaster!$B124)-SUMIFS(StockOutData[Quantity],StockOutData[Product ID],ProductMaster!$B124)</f>
        <v>83</v>
      </c>
      <c r="J124" s="80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75">
        <v>124</v>
      </c>
      <c r="B125" s="76" t="s">
        <v>267</v>
      </c>
      <c r="C125" s="77" t="s">
        <v>268</v>
      </c>
      <c r="D125" s="76" t="s">
        <v>869</v>
      </c>
      <c r="E125" s="76" t="s">
        <v>871</v>
      </c>
      <c r="F125" s="78">
        <v>10</v>
      </c>
      <c r="G125" s="79">
        <f>StockInData[Expiry]</f>
        <v>44159</v>
      </c>
      <c r="H125" s="76">
        <v>25</v>
      </c>
      <c r="I125" s="76">
        <f>SUMIFS(StockInData[Quantity],StockInData[Product ID],ProductMaster!$B125)-SUMIFS(StockOutData[Quantity],StockOutData[Product ID],ProductMaster!$B125)</f>
        <v>48</v>
      </c>
      <c r="J125" s="80">
        <f>SUMIFS(StockInData[Value],StockInData[Product ID],ProductMaster!$B125)-SUMIFS(StockOutData[Value],StockOutData[Product ID],ProductMaster!$B125)</f>
        <v>120</v>
      </c>
    </row>
    <row r="126" spans="1:10" x14ac:dyDescent="0.25">
      <c r="A126" s="75">
        <v>125</v>
      </c>
      <c r="B126" s="76" t="s">
        <v>269</v>
      </c>
      <c r="C126" s="77" t="s">
        <v>270</v>
      </c>
      <c r="D126" s="76" t="s">
        <v>869</v>
      </c>
      <c r="E126" s="76" t="s">
        <v>871</v>
      </c>
      <c r="F126" s="78">
        <v>10</v>
      </c>
      <c r="G126" s="79">
        <f>StockInData[Expiry]</f>
        <v>44161</v>
      </c>
      <c r="H126" s="76">
        <v>25</v>
      </c>
      <c r="I126" s="76">
        <f>SUMIFS(StockInData[Quantity],StockInData[Product ID],ProductMaster!$B126)-SUMIFS(StockOutData[Quantity],StockOutData[Product ID],ProductMaster!$B126)</f>
        <v>30</v>
      </c>
      <c r="J126" s="80">
        <f>SUMIFS(StockInData[Value],StockInData[Product ID],ProductMaster!$B126)-SUMIFS(StockOutData[Value],StockOutData[Product ID],ProductMaster!$B126)</f>
        <v>75</v>
      </c>
    </row>
    <row r="127" spans="1:10" x14ac:dyDescent="0.25">
      <c r="A127" s="75">
        <v>126</v>
      </c>
      <c r="B127" s="76" t="s">
        <v>271</v>
      </c>
      <c r="C127" s="77" t="s">
        <v>272</v>
      </c>
      <c r="D127" s="76" t="s">
        <v>869</v>
      </c>
      <c r="E127" s="76" t="s">
        <v>871</v>
      </c>
      <c r="F127" s="78">
        <v>10</v>
      </c>
      <c r="G127" s="79">
        <f>StockInData[Expiry]</f>
        <v>44163</v>
      </c>
      <c r="H127" s="76">
        <v>25</v>
      </c>
      <c r="I127" s="76">
        <f>SUMIFS(StockInData[Quantity],StockInData[Product ID],ProductMaster!$B127)-SUMIFS(StockOutData[Quantity],StockOutData[Product ID],ProductMaster!$B127)</f>
        <v>20</v>
      </c>
      <c r="J127" s="80">
        <f>SUMIFS(StockInData[Value],StockInData[Product ID],ProductMaster!$B127)-SUMIFS(StockOutData[Value],StockOutData[Product ID],ProductMaster!$B127)</f>
        <v>50</v>
      </c>
    </row>
    <row r="128" spans="1:10" x14ac:dyDescent="0.25">
      <c r="A128" s="75">
        <v>127</v>
      </c>
      <c r="B128" s="76" t="s">
        <v>273</v>
      </c>
      <c r="C128" s="77" t="s">
        <v>274</v>
      </c>
      <c r="D128" s="76" t="s">
        <v>869</v>
      </c>
      <c r="E128" s="76" t="s">
        <v>871</v>
      </c>
      <c r="F128" s="78">
        <v>10</v>
      </c>
      <c r="G128" s="79">
        <f>StockInData[Expiry]</f>
        <v>44165</v>
      </c>
      <c r="H128" s="76">
        <v>25</v>
      </c>
      <c r="I128" s="76">
        <f>SUMIFS(StockInData[Quantity],StockInData[Product ID],ProductMaster!$B128)-SUMIFS(StockOutData[Quantity],StockOutData[Product ID],ProductMaster!$B128)</f>
        <v>15</v>
      </c>
      <c r="J128" s="80">
        <f>SUMIFS(StockInData[Value],StockInData[Product ID],ProductMaster!$B128)-SUMIFS(StockOutData[Value],StockOutData[Product ID],ProductMaster!$B128)</f>
        <v>37.5</v>
      </c>
    </row>
    <row r="129" spans="1:10" x14ac:dyDescent="0.25">
      <c r="A129" s="75">
        <v>128</v>
      </c>
      <c r="B129" s="76" t="s">
        <v>275</v>
      </c>
      <c r="C129" s="77" t="s">
        <v>276</v>
      </c>
      <c r="D129" s="76" t="s">
        <v>869</v>
      </c>
      <c r="E129" s="76" t="s">
        <v>871</v>
      </c>
      <c r="F129" s="78">
        <v>10</v>
      </c>
      <c r="G129" s="79">
        <f>StockInData[Expiry]</f>
        <v>44167</v>
      </c>
      <c r="H129" s="76">
        <v>25</v>
      </c>
      <c r="I129" s="76">
        <f>SUMIFS(StockInData[Quantity],StockInData[Product ID],ProductMaster!$B129)-SUMIFS(StockOutData[Quantity],StockOutData[Product ID],ProductMaster!$B129)</f>
        <v>10</v>
      </c>
      <c r="J129" s="80">
        <f>SUMIFS(StockInData[Value],StockInData[Product ID],ProductMaster!$B129)-SUMIFS(StockOutData[Value],StockOutData[Product ID],ProductMaster!$B129)</f>
        <v>25</v>
      </c>
    </row>
    <row r="130" spans="1:10" x14ac:dyDescent="0.25">
      <c r="A130" s="75">
        <v>129</v>
      </c>
      <c r="B130" s="76" t="s">
        <v>277</v>
      </c>
      <c r="C130" s="77" t="s">
        <v>278</v>
      </c>
      <c r="D130" s="76" t="s">
        <v>869</v>
      </c>
      <c r="E130" s="76" t="s">
        <v>871</v>
      </c>
      <c r="F130" s="78">
        <v>10</v>
      </c>
      <c r="G130" s="79">
        <f>StockInData[Expiry]</f>
        <v>44169</v>
      </c>
      <c r="H130" s="76">
        <v>25</v>
      </c>
      <c r="I130" s="76">
        <f>SUMIFS(StockInData[Quantity],StockInData[Product ID],ProductMaster!$B130)-SUMIFS(StockOutData[Quantity],StockOutData[Product ID],ProductMaster!$B130)</f>
        <v>9</v>
      </c>
      <c r="J130" s="80">
        <f>SUMIFS(StockInData[Value],StockInData[Product ID],ProductMaster!$B130)-SUMIFS(StockOutData[Value],StockOutData[Product ID],ProductMaster!$B130)</f>
        <v>22.5</v>
      </c>
    </row>
    <row r="131" spans="1:10" x14ac:dyDescent="0.25">
      <c r="A131" s="75">
        <v>130</v>
      </c>
      <c r="B131" s="76" t="s">
        <v>279</v>
      </c>
      <c r="C131" s="77" t="s">
        <v>280</v>
      </c>
      <c r="D131" s="76" t="s">
        <v>869</v>
      </c>
      <c r="E131" s="76" t="s">
        <v>871</v>
      </c>
      <c r="F131" s="78">
        <v>10</v>
      </c>
      <c r="G131" s="79">
        <f>StockInData[Expiry]</f>
        <v>44171</v>
      </c>
      <c r="H131" s="76">
        <v>25</v>
      </c>
      <c r="I131" s="76">
        <f>SUMIFS(StockInData[Quantity],StockInData[Product ID],ProductMaster!$B131)-SUMIFS(StockOutData[Quantity],StockOutData[Product ID],ProductMaster!$B131)</f>
        <v>13</v>
      </c>
      <c r="J131" s="80">
        <f>SUMIFS(StockInData[Value],StockInData[Product ID],ProductMaster!$B131)-SUMIFS(StockOutData[Value],StockOutData[Product ID],ProductMaster!$B131)</f>
        <v>32.5</v>
      </c>
    </row>
    <row r="132" spans="1:10" x14ac:dyDescent="0.25">
      <c r="A132" s="75">
        <v>131</v>
      </c>
      <c r="B132" s="76" t="s">
        <v>281</v>
      </c>
      <c r="C132" s="77" t="s">
        <v>282</v>
      </c>
      <c r="D132" s="76" t="s">
        <v>869</v>
      </c>
      <c r="E132" s="76" t="s">
        <v>871</v>
      </c>
      <c r="F132" s="78">
        <v>10</v>
      </c>
      <c r="G132" s="79">
        <f>StockInData[Expiry]</f>
        <v>44173</v>
      </c>
      <c r="H132" s="76">
        <v>25</v>
      </c>
      <c r="I132" s="76">
        <f>SUMIFS(StockInData[Quantity],StockInData[Product ID],ProductMaster!$B132)-SUMIFS(StockOutData[Quantity],StockOutData[Product ID],ProductMaster!$B132)</f>
        <v>55</v>
      </c>
      <c r="J132" s="80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75">
        <v>132</v>
      </c>
      <c r="B133" s="76" t="s">
        <v>283</v>
      </c>
      <c r="C133" s="77" t="s">
        <v>284</v>
      </c>
      <c r="D133" s="76" t="s">
        <v>869</v>
      </c>
      <c r="E133" s="76" t="s">
        <v>871</v>
      </c>
      <c r="F133" s="78">
        <v>10</v>
      </c>
      <c r="G133" s="79">
        <f>StockInData[Expiry]</f>
        <v>44175</v>
      </c>
      <c r="H133" s="76">
        <v>25</v>
      </c>
      <c r="I133" s="76">
        <f>SUMIFS(StockInData[Quantity],StockInData[Product ID],ProductMaster!$B133)-SUMIFS(StockOutData[Quantity],StockOutData[Product ID],ProductMaster!$B133)</f>
        <v>64</v>
      </c>
      <c r="J133" s="80">
        <f>SUMIFS(StockInData[Value],StockInData[Product ID],ProductMaster!$B133)-SUMIFS(StockOutData[Value],StockOutData[Product ID],ProductMaster!$B133)</f>
        <v>160</v>
      </c>
    </row>
    <row r="134" spans="1:10" x14ac:dyDescent="0.25">
      <c r="A134" s="75">
        <v>133</v>
      </c>
      <c r="B134" s="76" t="s">
        <v>285</v>
      </c>
      <c r="C134" s="77" t="s">
        <v>286</v>
      </c>
      <c r="D134" s="76" t="s">
        <v>869</v>
      </c>
      <c r="E134" s="76" t="s">
        <v>871</v>
      </c>
      <c r="F134" s="78">
        <v>10</v>
      </c>
      <c r="G134" s="79">
        <f>StockInData[Expiry]</f>
        <v>44177</v>
      </c>
      <c r="H134" s="76">
        <v>25</v>
      </c>
      <c r="I134" s="76">
        <f>SUMIFS(StockInData[Quantity],StockInData[Product ID],ProductMaster!$B134)-SUMIFS(StockOutData[Quantity],StockOutData[Product ID],ProductMaster!$B134)</f>
        <v>74</v>
      </c>
      <c r="J134" s="80">
        <f>SUMIFS(StockInData[Value],StockInData[Product ID],ProductMaster!$B134)-SUMIFS(StockOutData[Value],StockOutData[Product ID],ProductMaster!$B134)</f>
        <v>185</v>
      </c>
    </row>
    <row r="135" spans="1:10" x14ac:dyDescent="0.25">
      <c r="A135" s="75">
        <v>134</v>
      </c>
      <c r="B135" s="76" t="s">
        <v>287</v>
      </c>
      <c r="C135" s="77" t="s">
        <v>288</v>
      </c>
      <c r="D135" s="76" t="s">
        <v>869</v>
      </c>
      <c r="E135" s="76" t="s">
        <v>871</v>
      </c>
      <c r="F135" s="78">
        <v>10</v>
      </c>
      <c r="G135" s="79">
        <f>StockInData[Expiry]</f>
        <v>44179</v>
      </c>
      <c r="H135" s="76">
        <v>25</v>
      </c>
      <c r="I135" s="76">
        <f>SUMIFS(StockInData[Quantity],StockInData[Product ID],ProductMaster!$B135)-SUMIFS(StockOutData[Quantity],StockOutData[Product ID],ProductMaster!$B135)</f>
        <v>89</v>
      </c>
      <c r="J135" s="80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75">
        <v>135</v>
      </c>
      <c r="B136" s="76" t="s">
        <v>289</v>
      </c>
      <c r="C136" s="77" t="s">
        <v>290</v>
      </c>
      <c r="D136" s="76" t="s">
        <v>869</v>
      </c>
      <c r="E136" s="76" t="s">
        <v>871</v>
      </c>
      <c r="F136" s="78">
        <v>10</v>
      </c>
      <c r="G136" s="79">
        <f>StockInData[Expiry]</f>
        <v>44181</v>
      </c>
      <c r="H136" s="76">
        <v>25</v>
      </c>
      <c r="I136" s="76">
        <f>SUMIFS(StockInData[Quantity],StockInData[Product ID],ProductMaster!$B136)-SUMIFS(StockOutData[Quantity],StockOutData[Product ID],ProductMaster!$B136)</f>
        <v>91</v>
      </c>
      <c r="J136" s="80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75">
        <v>136</v>
      </c>
      <c r="B137" s="76" t="s">
        <v>291</v>
      </c>
      <c r="C137" s="77" t="s">
        <v>292</v>
      </c>
      <c r="D137" s="76" t="s">
        <v>869</v>
      </c>
      <c r="E137" s="76" t="s">
        <v>871</v>
      </c>
      <c r="F137" s="78">
        <v>10</v>
      </c>
      <c r="G137" s="79">
        <f>StockInData[Expiry]</f>
        <v>44183</v>
      </c>
      <c r="H137" s="76">
        <v>25</v>
      </c>
      <c r="I137" s="76">
        <f>SUMIFS(StockInData[Quantity],StockInData[Product ID],ProductMaster!$B137)-SUMIFS(StockOutData[Quantity],StockOutData[Product ID],ProductMaster!$B137)</f>
        <v>90</v>
      </c>
      <c r="J137" s="80">
        <f>SUMIFS(StockInData[Value],StockInData[Product ID],ProductMaster!$B137)-SUMIFS(StockOutData[Value],StockOutData[Product ID],ProductMaster!$B137)</f>
        <v>225</v>
      </c>
    </row>
    <row r="138" spans="1:10" x14ac:dyDescent="0.25">
      <c r="A138" s="75">
        <v>137</v>
      </c>
      <c r="B138" s="76" t="s">
        <v>293</v>
      </c>
      <c r="C138" s="77" t="s">
        <v>294</v>
      </c>
      <c r="D138" s="76" t="s">
        <v>869</v>
      </c>
      <c r="E138" s="76" t="s">
        <v>871</v>
      </c>
      <c r="F138" s="78">
        <v>10</v>
      </c>
      <c r="G138" s="79">
        <f>StockInData[Expiry]</f>
        <v>44185</v>
      </c>
      <c r="H138" s="76">
        <v>25</v>
      </c>
      <c r="I138" s="76">
        <f>SUMIFS(StockInData[Quantity],StockInData[Product ID],ProductMaster!$B138)-SUMIFS(StockOutData[Quantity],StockOutData[Product ID],ProductMaster!$B138)</f>
        <v>50</v>
      </c>
      <c r="J138" s="80">
        <f>SUMIFS(StockInData[Value],StockInData[Product ID],ProductMaster!$B138)-SUMIFS(StockOutData[Value],StockOutData[Product ID],ProductMaster!$B138)</f>
        <v>125</v>
      </c>
    </row>
    <row r="139" spans="1:10" x14ac:dyDescent="0.25">
      <c r="A139" s="75">
        <v>138</v>
      </c>
      <c r="B139" s="76" t="s">
        <v>295</v>
      </c>
      <c r="C139" s="77" t="s">
        <v>296</v>
      </c>
      <c r="D139" s="76" t="s">
        <v>869</v>
      </c>
      <c r="E139" s="76" t="s">
        <v>871</v>
      </c>
      <c r="F139" s="78">
        <v>10</v>
      </c>
      <c r="G139" s="79">
        <f>StockInData[Expiry]</f>
        <v>44187</v>
      </c>
      <c r="H139" s="76">
        <v>25</v>
      </c>
      <c r="I139" s="76">
        <f>SUMIFS(StockInData[Quantity],StockInData[Product ID],ProductMaster!$B139)-SUMIFS(StockOutData[Quantity],StockOutData[Product ID],ProductMaster!$B139)</f>
        <v>30</v>
      </c>
      <c r="J139" s="80">
        <f>SUMIFS(StockInData[Value],StockInData[Product ID],ProductMaster!$B139)-SUMIFS(StockOutData[Value],StockOutData[Product ID],ProductMaster!$B139)</f>
        <v>75</v>
      </c>
    </row>
    <row r="140" spans="1:10" x14ac:dyDescent="0.25">
      <c r="A140" s="75">
        <v>139</v>
      </c>
      <c r="B140" s="76" t="s">
        <v>297</v>
      </c>
      <c r="C140" s="77" t="s">
        <v>298</v>
      </c>
      <c r="D140" s="76" t="s">
        <v>869</v>
      </c>
      <c r="E140" s="76" t="s">
        <v>871</v>
      </c>
      <c r="F140" s="78">
        <v>10</v>
      </c>
      <c r="G140" s="79">
        <f>StockInData[Expiry]</f>
        <v>44189</v>
      </c>
      <c r="H140" s="76">
        <v>25</v>
      </c>
      <c r="I140" s="76">
        <f>SUMIFS(StockInData[Quantity],StockInData[Product ID],ProductMaster!$B140)-SUMIFS(StockOutData[Quantity],StockOutData[Product ID],ProductMaster!$B140)</f>
        <v>23</v>
      </c>
      <c r="J140" s="80">
        <f>SUMIFS(StockInData[Value],StockInData[Product ID],ProductMaster!$B140)-SUMIFS(StockOutData[Value],StockOutData[Product ID],ProductMaster!$B140)</f>
        <v>57.5</v>
      </c>
    </row>
    <row r="141" spans="1:10" x14ac:dyDescent="0.25">
      <c r="A141" s="75">
        <v>140</v>
      </c>
      <c r="B141" s="76" t="s">
        <v>299</v>
      </c>
      <c r="C141" s="77" t="s">
        <v>300</v>
      </c>
      <c r="D141" s="76" t="s">
        <v>869</v>
      </c>
      <c r="E141" s="76" t="s">
        <v>871</v>
      </c>
      <c r="F141" s="78">
        <v>10</v>
      </c>
      <c r="G141" s="79">
        <f>StockInData[Expiry]</f>
        <v>44191</v>
      </c>
      <c r="H141" s="76">
        <v>25</v>
      </c>
      <c r="I141" s="76">
        <f>SUMIFS(StockInData[Quantity],StockInData[Product ID],ProductMaster!$B141)-SUMIFS(StockOutData[Quantity],StockOutData[Product ID],ProductMaster!$B141)</f>
        <v>10</v>
      </c>
      <c r="J141" s="80">
        <f>SUMIFS(StockInData[Value],StockInData[Product ID],ProductMaster!$B141)-SUMIFS(StockOutData[Value],StockOutData[Product ID],ProductMaster!$B141)</f>
        <v>25</v>
      </c>
    </row>
    <row r="142" spans="1:10" x14ac:dyDescent="0.25">
      <c r="A142" s="75">
        <v>141</v>
      </c>
      <c r="B142" s="76" t="s">
        <v>301</v>
      </c>
      <c r="C142" s="77" t="s">
        <v>302</v>
      </c>
      <c r="D142" s="76" t="s">
        <v>869</v>
      </c>
      <c r="E142" s="76" t="s">
        <v>871</v>
      </c>
      <c r="F142" s="78">
        <v>10</v>
      </c>
      <c r="G142" s="79">
        <f>StockInData[Expiry]</f>
        <v>44193</v>
      </c>
      <c r="H142" s="76">
        <v>25</v>
      </c>
      <c r="I142" s="76">
        <f>SUMIFS(StockInData[Quantity],StockInData[Product ID],ProductMaster!$B142)-SUMIFS(StockOutData[Quantity],StockOutData[Product ID],ProductMaster!$B142)</f>
        <v>2</v>
      </c>
      <c r="J142" s="80">
        <f>SUMIFS(StockInData[Value],StockInData[Product ID],ProductMaster!$B142)-SUMIFS(StockOutData[Value],StockOutData[Product ID],ProductMaster!$B142)</f>
        <v>5</v>
      </c>
    </row>
    <row r="143" spans="1:10" x14ac:dyDescent="0.25">
      <c r="A143" s="75">
        <v>142</v>
      </c>
      <c r="B143" s="76" t="s">
        <v>303</v>
      </c>
      <c r="C143" s="77" t="s">
        <v>304</v>
      </c>
      <c r="D143" s="76" t="s">
        <v>869</v>
      </c>
      <c r="E143" s="76" t="s">
        <v>871</v>
      </c>
      <c r="F143" s="78">
        <v>10</v>
      </c>
      <c r="G143" s="79">
        <f>StockInData[Expiry]</f>
        <v>44195</v>
      </c>
      <c r="H143" s="76">
        <v>25</v>
      </c>
      <c r="I143" s="76">
        <f>SUMIFS(StockInData[Quantity],StockInData[Product ID],ProductMaster!$B143)-SUMIFS(StockOutData[Quantity],StockOutData[Product ID],ProductMaster!$B143)</f>
        <v>7</v>
      </c>
      <c r="J143" s="80">
        <f>SUMIFS(StockInData[Value],StockInData[Product ID],ProductMaster!$B143)-SUMIFS(StockOutData[Value],StockOutData[Product ID],ProductMaster!$B143)</f>
        <v>17.5</v>
      </c>
    </row>
    <row r="144" spans="1:10" x14ac:dyDescent="0.25">
      <c r="A144" s="75">
        <v>143</v>
      </c>
      <c r="B144" s="76" t="s">
        <v>305</v>
      </c>
      <c r="C144" s="77" t="s">
        <v>306</v>
      </c>
      <c r="D144" s="76" t="s">
        <v>869</v>
      </c>
      <c r="E144" s="76" t="s">
        <v>871</v>
      </c>
      <c r="F144" s="78">
        <v>10</v>
      </c>
      <c r="G144" s="79">
        <f>StockInData[Expiry]</f>
        <v>44197</v>
      </c>
      <c r="H144" s="76">
        <v>25</v>
      </c>
      <c r="I144" s="76">
        <f>SUMIFS(StockInData[Quantity],StockInData[Product ID],ProductMaster!$B144)-SUMIFS(StockOutData[Quantity],StockOutData[Product ID],ProductMaster!$B144)</f>
        <v>9</v>
      </c>
      <c r="J144" s="80">
        <f>SUMIFS(StockInData[Value],StockInData[Product ID],ProductMaster!$B144)-SUMIFS(StockOutData[Value],StockOutData[Product ID],ProductMaster!$B144)</f>
        <v>22.5</v>
      </c>
    </row>
    <row r="145" spans="1:10" x14ac:dyDescent="0.25">
      <c r="A145" s="75">
        <v>144</v>
      </c>
      <c r="B145" s="76" t="s">
        <v>307</v>
      </c>
      <c r="C145" s="77" t="s">
        <v>308</v>
      </c>
      <c r="D145" s="76" t="s">
        <v>869</v>
      </c>
      <c r="E145" s="76" t="s">
        <v>871</v>
      </c>
      <c r="F145" s="78">
        <v>10</v>
      </c>
      <c r="G145" s="79">
        <f>StockInData[Expiry]</f>
        <v>44199</v>
      </c>
      <c r="H145" s="76">
        <v>25</v>
      </c>
      <c r="I145" s="76">
        <f>SUMIFS(StockInData[Quantity],StockInData[Product ID],ProductMaster!$B145)-SUMIFS(StockOutData[Quantity],StockOutData[Product ID],ProductMaster!$B145)</f>
        <v>52</v>
      </c>
      <c r="J145" s="80">
        <f>SUMIFS(StockInData[Value],StockInData[Product ID],ProductMaster!$B145)-SUMIFS(StockOutData[Value],StockOutData[Product ID],ProductMaster!$B145)</f>
        <v>130</v>
      </c>
    </row>
    <row r="146" spans="1:10" x14ac:dyDescent="0.25">
      <c r="A146" s="75">
        <v>145</v>
      </c>
      <c r="B146" s="76" t="s">
        <v>309</v>
      </c>
      <c r="C146" s="77" t="s">
        <v>310</v>
      </c>
      <c r="D146" s="76" t="s">
        <v>869</v>
      </c>
      <c r="E146" s="76" t="s">
        <v>871</v>
      </c>
      <c r="F146" s="78">
        <v>10</v>
      </c>
      <c r="G146" s="79">
        <f>StockInData[Expiry]</f>
        <v>44201</v>
      </c>
      <c r="H146" s="76">
        <v>25</v>
      </c>
      <c r="I146" s="76">
        <f>SUMIFS(StockInData[Quantity],StockInData[Product ID],ProductMaster!$B146)-SUMIFS(StockOutData[Quantity],StockOutData[Product ID],ProductMaster!$B146)</f>
        <v>69</v>
      </c>
      <c r="J146" s="80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75">
        <v>146</v>
      </c>
      <c r="B147" s="76" t="s">
        <v>311</v>
      </c>
      <c r="C147" s="77" t="s">
        <v>312</v>
      </c>
      <c r="D147" s="76" t="s">
        <v>869</v>
      </c>
      <c r="E147" s="76" t="s">
        <v>871</v>
      </c>
      <c r="F147" s="78">
        <v>10</v>
      </c>
      <c r="G147" s="79">
        <f>StockInData[Expiry]</f>
        <v>44203</v>
      </c>
      <c r="H147" s="76">
        <v>25</v>
      </c>
      <c r="I147" s="76">
        <f>SUMIFS(StockInData[Quantity],StockInData[Product ID],ProductMaster!$B147)-SUMIFS(StockOutData[Quantity],StockOutData[Product ID],ProductMaster!$B147)</f>
        <v>67</v>
      </c>
      <c r="J147" s="80">
        <f>SUMIFS(StockInData[Value],StockInData[Product ID],ProductMaster!$B147)-SUMIFS(StockOutData[Value],StockOutData[Product ID],ProductMaster!$B147)</f>
        <v>184.6</v>
      </c>
    </row>
    <row r="148" spans="1:10" x14ac:dyDescent="0.25">
      <c r="A148" s="75">
        <v>147</v>
      </c>
      <c r="B148" s="76" t="s">
        <v>313</v>
      </c>
      <c r="C148" s="77" t="s">
        <v>314</v>
      </c>
      <c r="D148" s="76" t="s">
        <v>869</v>
      </c>
      <c r="E148" s="76" t="s">
        <v>871</v>
      </c>
      <c r="F148" s="78">
        <v>10</v>
      </c>
      <c r="G148" s="79">
        <f>StockInData[Expiry]</f>
        <v>44205</v>
      </c>
      <c r="H148" s="76">
        <v>25</v>
      </c>
      <c r="I148" s="76">
        <f>SUMIFS(StockInData[Quantity],StockInData[Product ID],ProductMaster!$B148)-SUMIFS(StockOutData[Quantity],StockOutData[Product ID],ProductMaster!$B148)</f>
        <v>84</v>
      </c>
      <c r="J148" s="80">
        <f>SUMIFS(StockInData[Value],StockInData[Product ID],ProductMaster!$B148)-SUMIFS(StockOutData[Value],StockOutData[Product ID],ProductMaster!$B148)</f>
        <v>210</v>
      </c>
    </row>
    <row r="149" spans="1:10" x14ac:dyDescent="0.25">
      <c r="A149" s="75">
        <v>148</v>
      </c>
      <c r="B149" s="76" t="s">
        <v>315</v>
      </c>
      <c r="C149" s="77" t="s">
        <v>316</v>
      </c>
      <c r="D149" s="76" t="s">
        <v>869</v>
      </c>
      <c r="E149" s="76" t="s">
        <v>871</v>
      </c>
      <c r="F149" s="78">
        <v>10</v>
      </c>
      <c r="G149" s="79">
        <f>StockInData[Expiry]</f>
        <v>44207</v>
      </c>
      <c r="H149" s="76">
        <v>25</v>
      </c>
      <c r="I149" s="76">
        <f>SUMIFS(StockInData[Quantity],StockInData[Product ID],ProductMaster!$B149)-SUMIFS(StockOutData[Quantity],StockOutData[Product ID],ProductMaster!$B149)</f>
        <v>83</v>
      </c>
      <c r="J149" s="80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75">
        <v>149</v>
      </c>
      <c r="B150" s="76" t="s">
        <v>317</v>
      </c>
      <c r="C150" s="77" t="s">
        <v>318</v>
      </c>
      <c r="D150" s="76" t="s">
        <v>869</v>
      </c>
      <c r="E150" s="76" t="s">
        <v>871</v>
      </c>
      <c r="F150" s="78">
        <v>10</v>
      </c>
      <c r="G150" s="79">
        <f>StockInData[Expiry]</f>
        <v>44209</v>
      </c>
      <c r="H150" s="76">
        <v>25</v>
      </c>
      <c r="I150" s="76">
        <f>SUMIFS(StockInData[Quantity],StockInData[Product ID],ProductMaster!$B150)-SUMIFS(StockOutData[Quantity],StockOutData[Product ID],ProductMaster!$B150)</f>
        <v>88</v>
      </c>
      <c r="J150" s="80">
        <f>SUMIFS(StockInData[Value],StockInData[Product ID],ProductMaster!$B150)-SUMIFS(StockOutData[Value],StockOutData[Product ID],ProductMaster!$B150)</f>
        <v>220</v>
      </c>
    </row>
    <row r="151" spans="1:10" x14ac:dyDescent="0.25">
      <c r="A151" s="75">
        <v>150</v>
      </c>
      <c r="B151" s="76" t="s">
        <v>319</v>
      </c>
      <c r="C151" s="77" t="s">
        <v>320</v>
      </c>
      <c r="D151" s="76" t="s">
        <v>869</v>
      </c>
      <c r="E151" s="76" t="s">
        <v>871</v>
      </c>
      <c r="F151" s="78">
        <v>10</v>
      </c>
      <c r="G151" s="79">
        <f>StockInData[Expiry]</f>
        <v>44211</v>
      </c>
      <c r="H151" s="76">
        <v>25</v>
      </c>
      <c r="I151" s="76">
        <f>SUMIFS(StockInData[Quantity],StockInData[Product ID],ProductMaster!$B151)-SUMIFS(StockOutData[Quantity],StockOutData[Product ID],ProductMaster!$B151)</f>
        <v>86</v>
      </c>
      <c r="J151" s="80">
        <f>SUMIFS(StockInData[Value],StockInData[Product ID],ProductMaster!$B151)-SUMIFS(StockOutData[Value],StockOutData[Product ID],ProductMaster!$B151)</f>
        <v>215</v>
      </c>
    </row>
    <row r="152" spans="1:10" x14ac:dyDescent="0.25">
      <c r="A152" s="75">
        <v>151</v>
      </c>
      <c r="B152" s="76" t="s">
        <v>321</v>
      </c>
      <c r="C152" s="77" t="s">
        <v>322</v>
      </c>
      <c r="D152" s="76" t="s">
        <v>869</v>
      </c>
      <c r="E152" s="76" t="s">
        <v>871</v>
      </c>
      <c r="F152" s="78">
        <v>10</v>
      </c>
      <c r="G152" s="79">
        <f>StockInData[Expiry]</f>
        <v>44213</v>
      </c>
      <c r="H152" s="76">
        <v>25</v>
      </c>
      <c r="I152" s="76">
        <f>SUMIFS(StockInData[Quantity],StockInData[Product ID],ProductMaster!$B152)-SUMIFS(StockOutData[Quantity],StockOutData[Product ID],ProductMaster!$B152)</f>
        <v>87</v>
      </c>
      <c r="J152" s="80">
        <f>SUMIFS(StockInData[Value],StockInData[Product ID],ProductMaster!$B152)-SUMIFS(StockOutData[Value],StockOutData[Product ID],ProductMaster!$B152)</f>
        <v>217.5</v>
      </c>
    </row>
    <row r="153" spans="1:10" x14ac:dyDescent="0.25">
      <c r="A153" s="75">
        <v>152</v>
      </c>
      <c r="B153" s="76" t="s">
        <v>323</v>
      </c>
      <c r="C153" s="77" t="s">
        <v>324</v>
      </c>
      <c r="D153" s="76" t="s">
        <v>869</v>
      </c>
      <c r="E153" s="76" t="s">
        <v>871</v>
      </c>
      <c r="F153" s="78">
        <v>10</v>
      </c>
      <c r="G153" s="79">
        <f>StockInData[Expiry]</f>
        <v>44215</v>
      </c>
      <c r="H153" s="76">
        <v>25</v>
      </c>
      <c r="I153" s="76">
        <f>SUMIFS(StockInData[Quantity],StockInData[Product ID],ProductMaster!$B153)-SUMIFS(StockOutData[Quantity],StockOutData[Product ID],ProductMaster!$B153)</f>
        <v>35</v>
      </c>
      <c r="J153" s="80">
        <f>SUMIFS(StockInData[Value],StockInData[Product ID],ProductMaster!$B153)-SUMIFS(StockOutData[Value],StockOutData[Product ID],ProductMaster!$B153)</f>
        <v>87.5</v>
      </c>
    </row>
    <row r="154" spans="1:10" x14ac:dyDescent="0.25">
      <c r="A154" s="75">
        <v>153</v>
      </c>
      <c r="B154" s="76" t="s">
        <v>325</v>
      </c>
      <c r="C154" s="77" t="s">
        <v>326</v>
      </c>
      <c r="D154" s="76" t="s">
        <v>869</v>
      </c>
      <c r="E154" s="76" t="s">
        <v>871</v>
      </c>
      <c r="F154" s="78">
        <v>10</v>
      </c>
      <c r="G154" s="79">
        <f>StockInData[Expiry]</f>
        <v>44217</v>
      </c>
      <c r="H154" s="76">
        <v>25</v>
      </c>
      <c r="I154" s="76">
        <f>SUMIFS(StockInData[Quantity],StockInData[Product ID],ProductMaster!$B154)-SUMIFS(StockOutData[Quantity],StockOutData[Product ID],ProductMaster!$B154)</f>
        <v>23</v>
      </c>
      <c r="J154" s="80">
        <f>SUMIFS(StockInData[Value],StockInData[Product ID],ProductMaster!$B154)-SUMIFS(StockOutData[Value],StockOutData[Product ID],ProductMaster!$B154)</f>
        <v>57.5</v>
      </c>
    </row>
    <row r="155" spans="1:10" x14ac:dyDescent="0.25">
      <c r="A155" s="75">
        <v>154</v>
      </c>
      <c r="B155" s="76" t="s">
        <v>327</v>
      </c>
      <c r="C155" s="77" t="s">
        <v>328</v>
      </c>
      <c r="D155" s="76" t="s">
        <v>869</v>
      </c>
      <c r="E155" s="76" t="s">
        <v>871</v>
      </c>
      <c r="F155" s="78">
        <v>10</v>
      </c>
      <c r="G155" s="79">
        <f>StockInData[Expiry]</f>
        <v>44219</v>
      </c>
      <c r="H155" s="76">
        <v>25</v>
      </c>
      <c r="I155" s="76">
        <f>SUMIFS(StockInData[Quantity],StockInData[Product ID],ProductMaster!$B155)-SUMIFS(StockOutData[Quantity],StockOutData[Product ID],ProductMaster!$B155)</f>
        <v>10</v>
      </c>
      <c r="J155" s="80">
        <f>SUMIFS(StockInData[Value],StockInData[Product ID],ProductMaster!$B155)-SUMIFS(StockOutData[Value],StockOutData[Product ID],ProductMaster!$B155)</f>
        <v>25</v>
      </c>
    </row>
    <row r="156" spans="1:10" x14ac:dyDescent="0.25">
      <c r="A156" s="75">
        <v>155</v>
      </c>
      <c r="B156" s="76" t="s">
        <v>329</v>
      </c>
      <c r="C156" s="77" t="s">
        <v>330</v>
      </c>
      <c r="D156" s="76" t="s">
        <v>869</v>
      </c>
      <c r="E156" s="76" t="s">
        <v>871</v>
      </c>
      <c r="F156" s="78">
        <v>10</v>
      </c>
      <c r="G156" s="79">
        <f>StockInData[Expiry]</f>
        <v>44221</v>
      </c>
      <c r="H156" s="76">
        <v>25</v>
      </c>
      <c r="I156" s="76">
        <f>SUMIFS(StockInData[Quantity],StockInData[Product ID],ProductMaster!$B156)-SUMIFS(StockOutData[Quantity],StockOutData[Product ID],ProductMaster!$B156)</f>
        <v>-13</v>
      </c>
      <c r="J156" s="80">
        <f>SUMIFS(StockInData[Value],StockInData[Product ID],ProductMaster!$B156)-SUMIFS(StockOutData[Value],StockOutData[Product ID],ProductMaster!$B156)</f>
        <v>-7.75</v>
      </c>
    </row>
    <row r="157" spans="1:10" x14ac:dyDescent="0.25">
      <c r="A157" s="75">
        <v>156</v>
      </c>
      <c r="B157" s="76" t="s">
        <v>331</v>
      </c>
      <c r="C157" s="77" t="s">
        <v>332</v>
      </c>
      <c r="D157" s="76" t="s">
        <v>869</v>
      </c>
      <c r="E157" s="76" t="s">
        <v>871</v>
      </c>
      <c r="F157" s="78">
        <v>10</v>
      </c>
      <c r="G157" s="79">
        <f>StockInData[Expiry]</f>
        <v>44223</v>
      </c>
      <c r="H157" s="76">
        <v>25</v>
      </c>
      <c r="I157" s="76">
        <f>SUMIFS(StockInData[Quantity],StockInData[Product ID],ProductMaster!$B157)-SUMIFS(StockOutData[Quantity],StockOutData[Product ID],ProductMaster!$B157)</f>
        <v>7</v>
      </c>
      <c r="J157" s="80">
        <f>SUMIFS(StockInData[Value],StockInData[Product ID],ProductMaster!$B157)-SUMIFS(StockOutData[Value],StockOutData[Product ID],ProductMaster!$B157)</f>
        <v>17.5</v>
      </c>
    </row>
    <row r="158" spans="1:10" x14ac:dyDescent="0.25">
      <c r="A158" s="75">
        <v>157</v>
      </c>
      <c r="B158" s="76" t="s">
        <v>333</v>
      </c>
      <c r="C158" s="77" t="s">
        <v>334</v>
      </c>
      <c r="D158" s="76" t="s">
        <v>869</v>
      </c>
      <c r="E158" s="76" t="s">
        <v>871</v>
      </c>
      <c r="F158" s="78">
        <v>10</v>
      </c>
      <c r="G158" s="79">
        <f>StockInData[Expiry]</f>
        <v>44225</v>
      </c>
      <c r="H158" s="76">
        <v>25</v>
      </c>
      <c r="I158" s="76">
        <f>SUMIFS(StockInData[Quantity],StockInData[Product ID],ProductMaster!$B158)-SUMIFS(StockOutData[Quantity],StockOutData[Product ID],ProductMaster!$B158)</f>
        <v>13</v>
      </c>
      <c r="J158" s="80">
        <f>SUMIFS(StockInData[Value],StockInData[Product ID],ProductMaster!$B158)-SUMIFS(StockOutData[Value],StockOutData[Product ID],ProductMaster!$B158)</f>
        <v>32.5</v>
      </c>
    </row>
    <row r="159" spans="1:10" x14ac:dyDescent="0.25">
      <c r="A159" s="75">
        <v>158</v>
      </c>
      <c r="B159" s="76" t="s">
        <v>335</v>
      </c>
      <c r="C159" s="77" t="s">
        <v>336</v>
      </c>
      <c r="D159" s="76" t="s">
        <v>869</v>
      </c>
      <c r="E159" s="76" t="s">
        <v>871</v>
      </c>
      <c r="F159" s="78">
        <v>10</v>
      </c>
      <c r="G159" s="79">
        <f>StockInData[Expiry]</f>
        <v>44227</v>
      </c>
      <c r="H159" s="76">
        <v>25</v>
      </c>
      <c r="I159" s="76">
        <f>SUMIFS(StockInData[Quantity],StockInData[Product ID],ProductMaster!$B159)-SUMIFS(StockOutData[Quantity],StockOutData[Product ID],ProductMaster!$B159)</f>
        <v>55</v>
      </c>
      <c r="J159" s="80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75">
        <v>159</v>
      </c>
      <c r="B160" s="76" t="s">
        <v>337</v>
      </c>
      <c r="C160" s="77" t="s">
        <v>338</v>
      </c>
      <c r="D160" s="76" t="s">
        <v>869</v>
      </c>
      <c r="E160" s="76" t="s">
        <v>871</v>
      </c>
      <c r="F160" s="78">
        <v>10</v>
      </c>
      <c r="G160" s="79">
        <f>StockInData[Expiry]</f>
        <v>44229</v>
      </c>
      <c r="H160" s="76">
        <v>25</v>
      </c>
      <c r="I160" s="76">
        <f>SUMIFS(StockInData[Quantity],StockInData[Product ID],ProductMaster!$B160)-SUMIFS(StockOutData[Quantity],StockOutData[Product ID],ProductMaster!$B160)</f>
        <v>64</v>
      </c>
      <c r="J160" s="80">
        <f>SUMIFS(StockInData[Value],StockInData[Product ID],ProductMaster!$B160)-SUMIFS(StockOutData[Value],StockOutData[Product ID],ProductMaster!$B160)</f>
        <v>160</v>
      </c>
    </row>
    <row r="161" spans="1:10" x14ac:dyDescent="0.25">
      <c r="A161" s="75">
        <v>160</v>
      </c>
      <c r="B161" s="76" t="s">
        <v>339</v>
      </c>
      <c r="C161" s="77" t="s">
        <v>340</v>
      </c>
      <c r="D161" s="76" t="s">
        <v>869</v>
      </c>
      <c r="E161" s="76" t="s">
        <v>871</v>
      </c>
      <c r="F161" s="78">
        <v>10</v>
      </c>
      <c r="G161" s="79">
        <f>StockInData[Expiry]</f>
        <v>44231</v>
      </c>
      <c r="H161" s="76">
        <v>25</v>
      </c>
      <c r="I161" s="76">
        <f>SUMIFS(StockInData[Quantity],StockInData[Product ID],ProductMaster!$B161)-SUMIFS(StockOutData[Quantity],StockOutData[Product ID],ProductMaster!$B161)</f>
        <v>74</v>
      </c>
      <c r="J161" s="80">
        <f>SUMIFS(StockInData[Value],StockInData[Product ID],ProductMaster!$B161)-SUMIFS(StockOutData[Value],StockOutData[Product ID],ProductMaster!$B161)</f>
        <v>185</v>
      </c>
    </row>
    <row r="162" spans="1:10" x14ac:dyDescent="0.25">
      <c r="A162" s="75">
        <v>161</v>
      </c>
      <c r="B162" s="76" t="s">
        <v>341</v>
      </c>
      <c r="C162" s="77" t="s">
        <v>342</v>
      </c>
      <c r="D162" s="76" t="s">
        <v>869</v>
      </c>
      <c r="E162" s="76" t="s">
        <v>871</v>
      </c>
      <c r="F162" s="78">
        <v>10</v>
      </c>
      <c r="G162" s="79">
        <f>StockInData[Expiry]</f>
        <v>44233</v>
      </c>
      <c r="H162" s="76">
        <v>25</v>
      </c>
      <c r="I162" s="76">
        <f>SUMIFS(StockInData[Quantity],StockInData[Product ID],ProductMaster!$B162)-SUMIFS(StockOutData[Quantity],StockOutData[Product ID],ProductMaster!$B162)</f>
        <v>89</v>
      </c>
      <c r="J162" s="80">
        <f>SUMIFS(StockInData[Value],StockInData[Product ID],ProductMaster!$B162)-SUMIFS(StockOutData[Value],StockOutData[Product ID],ProductMaster!$B162)</f>
        <v>222.5</v>
      </c>
    </row>
    <row r="163" spans="1:10" x14ac:dyDescent="0.25">
      <c r="A163" s="75">
        <v>162</v>
      </c>
      <c r="B163" s="76" t="s">
        <v>343</v>
      </c>
      <c r="C163" s="77" t="s">
        <v>344</v>
      </c>
      <c r="D163" s="76" t="s">
        <v>869</v>
      </c>
      <c r="E163" s="76" t="s">
        <v>871</v>
      </c>
      <c r="F163" s="78">
        <v>10</v>
      </c>
      <c r="G163" s="79">
        <f>StockInData[Expiry]</f>
        <v>44235</v>
      </c>
      <c r="H163" s="76">
        <v>25</v>
      </c>
      <c r="I163" s="76">
        <f>SUMIFS(StockInData[Quantity],StockInData[Product ID],ProductMaster!$B163)-SUMIFS(StockOutData[Quantity],StockOutData[Product ID],ProductMaster!$B163)</f>
        <v>91</v>
      </c>
      <c r="J163" s="80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75">
        <v>163</v>
      </c>
      <c r="B164" s="76" t="s">
        <v>345</v>
      </c>
      <c r="C164" s="77" t="s">
        <v>346</v>
      </c>
      <c r="D164" s="76" t="s">
        <v>869</v>
      </c>
      <c r="E164" s="76" t="s">
        <v>871</v>
      </c>
      <c r="F164" s="78">
        <v>10</v>
      </c>
      <c r="G164" s="79">
        <f>StockInData[Expiry]</f>
        <v>44237</v>
      </c>
      <c r="H164" s="76">
        <v>25</v>
      </c>
      <c r="I164" s="76">
        <f>SUMIFS(StockInData[Quantity],StockInData[Product ID],ProductMaster!$B164)-SUMIFS(StockOutData[Quantity],StockOutData[Product ID],ProductMaster!$B164)</f>
        <v>53</v>
      </c>
      <c r="J164" s="80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75">
        <v>164</v>
      </c>
      <c r="B165" s="76" t="s">
        <v>347</v>
      </c>
      <c r="C165" s="77" t="s">
        <v>348</v>
      </c>
      <c r="D165" s="76" t="s">
        <v>869</v>
      </c>
      <c r="E165" s="76" t="s">
        <v>871</v>
      </c>
      <c r="F165" s="78">
        <v>10</v>
      </c>
      <c r="G165" s="79">
        <f>StockInData[Expiry]</f>
        <v>44239</v>
      </c>
      <c r="H165" s="76">
        <v>25</v>
      </c>
      <c r="I165" s="76">
        <f>SUMIFS(StockInData[Quantity],StockInData[Product ID],ProductMaster!$B165)-SUMIFS(StockOutData[Quantity],StockOutData[Product ID],ProductMaster!$B165)</f>
        <v>25</v>
      </c>
      <c r="J165" s="80">
        <f>SUMIFS(StockInData[Value],StockInData[Product ID],ProductMaster!$B165)-SUMIFS(StockOutData[Value],StockOutData[Product ID],ProductMaster!$B165)</f>
        <v>62.5</v>
      </c>
    </row>
    <row r="166" spans="1:10" x14ac:dyDescent="0.25">
      <c r="A166" s="75">
        <v>165</v>
      </c>
      <c r="B166" s="76" t="s">
        <v>349</v>
      </c>
      <c r="C166" s="77" t="s">
        <v>350</v>
      </c>
      <c r="D166" s="76" t="s">
        <v>869</v>
      </c>
      <c r="E166" s="76" t="s">
        <v>871</v>
      </c>
      <c r="F166" s="78">
        <v>10</v>
      </c>
      <c r="G166" s="79">
        <f>StockInData[Expiry]</f>
        <v>44241</v>
      </c>
      <c r="H166" s="76">
        <v>25</v>
      </c>
      <c r="I166" s="76">
        <f>SUMIFS(StockInData[Quantity],StockInData[Product ID],ProductMaster!$B166)-SUMIFS(StockOutData[Quantity],StockOutData[Product ID],ProductMaster!$B166)</f>
        <v>12</v>
      </c>
      <c r="J166" s="80">
        <f>SUMIFS(StockInData[Value],StockInData[Product ID],ProductMaster!$B166)-SUMIFS(StockOutData[Value],StockOutData[Product ID],ProductMaster!$B166)</f>
        <v>30</v>
      </c>
    </row>
    <row r="167" spans="1:10" x14ac:dyDescent="0.25">
      <c r="A167" s="75">
        <v>166</v>
      </c>
      <c r="B167" s="76" t="s">
        <v>351</v>
      </c>
      <c r="C167" s="77" t="s">
        <v>352</v>
      </c>
      <c r="D167" s="76" t="s">
        <v>869</v>
      </c>
      <c r="E167" s="76" t="s">
        <v>871</v>
      </c>
      <c r="F167" s="78">
        <v>10</v>
      </c>
      <c r="G167" s="79">
        <f>StockInData[Expiry]</f>
        <v>44243</v>
      </c>
      <c r="H167" s="76">
        <v>25</v>
      </c>
      <c r="I167" s="76">
        <f>SUMIFS(StockInData[Quantity],StockInData[Product ID],ProductMaster!$B167)-SUMIFS(StockOutData[Quantity],StockOutData[Product ID],ProductMaster!$B167)</f>
        <v>13</v>
      </c>
      <c r="J167" s="80">
        <f>SUMIFS(StockInData[Value],StockInData[Product ID],ProductMaster!$B167)-SUMIFS(StockOutData[Value],StockOutData[Product ID],ProductMaster!$B167)</f>
        <v>32.5</v>
      </c>
    </row>
    <row r="168" spans="1:10" x14ac:dyDescent="0.25">
      <c r="A168" s="75">
        <v>167</v>
      </c>
      <c r="B168" s="76" t="s">
        <v>353</v>
      </c>
      <c r="C168" s="77" t="s">
        <v>354</v>
      </c>
      <c r="D168" s="76" t="s">
        <v>869</v>
      </c>
      <c r="E168" s="76" t="s">
        <v>871</v>
      </c>
      <c r="F168" s="78">
        <v>10</v>
      </c>
      <c r="G168" s="79">
        <f>StockInData[Expiry]</f>
        <v>44245</v>
      </c>
      <c r="H168" s="76">
        <v>25</v>
      </c>
      <c r="I168" s="76">
        <f>SUMIFS(StockInData[Quantity],StockInData[Product ID],ProductMaster!$B168)-SUMIFS(StockOutData[Quantity],StockOutData[Product ID],ProductMaster!$B168)</f>
        <v>-6</v>
      </c>
      <c r="J168" s="80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75">
        <v>168</v>
      </c>
      <c r="B169" s="76" t="s">
        <v>355</v>
      </c>
      <c r="C169" s="77" t="s">
        <v>356</v>
      </c>
      <c r="D169" s="76" t="s">
        <v>869</v>
      </c>
      <c r="E169" s="76" t="s">
        <v>871</v>
      </c>
      <c r="F169" s="78">
        <v>10</v>
      </c>
      <c r="G169" s="79">
        <f>StockInData[Expiry]</f>
        <v>44247</v>
      </c>
      <c r="H169" s="76">
        <v>25</v>
      </c>
      <c r="I169" s="76">
        <f>SUMIFS(StockInData[Quantity],StockInData[Product ID],ProductMaster!$B169)-SUMIFS(StockOutData[Quantity],StockOutData[Product ID],ProductMaster!$B169)</f>
        <v>6</v>
      </c>
      <c r="J169" s="80">
        <f>SUMIFS(StockInData[Value],StockInData[Product ID],ProductMaster!$B169)-SUMIFS(StockOutData[Value],StockOutData[Product ID],ProductMaster!$B169)</f>
        <v>15</v>
      </c>
    </row>
    <row r="170" spans="1:10" x14ac:dyDescent="0.25">
      <c r="A170" s="75">
        <v>169</v>
      </c>
      <c r="B170" s="76" t="s">
        <v>357</v>
      </c>
      <c r="C170" s="77" t="s">
        <v>358</v>
      </c>
      <c r="D170" s="76" t="s">
        <v>869</v>
      </c>
      <c r="E170" s="76" t="s">
        <v>871</v>
      </c>
      <c r="F170" s="78">
        <v>10</v>
      </c>
      <c r="G170" s="79">
        <f>StockInData[Expiry]</f>
        <v>44249</v>
      </c>
      <c r="H170" s="76">
        <v>25</v>
      </c>
      <c r="I170" s="76">
        <f>SUMIFS(StockInData[Quantity],StockInData[Product ID],ProductMaster!$B170)-SUMIFS(StockOutData[Quantity],StockOutData[Product ID],ProductMaster!$B170)</f>
        <v>18</v>
      </c>
      <c r="J170" s="80">
        <f>SUMIFS(StockInData[Value],StockInData[Product ID],ProductMaster!$B170)-SUMIFS(StockOutData[Value],StockOutData[Product ID],ProductMaster!$B170)</f>
        <v>45</v>
      </c>
    </row>
    <row r="171" spans="1:10" x14ac:dyDescent="0.25">
      <c r="A171" s="75">
        <v>170</v>
      </c>
      <c r="B171" s="76" t="s">
        <v>359</v>
      </c>
      <c r="C171" s="77" t="s">
        <v>360</v>
      </c>
      <c r="D171" s="76" t="s">
        <v>869</v>
      </c>
      <c r="E171" s="76" t="s">
        <v>871</v>
      </c>
      <c r="F171" s="78">
        <v>10</v>
      </c>
      <c r="G171" s="79">
        <f>StockInData[Expiry]</f>
        <v>44251</v>
      </c>
      <c r="H171" s="76">
        <v>25</v>
      </c>
      <c r="I171" s="76">
        <f>SUMIFS(StockInData[Quantity],StockInData[Product ID],ProductMaster!$B171)-SUMIFS(StockOutData[Quantity],StockOutData[Product ID],ProductMaster!$B171)</f>
        <v>58</v>
      </c>
      <c r="J171" s="80">
        <f>SUMIFS(StockInData[Value],StockInData[Product ID],ProductMaster!$B171)-SUMIFS(StockOutData[Value],StockOutData[Product ID],ProductMaster!$B171)</f>
        <v>145</v>
      </c>
    </row>
    <row r="172" spans="1:10" x14ac:dyDescent="0.25">
      <c r="A172" s="75">
        <v>171</v>
      </c>
      <c r="B172" s="76" t="s">
        <v>361</v>
      </c>
      <c r="C172" s="77" t="s">
        <v>362</v>
      </c>
      <c r="D172" s="76" t="s">
        <v>869</v>
      </c>
      <c r="E172" s="76" t="s">
        <v>871</v>
      </c>
      <c r="F172" s="78">
        <v>10</v>
      </c>
      <c r="G172" s="79">
        <f>StockInData[Expiry]</f>
        <v>44253</v>
      </c>
      <c r="H172" s="76">
        <v>25</v>
      </c>
      <c r="I172" s="76">
        <f>SUMIFS(StockInData[Quantity],StockInData[Product ID],ProductMaster!$B172)-SUMIFS(StockOutData[Quantity],StockOutData[Product ID],ProductMaster!$B172)</f>
        <v>59</v>
      </c>
      <c r="J172" s="80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75">
        <v>172</v>
      </c>
      <c r="B173" s="76" t="s">
        <v>363</v>
      </c>
      <c r="C173" s="77" t="s">
        <v>364</v>
      </c>
      <c r="D173" s="76" t="s">
        <v>869</v>
      </c>
      <c r="E173" s="76" t="s">
        <v>871</v>
      </c>
      <c r="F173" s="78">
        <v>10</v>
      </c>
      <c r="G173" s="79">
        <f>StockInData[Expiry]</f>
        <v>44255</v>
      </c>
      <c r="H173" s="76">
        <v>25</v>
      </c>
      <c r="I173" s="76">
        <f>SUMIFS(StockInData[Quantity],StockInData[Product ID],ProductMaster!$B173)-SUMIFS(StockOutData[Quantity],StockOutData[Product ID],ProductMaster!$B173)</f>
        <v>66</v>
      </c>
      <c r="J173" s="80">
        <f>SUMIFS(StockInData[Value],StockInData[Product ID],ProductMaster!$B173)-SUMIFS(StockOutData[Value],StockOutData[Product ID],ProductMaster!$B173)</f>
        <v>165</v>
      </c>
    </row>
    <row r="174" spans="1:10" x14ac:dyDescent="0.25">
      <c r="A174" s="75">
        <v>173</v>
      </c>
      <c r="B174" s="76" t="s">
        <v>365</v>
      </c>
      <c r="C174" s="77" t="s">
        <v>366</v>
      </c>
      <c r="D174" s="76" t="s">
        <v>869</v>
      </c>
      <c r="E174" s="76" t="s">
        <v>871</v>
      </c>
      <c r="F174" s="78">
        <v>10</v>
      </c>
      <c r="G174" s="79">
        <f>StockInData[Expiry]</f>
        <v>44257</v>
      </c>
      <c r="H174" s="76">
        <v>25</v>
      </c>
      <c r="I174" s="76">
        <f>SUMIFS(StockInData[Quantity],StockInData[Product ID],ProductMaster!$B174)-SUMIFS(StockOutData[Quantity],StockOutData[Product ID],ProductMaster!$B174)</f>
        <v>87</v>
      </c>
      <c r="J174" s="80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75">
        <v>174</v>
      </c>
      <c r="B175" s="76" t="s">
        <v>367</v>
      </c>
      <c r="C175" s="77" t="s">
        <v>368</v>
      </c>
      <c r="D175" s="76" t="s">
        <v>869</v>
      </c>
      <c r="E175" s="76" t="s">
        <v>871</v>
      </c>
      <c r="F175" s="78">
        <v>10</v>
      </c>
      <c r="G175" s="79">
        <f>StockInData[Expiry]</f>
        <v>44259</v>
      </c>
      <c r="H175" s="76">
        <v>25</v>
      </c>
      <c r="I175" s="76">
        <f>SUMIFS(StockInData[Quantity],StockInData[Product ID],ProductMaster!$B175)-SUMIFS(StockOutData[Quantity],StockOutData[Product ID],ProductMaster!$B175)</f>
        <v>87</v>
      </c>
      <c r="J175" s="80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75">
        <v>175</v>
      </c>
      <c r="B176" s="76" t="s">
        <v>369</v>
      </c>
      <c r="C176" s="77" t="s">
        <v>370</v>
      </c>
      <c r="D176" s="76" t="s">
        <v>869</v>
      </c>
      <c r="E176" s="76" t="s">
        <v>871</v>
      </c>
      <c r="F176" s="78">
        <v>10</v>
      </c>
      <c r="G176" s="79">
        <f>StockInData[Expiry]</f>
        <v>44261</v>
      </c>
      <c r="H176" s="76">
        <v>25</v>
      </c>
      <c r="I176" s="76">
        <f>SUMIFS(StockInData[Quantity],StockInData[Product ID],ProductMaster!$B176)-SUMIFS(StockOutData[Quantity],StockOutData[Product ID],ProductMaster!$B176)</f>
        <v>47</v>
      </c>
      <c r="J176" s="80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75">
        <v>176</v>
      </c>
      <c r="B177" s="76" t="s">
        <v>371</v>
      </c>
      <c r="C177" s="77" t="s">
        <v>372</v>
      </c>
      <c r="D177" s="76" t="s">
        <v>869</v>
      </c>
      <c r="E177" s="76" t="s">
        <v>871</v>
      </c>
      <c r="F177" s="78">
        <v>10</v>
      </c>
      <c r="G177" s="79">
        <f>StockInData[Expiry]</f>
        <v>44263</v>
      </c>
      <c r="H177" s="76">
        <v>25</v>
      </c>
      <c r="I177" s="76">
        <f>SUMIFS(StockInData[Quantity],StockInData[Product ID],ProductMaster!$B177)-SUMIFS(StockOutData[Quantity],StockOutData[Product ID],ProductMaster!$B177)</f>
        <v>35</v>
      </c>
      <c r="J177" s="80">
        <f>SUMIFS(StockInData[Value],StockInData[Product ID],ProductMaster!$B177)-SUMIFS(StockOutData[Value],StockOutData[Product ID],ProductMaster!$B177)</f>
        <v>87.5</v>
      </c>
    </row>
    <row r="178" spans="1:10" x14ac:dyDescent="0.25">
      <c r="A178" s="75">
        <v>177</v>
      </c>
      <c r="B178" s="76" t="s">
        <v>373</v>
      </c>
      <c r="C178" s="77" t="s">
        <v>374</v>
      </c>
      <c r="D178" s="76" t="s">
        <v>869</v>
      </c>
      <c r="E178" s="76" t="s">
        <v>871</v>
      </c>
      <c r="F178" s="78">
        <v>10</v>
      </c>
      <c r="G178" s="79">
        <f>StockInData[Expiry]</f>
        <v>44265</v>
      </c>
      <c r="H178" s="76">
        <v>25</v>
      </c>
      <c r="I178" s="76">
        <f>SUMIFS(StockInData[Quantity],StockInData[Product ID],ProductMaster!$B178)-SUMIFS(StockOutData[Quantity],StockOutData[Product ID],ProductMaster!$B178)</f>
        <v>-17</v>
      </c>
      <c r="J178" s="80">
        <f>SUMIFS(StockInData[Value],StockInData[Product ID],ProductMaster!$B178)-SUMIFS(StockOutData[Value],StockOutData[Product ID],ProductMaster!$B178)</f>
        <v>37.1</v>
      </c>
    </row>
    <row r="179" spans="1:10" x14ac:dyDescent="0.25">
      <c r="A179" s="75">
        <v>178</v>
      </c>
      <c r="B179" s="76" t="s">
        <v>375</v>
      </c>
      <c r="C179" s="77" t="s">
        <v>376</v>
      </c>
      <c r="D179" s="76" t="s">
        <v>869</v>
      </c>
      <c r="E179" s="76" t="s">
        <v>871</v>
      </c>
      <c r="F179" s="78">
        <v>10</v>
      </c>
      <c r="G179" s="79">
        <f>StockInData[Expiry]</f>
        <v>44267</v>
      </c>
      <c r="H179" s="76">
        <v>25</v>
      </c>
      <c r="I179" s="76">
        <f>SUMIFS(StockInData[Quantity],StockInData[Product ID],ProductMaster!$B179)-SUMIFS(StockOutData[Quantity],StockOutData[Product ID],ProductMaster!$B179)</f>
        <v>10</v>
      </c>
      <c r="J179" s="80">
        <f>SUMIFS(StockInData[Value],StockInData[Product ID],ProductMaster!$B179)-SUMIFS(StockOutData[Value],StockOutData[Product ID],ProductMaster!$B179)</f>
        <v>25</v>
      </c>
    </row>
    <row r="180" spans="1:10" x14ac:dyDescent="0.25">
      <c r="A180" s="75">
        <v>179</v>
      </c>
      <c r="B180" s="76" t="s">
        <v>377</v>
      </c>
      <c r="C180" s="77" t="s">
        <v>378</v>
      </c>
      <c r="D180" s="76" t="s">
        <v>869</v>
      </c>
      <c r="E180" s="76" t="s">
        <v>871</v>
      </c>
      <c r="F180" s="78">
        <v>10</v>
      </c>
      <c r="G180" s="79">
        <f>StockInData[Expiry]</f>
        <v>44269</v>
      </c>
      <c r="H180" s="76">
        <v>25</v>
      </c>
      <c r="I180" s="76">
        <f>SUMIFS(StockInData[Quantity],StockInData[Product ID],ProductMaster!$B180)-SUMIFS(StockOutData[Quantity],StockOutData[Product ID],ProductMaster!$B180)</f>
        <v>2</v>
      </c>
      <c r="J180" s="80">
        <f>SUMIFS(StockInData[Value],StockInData[Product ID],ProductMaster!$B180)-SUMIFS(StockOutData[Value],StockOutData[Product ID],ProductMaster!$B180)</f>
        <v>5</v>
      </c>
    </row>
    <row r="181" spans="1:10" x14ac:dyDescent="0.25">
      <c r="A181" s="75">
        <v>180</v>
      </c>
      <c r="B181" s="76" t="s">
        <v>379</v>
      </c>
      <c r="C181" s="77" t="s">
        <v>380</v>
      </c>
      <c r="D181" s="76" t="s">
        <v>869</v>
      </c>
      <c r="E181" s="76" t="s">
        <v>871</v>
      </c>
      <c r="F181" s="78">
        <v>10</v>
      </c>
      <c r="G181" s="79">
        <f>StockInData[Expiry]</f>
        <v>44271</v>
      </c>
      <c r="H181" s="76">
        <v>25</v>
      </c>
      <c r="I181" s="76">
        <f>SUMIFS(StockInData[Quantity],StockInData[Product ID],ProductMaster!$B181)-SUMIFS(StockOutData[Quantity],StockOutData[Product ID],ProductMaster!$B181)</f>
        <v>7</v>
      </c>
      <c r="J181" s="80">
        <f>SUMIFS(StockInData[Value],StockInData[Product ID],ProductMaster!$B181)-SUMIFS(StockOutData[Value],StockOutData[Product ID],ProductMaster!$B181)</f>
        <v>17.5</v>
      </c>
    </row>
    <row r="182" spans="1:10" x14ac:dyDescent="0.25">
      <c r="A182" s="75">
        <v>181</v>
      </c>
      <c r="B182" s="76" t="s">
        <v>381</v>
      </c>
      <c r="C182" s="77" t="s">
        <v>382</v>
      </c>
      <c r="D182" s="76" t="s">
        <v>869</v>
      </c>
      <c r="E182" s="76" t="s">
        <v>871</v>
      </c>
      <c r="F182" s="78">
        <v>10</v>
      </c>
      <c r="G182" s="79">
        <f>StockInData[Expiry]</f>
        <v>44273</v>
      </c>
      <c r="H182" s="76">
        <v>25</v>
      </c>
      <c r="I182" s="76">
        <f>SUMIFS(StockInData[Quantity],StockInData[Product ID],ProductMaster!$B182)-SUMIFS(StockOutData[Quantity],StockOutData[Product ID],ProductMaster!$B182)</f>
        <v>13</v>
      </c>
      <c r="J182" s="80">
        <f>SUMIFS(StockInData[Value],StockInData[Product ID],ProductMaster!$B182)-SUMIFS(StockOutData[Value],StockOutData[Product ID],ProductMaster!$B182)</f>
        <v>32.5</v>
      </c>
    </row>
    <row r="183" spans="1:10" x14ac:dyDescent="0.25">
      <c r="A183" s="75">
        <v>182</v>
      </c>
      <c r="B183" s="76" t="s">
        <v>383</v>
      </c>
      <c r="C183" s="77" t="s">
        <v>384</v>
      </c>
      <c r="D183" s="76" t="s">
        <v>869</v>
      </c>
      <c r="E183" s="76" t="s">
        <v>871</v>
      </c>
      <c r="F183" s="78">
        <v>10</v>
      </c>
      <c r="G183" s="79">
        <f>StockInData[Expiry]</f>
        <v>44275</v>
      </c>
      <c r="H183" s="76">
        <v>25</v>
      </c>
      <c r="I183" s="76">
        <f>SUMIFS(StockInData[Quantity],StockInData[Product ID],ProductMaster!$B183)-SUMIFS(StockOutData[Quantity],StockOutData[Product ID],ProductMaster!$B183)</f>
        <v>55</v>
      </c>
      <c r="J183" s="80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75">
        <v>183</v>
      </c>
      <c r="B184" s="76" t="s">
        <v>385</v>
      </c>
      <c r="C184" s="77" t="s">
        <v>386</v>
      </c>
      <c r="D184" s="76" t="s">
        <v>869</v>
      </c>
      <c r="E184" s="76" t="s">
        <v>871</v>
      </c>
      <c r="F184" s="78">
        <v>10</v>
      </c>
      <c r="G184" s="79">
        <f>StockInData[Expiry]</f>
        <v>44277</v>
      </c>
      <c r="H184" s="76">
        <v>25</v>
      </c>
      <c r="I184" s="76">
        <f>SUMIFS(StockInData[Quantity],StockInData[Product ID],ProductMaster!$B184)-SUMIFS(StockOutData[Quantity],StockOutData[Product ID],ProductMaster!$B184)</f>
        <v>64</v>
      </c>
      <c r="J184" s="80">
        <f>SUMIFS(StockInData[Value],StockInData[Product ID],ProductMaster!$B184)-SUMIFS(StockOutData[Value],StockOutData[Product ID],ProductMaster!$B184)</f>
        <v>160</v>
      </c>
    </row>
    <row r="185" spans="1:10" x14ac:dyDescent="0.25">
      <c r="A185" s="75">
        <v>184</v>
      </c>
      <c r="B185" s="76" t="s">
        <v>387</v>
      </c>
      <c r="C185" s="77" t="s">
        <v>388</v>
      </c>
      <c r="D185" s="76" t="s">
        <v>869</v>
      </c>
      <c r="E185" s="76" t="s">
        <v>871</v>
      </c>
      <c r="F185" s="78">
        <v>10</v>
      </c>
      <c r="G185" s="79">
        <f>StockInData[Expiry]</f>
        <v>44279</v>
      </c>
      <c r="H185" s="76">
        <v>25</v>
      </c>
      <c r="I185" s="76">
        <f>SUMIFS(StockInData[Quantity],StockInData[Product ID],ProductMaster!$B185)-SUMIFS(StockOutData[Quantity],StockOutData[Product ID],ProductMaster!$B185)</f>
        <v>74</v>
      </c>
      <c r="J185" s="80">
        <f>SUMIFS(StockInData[Value],StockInData[Product ID],ProductMaster!$B185)-SUMIFS(StockOutData[Value],StockOutData[Product ID],ProductMaster!$B185)</f>
        <v>185</v>
      </c>
    </row>
    <row r="186" spans="1:10" x14ac:dyDescent="0.25">
      <c r="A186" s="75">
        <v>185</v>
      </c>
      <c r="B186" s="76" t="s">
        <v>389</v>
      </c>
      <c r="C186" s="77" t="s">
        <v>390</v>
      </c>
      <c r="D186" s="76" t="s">
        <v>869</v>
      </c>
      <c r="E186" s="76" t="s">
        <v>871</v>
      </c>
      <c r="F186" s="78">
        <v>10</v>
      </c>
      <c r="G186" s="79">
        <f>StockInData[Expiry]</f>
        <v>44281</v>
      </c>
      <c r="H186" s="76">
        <v>25</v>
      </c>
      <c r="I186" s="76">
        <f>SUMIFS(StockInData[Quantity],StockInData[Product ID],ProductMaster!$B186)-SUMIFS(StockOutData[Quantity],StockOutData[Product ID],ProductMaster!$B186)</f>
        <v>89</v>
      </c>
      <c r="J186" s="80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75">
        <v>186</v>
      </c>
      <c r="B187" s="76" t="s">
        <v>391</v>
      </c>
      <c r="C187" s="77" t="s">
        <v>392</v>
      </c>
      <c r="D187" s="76" t="s">
        <v>869</v>
      </c>
      <c r="E187" s="76" t="s">
        <v>871</v>
      </c>
      <c r="F187" s="78">
        <v>10</v>
      </c>
      <c r="G187" s="79">
        <f>StockInData[Expiry]</f>
        <v>44283</v>
      </c>
      <c r="H187" s="76">
        <v>25</v>
      </c>
      <c r="I187" s="76">
        <f>SUMIFS(StockInData[Quantity],StockInData[Product ID],ProductMaster!$B187)-SUMIFS(StockOutData[Quantity],StockOutData[Product ID],ProductMaster!$B187)</f>
        <v>94</v>
      </c>
      <c r="J187" s="80">
        <f>SUMIFS(StockInData[Value],StockInData[Product ID],ProductMaster!$B187)-SUMIFS(StockOutData[Value],StockOutData[Product ID],ProductMaster!$B187)</f>
        <v>235</v>
      </c>
    </row>
    <row r="188" spans="1:10" x14ac:dyDescent="0.25">
      <c r="A188" s="75">
        <v>187</v>
      </c>
      <c r="B188" s="76" t="s">
        <v>393</v>
      </c>
      <c r="C188" s="77" t="s">
        <v>394</v>
      </c>
      <c r="D188" s="76" t="s">
        <v>869</v>
      </c>
      <c r="E188" s="76" t="s">
        <v>871</v>
      </c>
      <c r="F188" s="78">
        <v>10</v>
      </c>
      <c r="G188" s="79">
        <f>StockInData[Expiry]</f>
        <v>44285</v>
      </c>
      <c r="H188" s="76">
        <v>25</v>
      </c>
      <c r="I188" s="76">
        <f>SUMIFS(StockInData[Quantity],StockInData[Product ID],ProductMaster!$B188)-SUMIFS(StockOutData[Quantity],StockOutData[Product ID],ProductMaster!$B188)</f>
        <v>85</v>
      </c>
      <c r="J188" s="80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75">
        <v>188</v>
      </c>
      <c r="B189" s="76" t="s">
        <v>395</v>
      </c>
      <c r="C189" s="77" t="s">
        <v>396</v>
      </c>
      <c r="D189" s="76" t="s">
        <v>869</v>
      </c>
      <c r="E189" s="76" t="s">
        <v>871</v>
      </c>
      <c r="F189" s="78">
        <v>10</v>
      </c>
      <c r="G189" s="79">
        <f>StockInData[Expiry]</f>
        <v>44287</v>
      </c>
      <c r="H189" s="76">
        <v>25</v>
      </c>
      <c r="I189" s="76">
        <f>SUMIFS(StockInData[Quantity],StockInData[Product ID],ProductMaster!$B189)-SUMIFS(StockOutData[Quantity],StockOutData[Product ID],ProductMaster!$B189)</f>
        <v>42</v>
      </c>
      <c r="J189" s="80">
        <f>SUMIFS(StockInData[Value],StockInData[Product ID],ProductMaster!$B189)-SUMIFS(StockOutData[Value],StockOutData[Product ID],ProductMaster!$B189)</f>
        <v>105</v>
      </c>
    </row>
    <row r="190" spans="1:10" x14ac:dyDescent="0.25">
      <c r="A190" s="75">
        <v>189</v>
      </c>
      <c r="B190" s="76" t="s">
        <v>397</v>
      </c>
      <c r="C190" s="77" t="s">
        <v>398</v>
      </c>
      <c r="D190" s="76" t="s">
        <v>869</v>
      </c>
      <c r="E190" s="76" t="s">
        <v>871</v>
      </c>
      <c r="F190" s="78">
        <v>10</v>
      </c>
      <c r="G190" s="79">
        <f>StockInData[Expiry]</f>
        <v>44289</v>
      </c>
      <c r="H190" s="76">
        <v>25</v>
      </c>
      <c r="I190" s="76">
        <f>SUMIFS(StockInData[Quantity],StockInData[Product ID],ProductMaster!$B190)-SUMIFS(StockOutData[Quantity],StockOutData[Product ID],ProductMaster!$B190)</f>
        <v>28</v>
      </c>
      <c r="J190" s="80">
        <f>SUMIFS(StockInData[Value],StockInData[Product ID],ProductMaster!$B190)-SUMIFS(StockOutData[Value],StockOutData[Product ID],ProductMaster!$B190)</f>
        <v>70</v>
      </c>
    </row>
    <row r="191" spans="1:10" x14ac:dyDescent="0.25">
      <c r="A191" s="75">
        <v>190</v>
      </c>
      <c r="B191" s="76" t="s">
        <v>399</v>
      </c>
      <c r="C191" s="77" t="s">
        <v>400</v>
      </c>
      <c r="D191" s="76" t="s">
        <v>869</v>
      </c>
      <c r="E191" s="76" t="s">
        <v>871</v>
      </c>
      <c r="F191" s="78">
        <v>10</v>
      </c>
      <c r="G191" s="79">
        <f>StockInData[Expiry]</f>
        <v>44291</v>
      </c>
      <c r="H191" s="76">
        <v>25</v>
      </c>
      <c r="I191" s="76">
        <f>SUMIFS(StockInData[Quantity],StockInData[Product ID],ProductMaster!$B191)-SUMIFS(StockOutData[Quantity],StockOutData[Product ID],ProductMaster!$B191)</f>
        <v>16</v>
      </c>
      <c r="J191" s="80">
        <f>SUMIFS(StockInData[Value],StockInData[Product ID],ProductMaster!$B191)-SUMIFS(StockOutData[Value],StockOutData[Product ID],ProductMaster!$B191)</f>
        <v>40</v>
      </c>
    </row>
    <row r="192" spans="1:10" x14ac:dyDescent="0.25">
      <c r="A192" s="75">
        <v>191</v>
      </c>
      <c r="B192" s="76" t="s">
        <v>401</v>
      </c>
      <c r="C192" s="77" t="s">
        <v>402</v>
      </c>
      <c r="D192" s="76" t="s">
        <v>869</v>
      </c>
      <c r="E192" s="76" t="s">
        <v>871</v>
      </c>
      <c r="F192" s="78">
        <v>10</v>
      </c>
      <c r="G192" s="79">
        <f>StockInData[Expiry]</f>
        <v>44293</v>
      </c>
      <c r="H192" s="76">
        <v>25</v>
      </c>
      <c r="I192" s="76">
        <f>SUMIFS(StockInData[Quantity],StockInData[Product ID],ProductMaster!$B192)-SUMIFS(StockOutData[Quantity],StockOutData[Product ID],ProductMaster!$B192)</f>
        <v>12</v>
      </c>
      <c r="J192" s="80">
        <f>SUMIFS(StockInData[Value],StockInData[Product ID],ProductMaster!$B192)-SUMIFS(StockOutData[Value],StockOutData[Product ID],ProductMaster!$B192)</f>
        <v>30</v>
      </c>
    </row>
    <row r="193" spans="1:10" x14ac:dyDescent="0.25">
      <c r="A193" s="75">
        <v>192</v>
      </c>
      <c r="B193" s="76" t="s">
        <v>403</v>
      </c>
      <c r="C193" s="77" t="s">
        <v>404</v>
      </c>
      <c r="D193" s="76" t="s">
        <v>869</v>
      </c>
      <c r="E193" s="76" t="s">
        <v>871</v>
      </c>
      <c r="F193" s="78">
        <v>10</v>
      </c>
      <c r="G193" s="79">
        <f>StockInData[Expiry]</f>
        <v>44295</v>
      </c>
      <c r="H193" s="76">
        <v>25</v>
      </c>
      <c r="I193" s="76">
        <f>SUMIFS(StockInData[Quantity],StockInData[Product ID],ProductMaster!$B193)-SUMIFS(StockOutData[Quantity],StockOutData[Product ID],ProductMaster!$B193)</f>
        <v>15</v>
      </c>
      <c r="J193" s="80">
        <f>SUMIFS(StockInData[Value],StockInData[Product ID],ProductMaster!$B193)-SUMIFS(StockOutData[Value],StockOutData[Product ID],ProductMaster!$B193)</f>
        <v>37.5</v>
      </c>
    </row>
    <row r="194" spans="1:10" x14ac:dyDescent="0.25">
      <c r="A194" s="75">
        <v>193</v>
      </c>
      <c r="B194" s="76" t="s">
        <v>405</v>
      </c>
      <c r="C194" s="77" t="s">
        <v>406</v>
      </c>
      <c r="D194" s="76" t="s">
        <v>869</v>
      </c>
      <c r="E194" s="76" t="s">
        <v>871</v>
      </c>
      <c r="F194" s="78">
        <v>10</v>
      </c>
      <c r="G194" s="79">
        <f>StockInData[Expiry]</f>
        <v>44297</v>
      </c>
      <c r="H194" s="76">
        <v>25</v>
      </c>
      <c r="I194" s="76">
        <f>SUMIFS(StockInData[Quantity],StockInData[Product ID],ProductMaster!$B194)-SUMIFS(StockOutData[Quantity],StockOutData[Product ID],ProductMaster!$B194)</f>
        <v>12</v>
      </c>
      <c r="J194" s="80">
        <f>SUMIFS(StockInData[Value],StockInData[Product ID],ProductMaster!$B194)-SUMIFS(StockOutData[Value],StockOutData[Product ID],ProductMaster!$B194)</f>
        <v>30</v>
      </c>
    </row>
    <row r="195" spans="1:10" x14ac:dyDescent="0.25">
      <c r="A195" s="75">
        <v>194</v>
      </c>
      <c r="B195" s="76" t="s">
        <v>407</v>
      </c>
      <c r="C195" s="77" t="s">
        <v>408</v>
      </c>
      <c r="D195" s="76" t="s">
        <v>869</v>
      </c>
      <c r="E195" s="76" t="s">
        <v>871</v>
      </c>
      <c r="F195" s="78">
        <v>10</v>
      </c>
      <c r="G195" s="79">
        <f>StockInData[Expiry]</f>
        <v>44299</v>
      </c>
      <c r="H195" s="76">
        <v>25</v>
      </c>
      <c r="I195" s="76">
        <f>SUMIFS(StockInData[Quantity],StockInData[Product ID],ProductMaster!$B195)-SUMIFS(StockOutData[Quantity],StockOutData[Product ID],ProductMaster!$B195)</f>
        <v>8</v>
      </c>
      <c r="J195" s="80">
        <f>SUMIFS(StockInData[Value],StockInData[Product ID],ProductMaster!$B195)-SUMIFS(StockOutData[Value],StockOutData[Product ID],ProductMaster!$B195)</f>
        <v>20</v>
      </c>
    </row>
    <row r="196" spans="1:10" x14ac:dyDescent="0.25">
      <c r="A196" s="75">
        <v>195</v>
      </c>
      <c r="B196" s="76" t="s">
        <v>409</v>
      </c>
      <c r="C196" s="77" t="s">
        <v>410</v>
      </c>
      <c r="D196" s="76" t="s">
        <v>869</v>
      </c>
      <c r="E196" s="76" t="s">
        <v>871</v>
      </c>
      <c r="F196" s="78">
        <v>10</v>
      </c>
      <c r="G196" s="79">
        <f>StockInData[Expiry]</f>
        <v>44301</v>
      </c>
      <c r="H196" s="76">
        <v>25</v>
      </c>
      <c r="I196" s="76">
        <f>SUMIFS(StockInData[Quantity],StockInData[Product ID],ProductMaster!$B196)-SUMIFS(StockOutData[Quantity],StockOutData[Product ID],ProductMaster!$B196)</f>
        <v>47</v>
      </c>
      <c r="J196" s="80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75">
        <v>196</v>
      </c>
      <c r="B197" s="76" t="s">
        <v>411</v>
      </c>
      <c r="C197" s="77" t="s">
        <v>412</v>
      </c>
      <c r="D197" s="76" t="s">
        <v>869</v>
      </c>
      <c r="E197" s="76" t="s">
        <v>871</v>
      </c>
      <c r="F197" s="78">
        <v>10</v>
      </c>
      <c r="G197" s="79">
        <f>StockInData[Expiry]</f>
        <v>44303</v>
      </c>
      <c r="H197" s="76">
        <v>25</v>
      </c>
      <c r="I197" s="76">
        <f>SUMIFS(StockInData[Quantity],StockInData[Product ID],ProductMaster!$B197)-SUMIFS(StockOutData[Quantity],StockOutData[Product ID],ProductMaster!$B197)</f>
        <v>62</v>
      </c>
      <c r="J197" s="80">
        <f>SUMIFS(StockInData[Value],StockInData[Product ID],ProductMaster!$B197)-SUMIFS(StockOutData[Value],StockOutData[Product ID],ProductMaster!$B197)</f>
        <v>155</v>
      </c>
    </row>
    <row r="198" spans="1:10" x14ac:dyDescent="0.25">
      <c r="A198" s="75">
        <v>197</v>
      </c>
      <c r="B198" s="76" t="s">
        <v>413</v>
      </c>
      <c r="C198" s="77" t="s">
        <v>414</v>
      </c>
      <c r="D198" s="76" t="s">
        <v>869</v>
      </c>
      <c r="E198" s="76" t="s">
        <v>871</v>
      </c>
      <c r="F198" s="78">
        <v>10</v>
      </c>
      <c r="G198" s="79">
        <f>StockInData[Expiry]</f>
        <v>44305</v>
      </c>
      <c r="H198" s="76">
        <v>25</v>
      </c>
      <c r="I198" s="76">
        <f>SUMIFS(StockInData[Quantity],StockInData[Product ID],ProductMaster!$B198)-SUMIFS(StockOutData[Quantity],StockOutData[Product ID],ProductMaster!$B198)</f>
        <v>70</v>
      </c>
      <c r="J198" s="80">
        <f>SUMIFS(StockInData[Value],StockInData[Product ID],ProductMaster!$B198)-SUMIFS(StockOutData[Value],StockOutData[Product ID],ProductMaster!$B198)</f>
        <v>175</v>
      </c>
    </row>
    <row r="199" spans="1:10" x14ac:dyDescent="0.25">
      <c r="A199" s="75">
        <v>198</v>
      </c>
      <c r="B199" s="76" t="s">
        <v>415</v>
      </c>
      <c r="C199" s="77" t="s">
        <v>416</v>
      </c>
      <c r="D199" s="76" t="s">
        <v>869</v>
      </c>
      <c r="E199" s="76" t="s">
        <v>871</v>
      </c>
      <c r="F199" s="78">
        <v>10</v>
      </c>
      <c r="G199" s="79">
        <f>StockInData[Expiry]</f>
        <v>44307</v>
      </c>
      <c r="H199" s="76">
        <v>25</v>
      </c>
      <c r="I199" s="76">
        <f>SUMIFS(StockInData[Quantity],StockInData[Product ID],ProductMaster!$B199)-SUMIFS(StockOutData[Quantity],StockOutData[Product ID],ProductMaster!$B199)</f>
        <v>86</v>
      </c>
      <c r="J199" s="80">
        <f>SUMIFS(StockInData[Value],StockInData[Product ID],ProductMaster!$B199)-SUMIFS(StockOutData[Value],StockOutData[Product ID],ProductMaster!$B199)</f>
        <v>215</v>
      </c>
    </row>
    <row r="200" spans="1:10" x14ac:dyDescent="0.25">
      <c r="A200" s="75">
        <v>199</v>
      </c>
      <c r="B200" s="76" t="s">
        <v>417</v>
      </c>
      <c r="C200" s="77" t="s">
        <v>418</v>
      </c>
      <c r="D200" s="76" t="s">
        <v>869</v>
      </c>
      <c r="E200" s="76" t="s">
        <v>871</v>
      </c>
      <c r="F200" s="78">
        <v>10</v>
      </c>
      <c r="G200" s="79">
        <f>StockInData[Expiry]</f>
        <v>44309</v>
      </c>
      <c r="H200" s="76">
        <v>25</v>
      </c>
      <c r="I200" s="76">
        <f>SUMIFS(StockInData[Quantity],StockInData[Product ID],ProductMaster!$B200)-SUMIFS(StockOutData[Quantity],StockOutData[Product ID],ProductMaster!$B200)</f>
        <v>96</v>
      </c>
      <c r="J200" s="80">
        <f>SUMIFS(StockInData[Value],StockInData[Product ID],ProductMaster!$B200)-SUMIFS(StockOutData[Value],StockOutData[Product ID],ProductMaster!$B200)</f>
        <v>240</v>
      </c>
    </row>
    <row r="201" spans="1:10" x14ac:dyDescent="0.25">
      <c r="A201" s="75">
        <v>200</v>
      </c>
      <c r="B201" s="76" t="s">
        <v>419</v>
      </c>
      <c r="C201" s="77" t="s">
        <v>420</v>
      </c>
      <c r="D201" s="76" t="s">
        <v>869</v>
      </c>
      <c r="E201" s="76" t="s">
        <v>871</v>
      </c>
      <c r="F201" s="78">
        <v>10</v>
      </c>
      <c r="G201" s="79">
        <f>StockInData[Expiry]</f>
        <v>44311</v>
      </c>
      <c r="H201" s="76">
        <v>25</v>
      </c>
      <c r="I201" s="76">
        <f>SUMIFS(StockInData[Quantity],StockInData[Product ID],ProductMaster!$B201)-SUMIFS(StockOutData[Quantity],StockOutData[Product ID],ProductMaster!$B201)</f>
        <v>93</v>
      </c>
      <c r="J201" s="80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75">
        <v>201</v>
      </c>
      <c r="B202" s="76" t="s">
        <v>421</v>
      </c>
      <c r="C202" s="77" t="s">
        <v>422</v>
      </c>
      <c r="D202" s="76" t="s">
        <v>869</v>
      </c>
      <c r="E202" s="76" t="s">
        <v>871</v>
      </c>
      <c r="F202" s="78">
        <v>10</v>
      </c>
      <c r="G202" s="79">
        <f>StockInData[Expiry]</f>
        <v>44313</v>
      </c>
      <c r="H202" s="76">
        <v>25</v>
      </c>
      <c r="I202" s="76">
        <f>SUMIFS(StockInData[Quantity],StockInData[Product ID],ProductMaster!$B202)-SUMIFS(StockOutData[Quantity],StockOutData[Product ID],ProductMaster!$B202)</f>
        <v>85</v>
      </c>
      <c r="J202" s="80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75">
        <v>202</v>
      </c>
      <c r="B203" s="76" t="s">
        <v>423</v>
      </c>
      <c r="C203" s="77" t="s">
        <v>424</v>
      </c>
      <c r="D203" s="76" t="s">
        <v>869</v>
      </c>
      <c r="E203" s="76" t="s">
        <v>871</v>
      </c>
      <c r="F203" s="78">
        <v>10</v>
      </c>
      <c r="G203" s="79">
        <f>StockInData[Expiry]</f>
        <v>44315</v>
      </c>
      <c r="H203" s="76">
        <v>25</v>
      </c>
      <c r="I203" s="76">
        <f>SUMIFS(StockInData[Quantity],StockInData[Product ID],ProductMaster!$B203)-SUMIFS(StockOutData[Quantity],StockOutData[Product ID],ProductMaster!$B203)</f>
        <v>82</v>
      </c>
      <c r="J203" s="80">
        <f>SUMIFS(StockInData[Value],StockInData[Product ID],ProductMaster!$B203)-SUMIFS(StockOutData[Value],StockOutData[Product ID],ProductMaster!$B203)</f>
        <v>205</v>
      </c>
    </row>
    <row r="204" spans="1:10" x14ac:dyDescent="0.25">
      <c r="A204" s="75">
        <v>203</v>
      </c>
      <c r="B204" s="76" t="s">
        <v>425</v>
      </c>
      <c r="C204" s="77" t="s">
        <v>426</v>
      </c>
      <c r="D204" s="76" t="s">
        <v>869</v>
      </c>
      <c r="E204" s="76" t="s">
        <v>871</v>
      </c>
      <c r="F204" s="78">
        <v>10</v>
      </c>
      <c r="G204" s="79">
        <f>StockInData[Expiry]</f>
        <v>44317</v>
      </c>
      <c r="H204" s="76">
        <v>25</v>
      </c>
      <c r="I204" s="76">
        <f>SUMIFS(StockInData[Quantity],StockInData[Product ID],ProductMaster!$B204)-SUMIFS(StockOutData[Quantity],StockOutData[Product ID],ProductMaster!$B204)</f>
        <v>88</v>
      </c>
      <c r="J204" s="80">
        <f>SUMIFS(StockInData[Value],StockInData[Product ID],ProductMaster!$B204)-SUMIFS(StockOutData[Value],StockOutData[Product ID],ProductMaster!$B204)</f>
        <v>220</v>
      </c>
    </row>
    <row r="205" spans="1:10" x14ac:dyDescent="0.25">
      <c r="A205" s="75">
        <v>204</v>
      </c>
      <c r="B205" s="76" t="s">
        <v>427</v>
      </c>
      <c r="C205" s="77" t="s">
        <v>428</v>
      </c>
      <c r="D205" s="76" t="s">
        <v>869</v>
      </c>
      <c r="E205" s="76" t="s">
        <v>871</v>
      </c>
      <c r="F205" s="78">
        <v>10</v>
      </c>
      <c r="G205" s="79">
        <f>StockInData[Expiry]</f>
        <v>44319</v>
      </c>
      <c r="H205" s="76">
        <v>25</v>
      </c>
      <c r="I205" s="76">
        <f>SUMIFS(StockInData[Quantity],StockInData[Product ID],ProductMaster!$B205)-SUMIFS(StockOutData[Quantity],StockOutData[Product ID],ProductMaster!$B205)</f>
        <v>30</v>
      </c>
      <c r="J205" s="80">
        <f>SUMIFS(StockInData[Value],StockInData[Product ID],ProductMaster!$B205)-SUMIFS(StockOutData[Value],StockOutData[Product ID],ProductMaster!$B205)</f>
        <v>75</v>
      </c>
    </row>
    <row r="206" spans="1:10" x14ac:dyDescent="0.25">
      <c r="A206" s="75">
        <v>205</v>
      </c>
      <c r="B206" s="76" t="s">
        <v>429</v>
      </c>
      <c r="C206" s="77" t="s">
        <v>430</v>
      </c>
      <c r="D206" s="76" t="s">
        <v>869</v>
      </c>
      <c r="E206" s="76" t="s">
        <v>871</v>
      </c>
      <c r="F206" s="78">
        <v>10</v>
      </c>
      <c r="G206" s="79">
        <f>StockInData[Expiry]</f>
        <v>44321</v>
      </c>
      <c r="H206" s="76">
        <v>25</v>
      </c>
      <c r="I206" s="76">
        <f>SUMIFS(StockInData[Quantity],StockInData[Product ID],ProductMaster!$B206)-SUMIFS(StockOutData[Quantity],StockOutData[Product ID],ProductMaster!$B206)</f>
        <v>20</v>
      </c>
      <c r="J206" s="80">
        <f>SUMIFS(StockInData[Value],StockInData[Product ID],ProductMaster!$B206)-SUMIFS(StockOutData[Value],StockOutData[Product ID],ProductMaster!$B206)</f>
        <v>50</v>
      </c>
    </row>
    <row r="207" spans="1:10" x14ac:dyDescent="0.25">
      <c r="A207" s="75">
        <v>206</v>
      </c>
      <c r="B207" s="76" t="s">
        <v>431</v>
      </c>
      <c r="C207" s="77" t="s">
        <v>432</v>
      </c>
      <c r="D207" s="76" t="s">
        <v>869</v>
      </c>
      <c r="E207" s="76" t="s">
        <v>871</v>
      </c>
      <c r="F207" s="78">
        <v>10</v>
      </c>
      <c r="G207" s="79">
        <f>StockInData[Expiry]</f>
        <v>44323</v>
      </c>
      <c r="H207" s="76">
        <v>25</v>
      </c>
      <c r="I207" s="76">
        <f>SUMIFS(StockInData[Quantity],StockInData[Product ID],ProductMaster!$B207)-SUMIFS(StockOutData[Quantity],StockOutData[Product ID],ProductMaster!$B207)</f>
        <v>15</v>
      </c>
      <c r="J207" s="80">
        <f>SUMIFS(StockInData[Value],StockInData[Product ID],ProductMaster!$B207)-SUMIFS(StockOutData[Value],StockOutData[Product ID],ProductMaster!$B207)</f>
        <v>37.5</v>
      </c>
    </row>
    <row r="208" spans="1:10" x14ac:dyDescent="0.25">
      <c r="A208" s="75">
        <v>207</v>
      </c>
      <c r="B208" s="76" t="s">
        <v>433</v>
      </c>
      <c r="C208" s="77" t="s">
        <v>434</v>
      </c>
      <c r="D208" s="76" t="s">
        <v>869</v>
      </c>
      <c r="E208" s="76" t="s">
        <v>871</v>
      </c>
      <c r="F208" s="78">
        <v>10</v>
      </c>
      <c r="G208" s="79">
        <f>StockInData[Expiry]</f>
        <v>44325</v>
      </c>
      <c r="H208" s="76">
        <v>25</v>
      </c>
      <c r="I208" s="76">
        <f>SUMIFS(StockInData[Quantity],StockInData[Product ID],ProductMaster!$B208)-SUMIFS(StockOutData[Quantity],StockOutData[Product ID],ProductMaster!$B208)</f>
        <v>10</v>
      </c>
      <c r="J208" s="80">
        <f>SUMIFS(StockInData[Value],StockInData[Product ID],ProductMaster!$B208)-SUMIFS(StockOutData[Value],StockOutData[Product ID],ProductMaster!$B208)</f>
        <v>25</v>
      </c>
    </row>
    <row r="209" spans="1:10" x14ac:dyDescent="0.25">
      <c r="A209" s="75">
        <v>208</v>
      </c>
      <c r="B209" s="76" t="s">
        <v>435</v>
      </c>
      <c r="C209" s="77" t="s">
        <v>436</v>
      </c>
      <c r="D209" s="76" t="s">
        <v>869</v>
      </c>
      <c r="E209" s="76" t="s">
        <v>871</v>
      </c>
      <c r="F209" s="78">
        <v>10</v>
      </c>
      <c r="G209" s="79">
        <f>StockInData[Expiry]</f>
        <v>44327</v>
      </c>
      <c r="H209" s="76">
        <v>25</v>
      </c>
      <c r="I209" s="76">
        <f>SUMIFS(StockInData[Quantity],StockInData[Product ID],ProductMaster!$B209)-SUMIFS(StockOutData[Quantity],StockOutData[Product ID],ProductMaster!$B209)</f>
        <v>9</v>
      </c>
      <c r="J209" s="80">
        <f>SUMIFS(StockInData[Value],StockInData[Product ID],ProductMaster!$B209)-SUMIFS(StockOutData[Value],StockOutData[Product ID],ProductMaster!$B209)</f>
        <v>22.5</v>
      </c>
    </row>
    <row r="210" spans="1:10" x14ac:dyDescent="0.25">
      <c r="A210" s="75">
        <v>209</v>
      </c>
      <c r="B210" s="76" t="s">
        <v>437</v>
      </c>
      <c r="C210" s="77" t="s">
        <v>438</v>
      </c>
      <c r="D210" s="76" t="s">
        <v>869</v>
      </c>
      <c r="E210" s="76" t="s">
        <v>871</v>
      </c>
      <c r="F210" s="78">
        <v>10</v>
      </c>
      <c r="G210" s="79">
        <f>StockInData[Expiry]</f>
        <v>44329</v>
      </c>
      <c r="H210" s="76">
        <v>25</v>
      </c>
      <c r="I210" s="76">
        <f>SUMIFS(StockInData[Quantity],StockInData[Product ID],ProductMaster!$B210)-SUMIFS(StockOutData[Quantity],StockOutData[Product ID],ProductMaster!$B210)</f>
        <v>16</v>
      </c>
      <c r="J210" s="80">
        <f>SUMIFS(StockInData[Value],StockInData[Product ID],ProductMaster!$B210)-SUMIFS(StockOutData[Value],StockOutData[Product ID],ProductMaster!$B210)</f>
        <v>40</v>
      </c>
    </row>
    <row r="211" spans="1:10" x14ac:dyDescent="0.25">
      <c r="A211" s="75">
        <v>210</v>
      </c>
      <c r="B211" s="76" t="s">
        <v>439</v>
      </c>
      <c r="C211" s="77" t="s">
        <v>440</v>
      </c>
      <c r="D211" s="76" t="s">
        <v>869</v>
      </c>
      <c r="E211" s="76" t="s">
        <v>875</v>
      </c>
      <c r="F211" s="78">
        <v>10</v>
      </c>
      <c r="G211" s="79">
        <f>StockInData[Expiry]</f>
        <v>44331</v>
      </c>
      <c r="H211" s="76">
        <v>25</v>
      </c>
      <c r="I211" s="76">
        <f>SUMIFS(StockInData[Quantity],StockInData[Product ID],ProductMaster!$B211)-SUMIFS(StockOutData[Quantity],StockOutData[Product ID],ProductMaster!$B211)</f>
        <v>50</v>
      </c>
      <c r="J211" s="80">
        <f>SUMIFS(StockInData[Value],StockInData[Product ID],ProductMaster!$B211)-SUMIFS(StockOutData[Value],StockOutData[Product ID],ProductMaster!$B211)</f>
        <v>125</v>
      </c>
    </row>
    <row r="212" spans="1:10" x14ac:dyDescent="0.25">
      <c r="A212" s="75">
        <v>211</v>
      </c>
      <c r="B212" s="76" t="s">
        <v>441</v>
      </c>
      <c r="C212" s="77" t="s">
        <v>442</v>
      </c>
      <c r="D212" s="76" t="s">
        <v>869</v>
      </c>
      <c r="E212" s="76" t="s">
        <v>875</v>
      </c>
      <c r="F212" s="78">
        <v>10</v>
      </c>
      <c r="G212" s="79">
        <f>StockInData[Expiry]</f>
        <v>44333</v>
      </c>
      <c r="H212" s="76">
        <v>25</v>
      </c>
      <c r="I212" s="76">
        <f>SUMIFS(StockInData[Quantity],StockInData[Product ID],ProductMaster!$B212)-SUMIFS(StockOutData[Quantity],StockOutData[Product ID],ProductMaster!$B212)</f>
        <v>56</v>
      </c>
      <c r="J212" s="80">
        <f>SUMIFS(StockInData[Value],StockInData[Product ID],ProductMaster!$B212)-SUMIFS(StockOutData[Value],StockOutData[Product ID],ProductMaster!$B212)</f>
        <v>140</v>
      </c>
    </row>
    <row r="213" spans="1:10" x14ac:dyDescent="0.25">
      <c r="A213" s="75">
        <v>212</v>
      </c>
      <c r="B213" s="76" t="s">
        <v>443</v>
      </c>
      <c r="C213" s="77" t="s">
        <v>444</v>
      </c>
      <c r="D213" s="76" t="s">
        <v>869</v>
      </c>
      <c r="E213" s="76" t="s">
        <v>875</v>
      </c>
      <c r="F213" s="78">
        <v>10</v>
      </c>
      <c r="G213" s="79">
        <f>StockInData[Expiry]</f>
        <v>44335</v>
      </c>
      <c r="H213" s="76">
        <v>25</v>
      </c>
      <c r="I213" s="76">
        <f>SUMIFS(StockInData[Quantity],StockInData[Product ID],ProductMaster!$B213)-SUMIFS(StockOutData[Quantity],StockOutData[Product ID],ProductMaster!$B213)</f>
        <v>72</v>
      </c>
      <c r="J213" s="80">
        <f>SUMIFS(StockInData[Value],StockInData[Product ID],ProductMaster!$B213)-SUMIFS(StockOutData[Value],StockOutData[Product ID],ProductMaster!$B213)</f>
        <v>180</v>
      </c>
    </row>
    <row r="214" spans="1:10" x14ac:dyDescent="0.25">
      <c r="A214" s="75">
        <v>213</v>
      </c>
      <c r="B214" s="76" t="s">
        <v>445</v>
      </c>
      <c r="C214" s="77" t="s">
        <v>446</v>
      </c>
      <c r="D214" s="76" t="s">
        <v>869</v>
      </c>
      <c r="E214" s="76" t="s">
        <v>875</v>
      </c>
      <c r="F214" s="78">
        <v>10</v>
      </c>
      <c r="G214" s="79">
        <f>StockInData[Expiry]</f>
        <v>44337</v>
      </c>
      <c r="H214" s="76">
        <v>25</v>
      </c>
      <c r="I214" s="76">
        <f>SUMIFS(StockInData[Quantity],StockInData[Product ID],ProductMaster!$B214)-SUMIFS(StockOutData[Quantity],StockOutData[Product ID],ProductMaster!$B214)</f>
        <v>85</v>
      </c>
      <c r="J214" s="80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75">
        <v>214</v>
      </c>
      <c r="B215" s="76" t="s">
        <v>447</v>
      </c>
      <c r="C215" s="77" t="s">
        <v>448</v>
      </c>
      <c r="D215" s="76" t="s">
        <v>869</v>
      </c>
      <c r="E215" s="76" t="s">
        <v>875</v>
      </c>
      <c r="F215" s="78">
        <v>10</v>
      </c>
      <c r="G215" s="79">
        <f>StockInData[Expiry]</f>
        <v>44339</v>
      </c>
      <c r="H215" s="76">
        <v>25</v>
      </c>
      <c r="I215" s="76">
        <f>SUMIFS(StockInData[Quantity],StockInData[Product ID],ProductMaster!$B215)-SUMIFS(StockOutData[Quantity],StockOutData[Product ID],ProductMaster!$B215)</f>
        <v>88</v>
      </c>
      <c r="J215" s="80">
        <f>SUMIFS(StockInData[Value],StockInData[Product ID],ProductMaster!$B215)-SUMIFS(StockOutData[Value],StockOutData[Product ID],ProductMaster!$B215)</f>
        <v>220</v>
      </c>
    </row>
    <row r="216" spans="1:10" x14ac:dyDescent="0.25">
      <c r="A216" s="75">
        <v>215</v>
      </c>
      <c r="B216" s="76" t="s">
        <v>449</v>
      </c>
      <c r="C216" s="77" t="s">
        <v>450</v>
      </c>
      <c r="D216" s="76" t="s">
        <v>869</v>
      </c>
      <c r="E216" s="76" t="s">
        <v>875</v>
      </c>
      <c r="F216" s="78">
        <v>10</v>
      </c>
      <c r="G216" s="79">
        <f>StockInData[Expiry]</f>
        <v>44341</v>
      </c>
      <c r="H216" s="76">
        <v>25</v>
      </c>
      <c r="I216" s="76">
        <f>SUMIFS(StockInData[Quantity],StockInData[Product ID],ProductMaster!$B216)-SUMIFS(StockOutData[Quantity],StockOutData[Product ID],ProductMaster!$B216)</f>
        <v>55</v>
      </c>
      <c r="J216" s="80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75">
        <v>216</v>
      </c>
      <c r="B217" s="76" t="s">
        <v>451</v>
      </c>
      <c r="C217" s="77" t="s">
        <v>452</v>
      </c>
      <c r="D217" s="76" t="s">
        <v>869</v>
      </c>
      <c r="E217" s="76" t="s">
        <v>875</v>
      </c>
      <c r="F217" s="78">
        <v>10</v>
      </c>
      <c r="G217" s="79">
        <f>StockInData[Expiry]</f>
        <v>44343</v>
      </c>
      <c r="H217" s="76">
        <v>25</v>
      </c>
      <c r="I217" s="76">
        <f>SUMIFS(StockInData[Quantity],StockInData[Product ID],ProductMaster!$B217)-SUMIFS(StockOutData[Quantity],StockOutData[Product ID],ProductMaster!$B217)</f>
        <v>33</v>
      </c>
      <c r="J217" s="80">
        <f>SUMIFS(StockInData[Value],StockInData[Product ID],ProductMaster!$B217)-SUMIFS(StockOutData[Value],StockOutData[Product ID],ProductMaster!$B217)</f>
        <v>82.5</v>
      </c>
    </row>
    <row r="218" spans="1:10" x14ac:dyDescent="0.25">
      <c r="A218" s="75">
        <v>217</v>
      </c>
      <c r="B218" s="76" t="s">
        <v>453</v>
      </c>
      <c r="C218" s="77" t="s">
        <v>454</v>
      </c>
      <c r="D218" s="76" t="s">
        <v>869</v>
      </c>
      <c r="E218" s="76" t="s">
        <v>875</v>
      </c>
      <c r="F218" s="78">
        <v>10</v>
      </c>
      <c r="G218" s="79">
        <f>StockInData[Expiry]</f>
        <v>44345</v>
      </c>
      <c r="H218" s="76">
        <v>25</v>
      </c>
      <c r="I218" s="76">
        <f>SUMIFS(StockInData[Quantity],StockInData[Product ID],ProductMaster!$B218)-SUMIFS(StockOutData[Quantity],StockOutData[Product ID],ProductMaster!$B218)</f>
        <v>15</v>
      </c>
      <c r="J218" s="80">
        <f>SUMIFS(StockInData[Value],StockInData[Product ID],ProductMaster!$B218)-SUMIFS(StockOutData[Value],StockOutData[Product ID],ProductMaster!$B218)</f>
        <v>37.5</v>
      </c>
    </row>
    <row r="219" spans="1:10" x14ac:dyDescent="0.25">
      <c r="A219" s="75">
        <v>218</v>
      </c>
      <c r="B219" s="76" t="s">
        <v>455</v>
      </c>
      <c r="C219" s="77" t="s">
        <v>456</v>
      </c>
      <c r="D219" s="76" t="s">
        <v>869</v>
      </c>
      <c r="E219" s="76" t="s">
        <v>875</v>
      </c>
      <c r="F219" s="78">
        <v>10</v>
      </c>
      <c r="G219" s="79">
        <f>StockInData[Expiry]</f>
        <v>44347</v>
      </c>
      <c r="H219" s="76">
        <v>25</v>
      </c>
      <c r="I219" s="76">
        <f>SUMIFS(StockInData[Quantity],StockInData[Product ID],ProductMaster!$B219)-SUMIFS(StockOutData[Quantity],StockOutData[Product ID],ProductMaster!$B219)</f>
        <v>7</v>
      </c>
      <c r="J219" s="80">
        <f>SUMIFS(StockInData[Value],StockInData[Product ID],ProductMaster!$B219)-SUMIFS(StockOutData[Value],StockOutData[Product ID],ProductMaster!$B219)</f>
        <v>17.5</v>
      </c>
    </row>
    <row r="220" spans="1:10" x14ac:dyDescent="0.25">
      <c r="A220" s="75">
        <v>219</v>
      </c>
      <c r="B220" s="76" t="s">
        <v>457</v>
      </c>
      <c r="C220" s="77" t="s">
        <v>458</v>
      </c>
      <c r="D220" s="76" t="s">
        <v>869</v>
      </c>
      <c r="E220" s="76" t="s">
        <v>875</v>
      </c>
      <c r="F220" s="78">
        <v>10</v>
      </c>
      <c r="G220" s="79">
        <f>StockInData[Expiry]</f>
        <v>44349</v>
      </c>
      <c r="H220" s="76">
        <v>25</v>
      </c>
      <c r="I220" s="76">
        <f>SUMIFS(StockInData[Quantity],StockInData[Product ID],ProductMaster!$B220)-SUMIFS(StockOutData[Quantity],StockOutData[Product ID],ProductMaster!$B220)</f>
        <v>8</v>
      </c>
      <c r="J220" s="80">
        <f>SUMIFS(StockInData[Value],StockInData[Product ID],ProductMaster!$B220)-SUMIFS(StockOutData[Value],StockOutData[Product ID],ProductMaster!$B220)</f>
        <v>20</v>
      </c>
    </row>
    <row r="221" spans="1:10" x14ac:dyDescent="0.25">
      <c r="A221" s="75">
        <v>220</v>
      </c>
      <c r="B221" s="76" t="s">
        <v>459</v>
      </c>
      <c r="C221" s="77" t="s">
        <v>460</v>
      </c>
      <c r="D221" s="76" t="s">
        <v>869</v>
      </c>
      <c r="E221" s="76" t="s">
        <v>875</v>
      </c>
      <c r="F221" s="78">
        <v>10</v>
      </c>
      <c r="G221" s="79">
        <f>StockInData[Expiry]</f>
        <v>44351</v>
      </c>
      <c r="H221" s="76">
        <v>25</v>
      </c>
      <c r="I221" s="76">
        <f>SUMIFS(StockInData[Quantity],StockInData[Product ID],ProductMaster!$B221)-SUMIFS(StockOutData[Quantity],StockOutData[Product ID],ProductMaster!$B221)</f>
        <v>5</v>
      </c>
      <c r="J221" s="80">
        <f>SUMIFS(StockInData[Value],StockInData[Product ID],ProductMaster!$B221)-SUMIFS(StockOutData[Value],StockOutData[Product ID],ProductMaster!$B221)</f>
        <v>12.5</v>
      </c>
    </row>
    <row r="222" spans="1:10" x14ac:dyDescent="0.25">
      <c r="A222" s="75">
        <v>221</v>
      </c>
      <c r="B222" s="76" t="s">
        <v>461</v>
      </c>
      <c r="C222" s="77" t="s">
        <v>462</v>
      </c>
      <c r="D222" s="76" t="s">
        <v>869</v>
      </c>
      <c r="E222" s="76" t="s">
        <v>875</v>
      </c>
      <c r="F222" s="78">
        <v>10</v>
      </c>
      <c r="G222" s="79">
        <f>StockInData[Expiry]</f>
        <v>44353</v>
      </c>
      <c r="H222" s="76">
        <v>25</v>
      </c>
      <c r="I222" s="76">
        <f>SUMIFS(StockInData[Quantity],StockInData[Product ID],ProductMaster!$B222)-SUMIFS(StockOutData[Quantity],StockOutData[Product ID],ProductMaster!$B222)</f>
        <v>10</v>
      </c>
      <c r="J222" s="80">
        <f>SUMIFS(StockInData[Value],StockInData[Product ID],ProductMaster!$B222)-SUMIFS(StockOutData[Value],StockOutData[Product ID],ProductMaster!$B222)</f>
        <v>25</v>
      </c>
    </row>
    <row r="223" spans="1:10" x14ac:dyDescent="0.25">
      <c r="A223" s="75">
        <v>222</v>
      </c>
      <c r="B223" s="76" t="s">
        <v>463</v>
      </c>
      <c r="C223" s="77" t="s">
        <v>464</v>
      </c>
      <c r="D223" s="76" t="s">
        <v>869</v>
      </c>
      <c r="E223" s="76" t="s">
        <v>875</v>
      </c>
      <c r="F223" s="78">
        <v>10</v>
      </c>
      <c r="G223" s="79">
        <f>StockInData[Expiry]</f>
        <v>44355</v>
      </c>
      <c r="H223" s="76">
        <v>25</v>
      </c>
      <c r="I223" s="76">
        <f>SUMIFS(StockInData[Quantity],StockInData[Product ID],ProductMaster!$B223)-SUMIFS(StockOutData[Quantity],StockOutData[Product ID],ProductMaster!$B223)</f>
        <v>60</v>
      </c>
      <c r="J223" s="80">
        <f>SUMIFS(StockInData[Value],StockInData[Product ID],ProductMaster!$B223)-SUMIFS(StockOutData[Value],StockOutData[Product ID],ProductMaster!$B223)</f>
        <v>150</v>
      </c>
    </row>
    <row r="224" spans="1:10" x14ac:dyDescent="0.25">
      <c r="A224" s="75">
        <v>223</v>
      </c>
      <c r="B224" s="76" t="s">
        <v>465</v>
      </c>
      <c r="C224" s="77" t="s">
        <v>466</v>
      </c>
      <c r="D224" s="76" t="s">
        <v>869</v>
      </c>
      <c r="E224" s="76" t="s">
        <v>875</v>
      </c>
      <c r="F224" s="78">
        <v>10</v>
      </c>
      <c r="G224" s="79">
        <f>StockInData[Expiry]</f>
        <v>44357</v>
      </c>
      <c r="H224" s="76">
        <v>25</v>
      </c>
      <c r="I224" s="76">
        <f>SUMIFS(StockInData[Quantity],StockInData[Product ID],ProductMaster!$B224)-SUMIFS(StockOutData[Quantity],StockOutData[Product ID],ProductMaster!$B224)</f>
        <v>67</v>
      </c>
      <c r="J224" s="80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75">
        <v>224</v>
      </c>
      <c r="B225" s="76" t="s">
        <v>467</v>
      </c>
      <c r="C225" s="77" t="s">
        <v>468</v>
      </c>
      <c r="D225" s="76" t="s">
        <v>869</v>
      </c>
      <c r="E225" s="76" t="s">
        <v>875</v>
      </c>
      <c r="F225" s="78">
        <v>10</v>
      </c>
      <c r="G225" s="79">
        <f>StockInData[Expiry]</f>
        <v>44359</v>
      </c>
      <c r="H225" s="76">
        <v>25</v>
      </c>
      <c r="I225" s="76">
        <f>SUMIFS(StockInData[Quantity],StockInData[Product ID],ProductMaster!$B225)-SUMIFS(StockOutData[Quantity],StockOutData[Product ID],ProductMaster!$B225)</f>
        <v>69</v>
      </c>
      <c r="J225" s="80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75">
        <v>225</v>
      </c>
      <c r="B226" s="76" t="s">
        <v>469</v>
      </c>
      <c r="C226" s="77" t="s">
        <v>470</v>
      </c>
      <c r="D226" s="76" t="s">
        <v>869</v>
      </c>
      <c r="E226" s="76" t="s">
        <v>875</v>
      </c>
      <c r="F226" s="78">
        <v>10</v>
      </c>
      <c r="G226" s="79">
        <f>StockInData[Expiry]</f>
        <v>44361</v>
      </c>
      <c r="H226" s="76">
        <v>25</v>
      </c>
      <c r="I226" s="76">
        <f>SUMIFS(StockInData[Quantity],StockInData[Product ID],ProductMaster!$B226)-SUMIFS(StockOutData[Quantity],StockOutData[Product ID],ProductMaster!$B226)</f>
        <v>81</v>
      </c>
      <c r="J226" s="80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75">
        <v>226</v>
      </c>
      <c r="B227" s="76" t="s">
        <v>471</v>
      </c>
      <c r="C227" s="77" t="s">
        <v>472</v>
      </c>
      <c r="D227" s="76" t="s">
        <v>869</v>
      </c>
      <c r="E227" s="76" t="s">
        <v>875</v>
      </c>
      <c r="F227" s="78">
        <v>10</v>
      </c>
      <c r="G227" s="79">
        <f>StockInData[Expiry]</f>
        <v>44363</v>
      </c>
      <c r="H227" s="76">
        <v>25</v>
      </c>
      <c r="I227" s="76">
        <f>SUMIFS(StockInData[Quantity],StockInData[Product ID],ProductMaster!$B227)-SUMIFS(StockOutData[Quantity],StockOutData[Product ID],ProductMaster!$B227)</f>
        <v>89</v>
      </c>
      <c r="J227" s="80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75">
        <v>227</v>
      </c>
      <c r="B228" s="76" t="s">
        <v>473</v>
      </c>
      <c r="C228" s="77" t="s">
        <v>474</v>
      </c>
      <c r="D228" s="76" t="s">
        <v>869</v>
      </c>
      <c r="E228" s="76" t="s">
        <v>875</v>
      </c>
      <c r="F228" s="78">
        <v>10</v>
      </c>
      <c r="G228" s="79">
        <f>StockInData[Expiry]</f>
        <v>44365</v>
      </c>
      <c r="H228" s="76">
        <v>25</v>
      </c>
      <c r="I228" s="76">
        <f>SUMIFS(StockInData[Quantity],StockInData[Product ID],ProductMaster!$B228)-SUMIFS(StockOutData[Quantity],StockOutData[Product ID],ProductMaster!$B228)</f>
        <v>50</v>
      </c>
      <c r="J228" s="80">
        <f>SUMIFS(StockInData[Value],StockInData[Product ID],ProductMaster!$B228)-SUMIFS(StockOutData[Value],StockOutData[Product ID],ProductMaster!$B228)</f>
        <v>125</v>
      </c>
    </row>
    <row r="229" spans="1:10" x14ac:dyDescent="0.25">
      <c r="A229" s="75">
        <v>228</v>
      </c>
      <c r="B229" s="76" t="s">
        <v>475</v>
      </c>
      <c r="C229" s="77" t="s">
        <v>476</v>
      </c>
      <c r="D229" s="76" t="s">
        <v>869</v>
      </c>
      <c r="E229" s="76" t="s">
        <v>875</v>
      </c>
      <c r="F229" s="78">
        <v>10</v>
      </c>
      <c r="G229" s="79">
        <f>StockInData[Expiry]</f>
        <v>44367</v>
      </c>
      <c r="H229" s="76">
        <v>25</v>
      </c>
      <c r="I229" s="76">
        <f>SUMIFS(StockInData[Quantity],StockInData[Product ID],ProductMaster!$B229)-SUMIFS(StockOutData[Quantity],StockOutData[Product ID],ProductMaster!$B229)</f>
        <v>30</v>
      </c>
      <c r="J229" s="80">
        <f>SUMIFS(StockInData[Value],StockInData[Product ID],ProductMaster!$B229)-SUMIFS(StockOutData[Value],StockOutData[Product ID],ProductMaster!$B229)</f>
        <v>75</v>
      </c>
    </row>
    <row r="230" spans="1:10" x14ac:dyDescent="0.25">
      <c r="A230" s="75">
        <v>229</v>
      </c>
      <c r="B230" s="76" t="s">
        <v>477</v>
      </c>
      <c r="C230" s="77" t="s">
        <v>478</v>
      </c>
      <c r="D230" s="76" t="s">
        <v>869</v>
      </c>
      <c r="E230" s="76" t="s">
        <v>875</v>
      </c>
      <c r="F230" s="78">
        <v>10</v>
      </c>
      <c r="G230" s="79">
        <f>StockInData[Expiry]</f>
        <v>44369</v>
      </c>
      <c r="H230" s="76">
        <v>25</v>
      </c>
      <c r="I230" s="76">
        <f>SUMIFS(StockInData[Quantity],StockInData[Product ID],ProductMaster!$B230)-SUMIFS(StockOutData[Quantity],StockOutData[Product ID],ProductMaster!$B230)</f>
        <v>20</v>
      </c>
      <c r="J230" s="80">
        <f>SUMIFS(StockInData[Value],StockInData[Product ID],ProductMaster!$B230)-SUMIFS(StockOutData[Value],StockOutData[Product ID],ProductMaster!$B230)</f>
        <v>50</v>
      </c>
    </row>
    <row r="231" spans="1:10" x14ac:dyDescent="0.25">
      <c r="A231" s="75">
        <v>230</v>
      </c>
      <c r="B231" s="76" t="s">
        <v>479</v>
      </c>
      <c r="C231" s="77" t="s">
        <v>480</v>
      </c>
      <c r="D231" s="76" t="s">
        <v>869</v>
      </c>
      <c r="E231" s="76" t="s">
        <v>875</v>
      </c>
      <c r="F231" s="78">
        <v>10</v>
      </c>
      <c r="G231" s="79">
        <f>StockInData[Expiry]</f>
        <v>44371</v>
      </c>
      <c r="H231" s="76">
        <v>25</v>
      </c>
      <c r="I231" s="76">
        <f>SUMIFS(StockInData[Quantity],StockInData[Product ID],ProductMaster!$B231)-SUMIFS(StockOutData[Quantity],StockOutData[Product ID],ProductMaster!$B231)</f>
        <v>15</v>
      </c>
      <c r="J231" s="80">
        <f>SUMIFS(StockInData[Value],StockInData[Product ID],ProductMaster!$B231)-SUMIFS(StockOutData[Value],StockOutData[Product ID],ProductMaster!$B231)</f>
        <v>37.5</v>
      </c>
    </row>
    <row r="232" spans="1:10" x14ac:dyDescent="0.25">
      <c r="A232" s="75">
        <v>231</v>
      </c>
      <c r="B232" s="76" t="s">
        <v>481</v>
      </c>
      <c r="C232" s="77" t="s">
        <v>482</v>
      </c>
      <c r="D232" s="76" t="s">
        <v>869</v>
      </c>
      <c r="E232" s="76" t="s">
        <v>875</v>
      </c>
      <c r="F232" s="78">
        <v>10</v>
      </c>
      <c r="G232" s="79">
        <f>StockInData[Expiry]</f>
        <v>44373</v>
      </c>
      <c r="H232" s="76">
        <v>25</v>
      </c>
      <c r="I232" s="76">
        <f>SUMIFS(StockInData[Quantity],StockInData[Product ID],ProductMaster!$B232)-SUMIFS(StockOutData[Quantity],StockOutData[Product ID],ProductMaster!$B232)</f>
        <v>10</v>
      </c>
      <c r="J232" s="80">
        <f>SUMIFS(StockInData[Value],StockInData[Product ID],ProductMaster!$B232)-SUMIFS(StockOutData[Value],StockOutData[Product ID],ProductMaster!$B232)</f>
        <v>25</v>
      </c>
    </row>
    <row r="233" spans="1:10" x14ac:dyDescent="0.25">
      <c r="A233" s="75">
        <v>232</v>
      </c>
      <c r="B233" s="76" t="s">
        <v>483</v>
      </c>
      <c r="C233" s="77" t="s">
        <v>484</v>
      </c>
      <c r="D233" s="76" t="s">
        <v>869</v>
      </c>
      <c r="E233" s="76" t="s">
        <v>875</v>
      </c>
      <c r="F233" s="78">
        <v>10</v>
      </c>
      <c r="G233" s="79">
        <f>StockInData[Expiry]</f>
        <v>44375</v>
      </c>
      <c r="H233" s="76">
        <v>25</v>
      </c>
      <c r="I233" s="76">
        <f>SUMIFS(StockInData[Quantity],StockInData[Product ID],ProductMaster!$B233)-SUMIFS(StockOutData[Quantity],StockOutData[Product ID],ProductMaster!$B233)</f>
        <v>12</v>
      </c>
      <c r="J233" s="80">
        <f>SUMIFS(StockInData[Value],StockInData[Product ID],ProductMaster!$B233)-SUMIFS(StockOutData[Value],StockOutData[Product ID],ProductMaster!$B233)</f>
        <v>30</v>
      </c>
    </row>
    <row r="234" spans="1:10" x14ac:dyDescent="0.25">
      <c r="A234" s="75">
        <v>233</v>
      </c>
      <c r="B234" s="76" t="s">
        <v>485</v>
      </c>
      <c r="C234" s="77" t="s">
        <v>486</v>
      </c>
      <c r="D234" s="76" t="s">
        <v>869</v>
      </c>
      <c r="E234" s="76" t="s">
        <v>875</v>
      </c>
      <c r="F234" s="78">
        <v>10</v>
      </c>
      <c r="G234" s="79">
        <f>StockInData[Expiry]</f>
        <v>44377</v>
      </c>
      <c r="H234" s="76">
        <v>25</v>
      </c>
      <c r="I234" s="76">
        <f>SUMIFS(StockInData[Quantity],StockInData[Product ID],ProductMaster!$B234)-SUMIFS(StockOutData[Quantity],StockOutData[Product ID],ProductMaster!$B234)</f>
        <v>8</v>
      </c>
      <c r="J234" s="80">
        <f>SUMIFS(StockInData[Value],StockInData[Product ID],ProductMaster!$B234)-SUMIFS(StockOutData[Value],StockOutData[Product ID],ProductMaster!$B234)</f>
        <v>20</v>
      </c>
    </row>
    <row r="235" spans="1:10" x14ac:dyDescent="0.25">
      <c r="A235" s="75">
        <v>234</v>
      </c>
      <c r="B235" s="76" t="s">
        <v>487</v>
      </c>
      <c r="C235" s="77" t="s">
        <v>488</v>
      </c>
      <c r="D235" s="76" t="s">
        <v>869</v>
      </c>
      <c r="E235" s="76" t="s">
        <v>875</v>
      </c>
      <c r="F235" s="78">
        <v>10</v>
      </c>
      <c r="G235" s="79">
        <f>StockInData[Expiry]</f>
        <v>44379</v>
      </c>
      <c r="H235" s="76">
        <v>25</v>
      </c>
      <c r="I235" s="76">
        <f>SUMIFS(StockInData[Quantity],StockInData[Product ID],ProductMaster!$B235)-SUMIFS(StockOutData[Quantity],StockOutData[Product ID],ProductMaster!$B235)</f>
        <v>41</v>
      </c>
      <c r="J235" s="80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75">
        <v>235</v>
      </c>
      <c r="B236" s="76" t="s">
        <v>489</v>
      </c>
      <c r="C236" s="77" t="s">
        <v>490</v>
      </c>
      <c r="D236" s="76" t="s">
        <v>869</v>
      </c>
      <c r="E236" s="76" t="s">
        <v>875</v>
      </c>
      <c r="F236" s="78">
        <v>10</v>
      </c>
      <c r="G236" s="79">
        <f>StockInData[Expiry]</f>
        <v>44381</v>
      </c>
      <c r="H236" s="76">
        <v>25</v>
      </c>
      <c r="I236" s="76">
        <f>SUMIFS(StockInData[Quantity],StockInData[Product ID],ProductMaster!$B236)-SUMIFS(StockOutData[Quantity],StockOutData[Product ID],ProductMaster!$B236)</f>
        <v>56</v>
      </c>
      <c r="J236" s="80">
        <f>SUMIFS(StockInData[Value],StockInData[Product ID],ProductMaster!$B236)-SUMIFS(StockOutData[Value],StockOutData[Product ID],ProductMaster!$B236)</f>
        <v>152</v>
      </c>
    </row>
    <row r="237" spans="1:10" x14ac:dyDescent="0.25">
      <c r="A237" s="75">
        <v>236</v>
      </c>
      <c r="B237" s="76" t="s">
        <v>491</v>
      </c>
      <c r="C237" s="77" t="s">
        <v>492</v>
      </c>
      <c r="D237" s="76" t="s">
        <v>869</v>
      </c>
      <c r="E237" s="76" t="s">
        <v>875</v>
      </c>
      <c r="F237" s="78">
        <v>10</v>
      </c>
      <c r="G237" s="79">
        <f>StockInData[Expiry]</f>
        <v>44383</v>
      </c>
      <c r="H237" s="76">
        <v>25</v>
      </c>
      <c r="I237" s="76">
        <f>SUMIFS(StockInData[Quantity],StockInData[Product ID],ProductMaster!$B237)-SUMIFS(StockOutData[Quantity],StockOutData[Product ID],ProductMaster!$B237)</f>
        <v>70</v>
      </c>
      <c r="J237" s="80">
        <f>SUMIFS(StockInData[Value],StockInData[Product ID],ProductMaster!$B237)-SUMIFS(StockOutData[Value],StockOutData[Product ID],ProductMaster!$B237)</f>
        <v>175</v>
      </c>
    </row>
    <row r="238" spans="1:10" x14ac:dyDescent="0.25">
      <c r="A238" s="75">
        <v>237</v>
      </c>
      <c r="B238" s="76" t="s">
        <v>493</v>
      </c>
      <c r="C238" s="77" t="s">
        <v>494</v>
      </c>
      <c r="D238" s="76" t="s">
        <v>869</v>
      </c>
      <c r="E238" s="76" t="s">
        <v>875</v>
      </c>
      <c r="F238" s="78">
        <v>10</v>
      </c>
      <c r="G238" s="79">
        <f>StockInData[Expiry]</f>
        <v>44385</v>
      </c>
      <c r="H238" s="76">
        <v>25</v>
      </c>
      <c r="I238" s="76">
        <f>SUMIFS(StockInData[Quantity],StockInData[Product ID],ProductMaster!$B238)-SUMIFS(StockOutData[Quantity],StockOutData[Product ID],ProductMaster!$B238)</f>
        <v>86</v>
      </c>
      <c r="J238" s="80">
        <f>SUMIFS(StockInData[Value],StockInData[Product ID],ProductMaster!$B238)-SUMIFS(StockOutData[Value],StockOutData[Product ID],ProductMaster!$B238)</f>
        <v>215</v>
      </c>
    </row>
    <row r="239" spans="1:10" x14ac:dyDescent="0.25">
      <c r="A239" s="75">
        <v>238</v>
      </c>
      <c r="B239" s="76" t="s">
        <v>495</v>
      </c>
      <c r="C239" s="77" t="s">
        <v>496</v>
      </c>
      <c r="D239" s="76" t="s">
        <v>869</v>
      </c>
      <c r="E239" s="76" t="s">
        <v>875</v>
      </c>
      <c r="F239" s="78">
        <v>10</v>
      </c>
      <c r="G239" s="79">
        <f>StockInData[Expiry]</f>
        <v>44387</v>
      </c>
      <c r="H239" s="76">
        <v>25</v>
      </c>
      <c r="I239" s="76">
        <f>SUMIFS(StockInData[Quantity],StockInData[Product ID],ProductMaster!$B239)-SUMIFS(StockOutData[Quantity],StockOutData[Product ID],ProductMaster!$B239)</f>
        <v>96</v>
      </c>
      <c r="J239" s="80">
        <f>SUMIFS(StockInData[Value],StockInData[Product ID],ProductMaster!$B239)-SUMIFS(StockOutData[Value],StockOutData[Product ID],ProductMaster!$B239)</f>
        <v>240</v>
      </c>
    </row>
    <row r="240" spans="1:10" x14ac:dyDescent="0.25">
      <c r="A240" s="75">
        <v>239</v>
      </c>
      <c r="B240" s="76" t="s">
        <v>497</v>
      </c>
      <c r="C240" s="77" t="s">
        <v>498</v>
      </c>
      <c r="D240" s="76" t="s">
        <v>869</v>
      </c>
      <c r="E240" s="76" t="s">
        <v>875</v>
      </c>
      <c r="F240" s="78">
        <v>10</v>
      </c>
      <c r="G240" s="79">
        <f>StockInData[Expiry]</f>
        <v>44389</v>
      </c>
      <c r="H240" s="76">
        <v>25</v>
      </c>
      <c r="I240" s="76">
        <f>SUMIFS(StockInData[Quantity],StockInData[Product ID],ProductMaster!$B240)-SUMIFS(StockOutData[Quantity],StockOutData[Product ID],ProductMaster!$B240)</f>
        <v>93</v>
      </c>
      <c r="J240" s="80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75">
        <v>240</v>
      </c>
      <c r="B241" s="76" t="s">
        <v>499</v>
      </c>
      <c r="C241" s="77" t="s">
        <v>500</v>
      </c>
      <c r="D241" s="76" t="s">
        <v>869</v>
      </c>
      <c r="E241" s="76" t="s">
        <v>875</v>
      </c>
      <c r="F241" s="78">
        <v>10</v>
      </c>
      <c r="G241" s="79">
        <f>StockInData[Expiry]</f>
        <v>44391</v>
      </c>
      <c r="H241" s="76">
        <v>25</v>
      </c>
      <c r="I241" s="76">
        <f>SUMIFS(StockInData[Quantity],StockInData[Product ID],ProductMaster!$B241)-SUMIFS(StockOutData[Quantity],StockOutData[Product ID],ProductMaster!$B241)</f>
        <v>45</v>
      </c>
      <c r="J241" s="80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75">
        <v>241</v>
      </c>
      <c r="B242" s="76" t="s">
        <v>501</v>
      </c>
      <c r="C242" s="77" t="s">
        <v>502</v>
      </c>
      <c r="D242" s="76" t="s">
        <v>869</v>
      </c>
      <c r="E242" s="76" t="s">
        <v>875</v>
      </c>
      <c r="F242" s="78">
        <v>10</v>
      </c>
      <c r="G242" s="79">
        <f>StockInData[Expiry]</f>
        <v>44393</v>
      </c>
      <c r="H242" s="76">
        <v>25</v>
      </c>
      <c r="I242" s="76">
        <f>SUMIFS(StockInData[Quantity],StockInData[Product ID],ProductMaster!$B242)-SUMIFS(StockOutData[Quantity],StockOutData[Product ID],ProductMaster!$B242)</f>
        <v>22</v>
      </c>
      <c r="J242" s="80">
        <f>SUMIFS(StockInData[Value],StockInData[Product ID],ProductMaster!$B242)-SUMIFS(StockOutData[Value],StockOutData[Product ID],ProductMaster!$B242)</f>
        <v>55</v>
      </c>
    </row>
    <row r="243" spans="1:10" x14ac:dyDescent="0.25">
      <c r="A243" s="75">
        <v>242</v>
      </c>
      <c r="B243" s="76" t="s">
        <v>503</v>
      </c>
      <c r="C243" s="77" t="s">
        <v>504</v>
      </c>
      <c r="D243" s="76" t="s">
        <v>869</v>
      </c>
      <c r="E243" s="76" t="s">
        <v>875</v>
      </c>
      <c r="F243" s="78">
        <v>10</v>
      </c>
      <c r="G243" s="79">
        <f>StockInData[Expiry]</f>
        <v>44395</v>
      </c>
      <c r="H243" s="76">
        <v>25</v>
      </c>
      <c r="I243" s="76">
        <f>SUMIFS(StockInData[Quantity],StockInData[Product ID],ProductMaster!$B243)-SUMIFS(StockOutData[Quantity],StockOutData[Product ID],ProductMaster!$B243)</f>
        <v>18</v>
      </c>
      <c r="J243" s="80">
        <f>SUMIFS(StockInData[Value],StockInData[Product ID],ProductMaster!$B243)-SUMIFS(StockOutData[Value],StockOutData[Product ID],ProductMaster!$B243)</f>
        <v>45</v>
      </c>
    </row>
    <row r="244" spans="1:10" x14ac:dyDescent="0.25">
      <c r="A244" s="75">
        <v>243</v>
      </c>
      <c r="B244" s="76" t="s">
        <v>505</v>
      </c>
      <c r="C244" s="77" t="s">
        <v>506</v>
      </c>
      <c r="D244" s="76" t="s">
        <v>869</v>
      </c>
      <c r="E244" s="76" t="s">
        <v>875</v>
      </c>
      <c r="F244" s="78">
        <v>10</v>
      </c>
      <c r="G244" s="79">
        <f>StockInData[Expiry]</f>
        <v>44397</v>
      </c>
      <c r="H244" s="76">
        <v>25</v>
      </c>
      <c r="I244" s="76">
        <f>SUMIFS(StockInData[Quantity],StockInData[Product ID],ProductMaster!$B244)-SUMIFS(StockOutData[Quantity],StockOutData[Product ID],ProductMaster!$B244)</f>
        <v>11</v>
      </c>
      <c r="J244" s="80">
        <f>SUMIFS(StockInData[Value],StockInData[Product ID],ProductMaster!$B244)-SUMIFS(StockOutData[Value],StockOutData[Product ID],ProductMaster!$B244)</f>
        <v>27.5</v>
      </c>
    </row>
    <row r="245" spans="1:10" x14ac:dyDescent="0.25">
      <c r="A245" s="75">
        <v>244</v>
      </c>
      <c r="B245" s="76" t="s">
        <v>507</v>
      </c>
      <c r="C245" s="77" t="s">
        <v>508</v>
      </c>
      <c r="D245" s="76" t="s">
        <v>869</v>
      </c>
      <c r="E245" s="76" t="s">
        <v>875</v>
      </c>
      <c r="F245" s="78">
        <v>10</v>
      </c>
      <c r="G245" s="79">
        <f>StockInData[Expiry]</f>
        <v>44399</v>
      </c>
      <c r="H245" s="76">
        <v>25</v>
      </c>
      <c r="I245" s="76">
        <f>SUMIFS(StockInData[Quantity],StockInData[Product ID],ProductMaster!$B245)-SUMIFS(StockOutData[Quantity],StockOutData[Product ID],ProductMaster!$B245)</f>
        <v>7</v>
      </c>
      <c r="J245" s="80">
        <f>SUMIFS(StockInData[Value],StockInData[Product ID],ProductMaster!$B245)-SUMIFS(StockOutData[Value],StockOutData[Product ID],ProductMaster!$B245)</f>
        <v>17.5</v>
      </c>
    </row>
    <row r="246" spans="1:10" x14ac:dyDescent="0.25">
      <c r="A246" s="75">
        <v>245</v>
      </c>
      <c r="B246" s="76" t="s">
        <v>509</v>
      </c>
      <c r="C246" s="77" t="s">
        <v>510</v>
      </c>
      <c r="D246" s="76" t="s">
        <v>869</v>
      </c>
      <c r="E246" s="76" t="s">
        <v>875</v>
      </c>
      <c r="F246" s="78">
        <v>10</v>
      </c>
      <c r="G246" s="79">
        <f>StockInData[Expiry]</f>
        <v>44401</v>
      </c>
      <c r="H246" s="76">
        <v>25</v>
      </c>
      <c r="I246" s="76">
        <f>SUMIFS(StockInData[Quantity],StockInData[Product ID],ProductMaster!$B246)-SUMIFS(StockOutData[Quantity],StockOutData[Product ID],ProductMaster!$B246)</f>
        <v>14</v>
      </c>
      <c r="J246" s="80">
        <f>SUMIFS(StockInData[Value],StockInData[Product ID],ProductMaster!$B246)-SUMIFS(StockOutData[Value],StockOutData[Product ID],ProductMaster!$B246)</f>
        <v>35</v>
      </c>
    </row>
    <row r="247" spans="1:10" x14ac:dyDescent="0.25">
      <c r="A247" s="75">
        <v>246</v>
      </c>
      <c r="B247" s="76" t="s">
        <v>511</v>
      </c>
      <c r="C247" s="77" t="s">
        <v>512</v>
      </c>
      <c r="D247" s="76" t="s">
        <v>869</v>
      </c>
      <c r="E247" s="76" t="s">
        <v>875</v>
      </c>
      <c r="F247" s="78">
        <v>10</v>
      </c>
      <c r="G247" s="79">
        <f>StockInData[Expiry]</f>
        <v>44403</v>
      </c>
      <c r="H247" s="76">
        <v>25</v>
      </c>
      <c r="I247" s="76">
        <f>SUMIFS(StockInData[Quantity],StockInData[Product ID],ProductMaster!$B247)-SUMIFS(StockOutData[Quantity],StockOutData[Product ID],ProductMaster!$B247)</f>
        <v>10</v>
      </c>
      <c r="J247" s="80">
        <f>SUMIFS(StockInData[Value],StockInData[Product ID],ProductMaster!$B247)-SUMIFS(StockOutData[Value],StockOutData[Product ID],ProductMaster!$B247)</f>
        <v>34.06</v>
      </c>
    </row>
    <row r="248" spans="1:10" x14ac:dyDescent="0.25">
      <c r="A248" s="75">
        <v>247</v>
      </c>
      <c r="B248" s="76" t="s">
        <v>513</v>
      </c>
      <c r="C248" s="77" t="s">
        <v>514</v>
      </c>
      <c r="D248" s="76" t="s">
        <v>869</v>
      </c>
      <c r="E248" s="76" t="s">
        <v>875</v>
      </c>
      <c r="F248" s="78">
        <v>10</v>
      </c>
      <c r="G248" s="79">
        <f>StockInData[Expiry]</f>
        <v>44405</v>
      </c>
      <c r="H248" s="76">
        <v>25</v>
      </c>
      <c r="I248" s="76">
        <f>SUMIFS(StockInData[Quantity],StockInData[Product ID],ProductMaster!$B248)-SUMIFS(StockOutData[Quantity],StockOutData[Product ID],ProductMaster!$B248)</f>
        <v>50</v>
      </c>
      <c r="J248" s="80">
        <f>SUMIFS(StockInData[Value],StockInData[Product ID],ProductMaster!$B248)-SUMIFS(StockOutData[Value],StockOutData[Product ID],ProductMaster!$B248)</f>
        <v>125</v>
      </c>
    </row>
    <row r="249" spans="1:10" x14ac:dyDescent="0.25">
      <c r="A249" s="75">
        <v>248</v>
      </c>
      <c r="B249" s="76" t="s">
        <v>515</v>
      </c>
      <c r="C249" s="77" t="s">
        <v>516</v>
      </c>
      <c r="D249" s="76" t="s">
        <v>869</v>
      </c>
      <c r="E249" s="76" t="s">
        <v>875</v>
      </c>
      <c r="F249" s="78">
        <v>10</v>
      </c>
      <c r="G249" s="79">
        <f>StockInData[Expiry]</f>
        <v>44407</v>
      </c>
      <c r="H249" s="76">
        <v>25</v>
      </c>
      <c r="I249" s="76">
        <f>SUMIFS(StockInData[Quantity],StockInData[Product ID],ProductMaster!$B249)-SUMIFS(StockOutData[Quantity],StockOutData[Product ID],ProductMaster!$B249)</f>
        <v>56</v>
      </c>
      <c r="J249" s="80">
        <f>SUMIFS(StockInData[Value],StockInData[Product ID],ProductMaster!$B249)-SUMIFS(StockOutData[Value],StockOutData[Product ID],ProductMaster!$B249)</f>
        <v>140</v>
      </c>
    </row>
    <row r="250" spans="1:10" x14ac:dyDescent="0.25">
      <c r="A250" s="75">
        <v>249</v>
      </c>
      <c r="B250" s="76" t="s">
        <v>517</v>
      </c>
      <c r="C250" s="77" t="s">
        <v>518</v>
      </c>
      <c r="D250" s="76" t="s">
        <v>869</v>
      </c>
      <c r="E250" s="76" t="s">
        <v>875</v>
      </c>
      <c r="F250" s="78">
        <v>10</v>
      </c>
      <c r="G250" s="79">
        <f>StockInData[Expiry]</f>
        <v>44409</v>
      </c>
      <c r="H250" s="76">
        <v>25</v>
      </c>
      <c r="I250" s="76">
        <f>SUMIFS(StockInData[Quantity],StockInData[Product ID],ProductMaster!$B250)-SUMIFS(StockOutData[Quantity],StockOutData[Product ID],ProductMaster!$B250)</f>
        <v>72</v>
      </c>
      <c r="J250" s="80">
        <f>SUMIFS(StockInData[Value],StockInData[Product ID],ProductMaster!$B250)-SUMIFS(StockOutData[Value],StockOutData[Product ID],ProductMaster!$B250)</f>
        <v>180</v>
      </c>
    </row>
    <row r="251" spans="1:10" x14ac:dyDescent="0.25">
      <c r="A251" s="75">
        <v>250</v>
      </c>
      <c r="B251" s="76" t="s">
        <v>519</v>
      </c>
      <c r="C251" s="77" t="s">
        <v>520</v>
      </c>
      <c r="D251" s="76" t="s">
        <v>869</v>
      </c>
      <c r="E251" s="76" t="s">
        <v>875</v>
      </c>
      <c r="F251" s="78">
        <v>10</v>
      </c>
      <c r="G251" s="79">
        <f>StockInData[Expiry]</f>
        <v>44411</v>
      </c>
      <c r="H251" s="76">
        <v>25</v>
      </c>
      <c r="I251" s="76">
        <f>SUMIFS(StockInData[Quantity],StockInData[Product ID],ProductMaster!$B251)-SUMIFS(StockOutData[Quantity],StockOutData[Product ID],ProductMaster!$B251)</f>
        <v>89</v>
      </c>
      <c r="J251" s="80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75">
        <v>251</v>
      </c>
      <c r="B252" s="76" t="s">
        <v>521</v>
      </c>
      <c r="C252" s="77" t="s">
        <v>522</v>
      </c>
      <c r="D252" s="76" t="s">
        <v>869</v>
      </c>
      <c r="E252" s="76" t="s">
        <v>875</v>
      </c>
      <c r="F252" s="78">
        <v>10</v>
      </c>
      <c r="G252" s="79">
        <f>StockInData[Expiry]</f>
        <v>44413</v>
      </c>
      <c r="H252" s="76">
        <v>25</v>
      </c>
      <c r="I252" s="76">
        <f>SUMIFS(StockInData[Quantity],StockInData[Product ID],ProductMaster!$B252)-SUMIFS(StockOutData[Quantity],StockOutData[Product ID],ProductMaster!$B252)</f>
        <v>91</v>
      </c>
      <c r="J252" s="80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75">
        <v>252</v>
      </c>
      <c r="B253" s="76" t="s">
        <v>523</v>
      </c>
      <c r="C253" s="77" t="s">
        <v>524</v>
      </c>
      <c r="D253" s="76" t="s">
        <v>869</v>
      </c>
      <c r="E253" s="76" t="s">
        <v>875</v>
      </c>
      <c r="F253" s="78">
        <v>10</v>
      </c>
      <c r="G253" s="79">
        <f>StockInData[Expiry]</f>
        <v>44415</v>
      </c>
      <c r="H253" s="76">
        <v>25</v>
      </c>
      <c r="I253" s="76">
        <f>SUMIFS(StockInData[Quantity],StockInData[Product ID],ProductMaster!$B253)-SUMIFS(StockOutData[Quantity],StockOutData[Product ID],ProductMaster!$B253)</f>
        <v>90</v>
      </c>
      <c r="J253" s="80">
        <f>SUMIFS(StockInData[Value],StockInData[Product ID],ProductMaster!$B253)-SUMIFS(StockOutData[Value],StockOutData[Product ID],ProductMaster!$B253)</f>
        <v>225</v>
      </c>
    </row>
    <row r="254" spans="1:10" x14ac:dyDescent="0.25">
      <c r="A254" s="75">
        <v>253</v>
      </c>
      <c r="B254" s="76" t="s">
        <v>525</v>
      </c>
      <c r="C254" s="77" t="s">
        <v>526</v>
      </c>
      <c r="D254" s="76" t="s">
        <v>869</v>
      </c>
      <c r="E254" s="76" t="s">
        <v>875</v>
      </c>
      <c r="F254" s="78">
        <v>10</v>
      </c>
      <c r="G254" s="79">
        <f>StockInData[Expiry]</f>
        <v>44417</v>
      </c>
      <c r="H254" s="76">
        <v>25</v>
      </c>
      <c r="I254" s="76">
        <f>SUMIFS(StockInData[Quantity],StockInData[Product ID],ProductMaster!$B254)-SUMIFS(StockOutData[Quantity],StockOutData[Product ID],ProductMaster!$B254)</f>
        <v>90</v>
      </c>
      <c r="J254" s="80">
        <f>SUMIFS(StockInData[Value],StockInData[Product ID],ProductMaster!$B254)-SUMIFS(StockOutData[Value],StockOutData[Product ID],ProductMaster!$B254)</f>
        <v>225</v>
      </c>
    </row>
    <row r="255" spans="1:10" x14ac:dyDescent="0.25">
      <c r="A255" s="75">
        <v>254</v>
      </c>
      <c r="B255" s="76" t="s">
        <v>527</v>
      </c>
      <c r="C255" s="77" t="s">
        <v>528</v>
      </c>
      <c r="D255" s="76" t="s">
        <v>869</v>
      </c>
      <c r="E255" s="76" t="s">
        <v>875</v>
      </c>
      <c r="F255" s="78">
        <v>10</v>
      </c>
      <c r="G255" s="79">
        <f>StockInData[Expiry]</f>
        <v>44419</v>
      </c>
      <c r="H255" s="76">
        <v>25</v>
      </c>
      <c r="I255" s="76">
        <f>SUMIFS(StockInData[Quantity],StockInData[Product ID],ProductMaster!$B255)-SUMIFS(StockOutData[Quantity],StockOutData[Product ID],ProductMaster!$B255)</f>
        <v>93</v>
      </c>
      <c r="J255" s="80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75">
        <v>255</v>
      </c>
      <c r="B256" s="76" t="s">
        <v>529</v>
      </c>
      <c r="C256" s="77" t="s">
        <v>530</v>
      </c>
      <c r="D256" s="76" t="s">
        <v>869</v>
      </c>
      <c r="E256" s="76" t="s">
        <v>875</v>
      </c>
      <c r="F256" s="78">
        <v>10</v>
      </c>
      <c r="G256" s="79">
        <f>StockInData[Expiry]</f>
        <v>44421</v>
      </c>
      <c r="H256" s="76">
        <v>25</v>
      </c>
      <c r="I256" s="76">
        <f>SUMIFS(StockInData[Quantity],StockInData[Product ID],ProductMaster!$B256)-SUMIFS(StockOutData[Quantity],StockOutData[Product ID],ProductMaster!$B256)</f>
        <v>85</v>
      </c>
      <c r="J256" s="80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75">
        <v>256</v>
      </c>
      <c r="B257" s="76" t="s">
        <v>531</v>
      </c>
      <c r="C257" s="77" t="s">
        <v>532</v>
      </c>
      <c r="D257" s="76" t="s">
        <v>869</v>
      </c>
      <c r="E257" s="76" t="s">
        <v>875</v>
      </c>
      <c r="F257" s="78">
        <v>10</v>
      </c>
      <c r="G257" s="79">
        <f>StockInData[Expiry]</f>
        <v>44423</v>
      </c>
      <c r="H257" s="76">
        <v>25</v>
      </c>
      <c r="I257" s="76">
        <f>SUMIFS(StockInData[Quantity],StockInData[Product ID],ProductMaster!$B257)-SUMIFS(StockOutData[Quantity],StockOutData[Product ID],ProductMaster!$B257)</f>
        <v>82</v>
      </c>
      <c r="J257" s="80">
        <f>SUMIFS(StockInData[Value],StockInData[Product ID],ProductMaster!$B257)-SUMIFS(StockOutData[Value],StockOutData[Product ID],ProductMaster!$B257)</f>
        <v>205</v>
      </c>
    </row>
    <row r="258" spans="1:10" x14ac:dyDescent="0.25">
      <c r="A258" s="75">
        <v>257</v>
      </c>
      <c r="B258" s="76" t="s">
        <v>533</v>
      </c>
      <c r="C258" s="77" t="s">
        <v>534</v>
      </c>
      <c r="D258" s="76" t="s">
        <v>869</v>
      </c>
      <c r="E258" s="76" t="s">
        <v>875</v>
      </c>
      <c r="F258" s="78">
        <v>10</v>
      </c>
      <c r="G258" s="79">
        <f>StockInData[Expiry]</f>
        <v>44425</v>
      </c>
      <c r="H258" s="76">
        <v>25</v>
      </c>
      <c r="I258" s="76">
        <f>SUMIFS(StockInData[Quantity],StockInData[Product ID],ProductMaster!$B258)-SUMIFS(StockOutData[Quantity],StockOutData[Product ID],ProductMaster!$B258)</f>
        <v>88</v>
      </c>
      <c r="J258" s="80">
        <f>SUMIFS(StockInData[Value],StockInData[Product ID],ProductMaster!$B258)-SUMIFS(StockOutData[Value],StockOutData[Product ID],ProductMaster!$B258)</f>
        <v>220</v>
      </c>
    </row>
    <row r="259" spans="1:10" x14ac:dyDescent="0.25">
      <c r="A259" s="75">
        <v>258</v>
      </c>
      <c r="B259" s="76" t="s">
        <v>535</v>
      </c>
      <c r="C259" s="77" t="s">
        <v>536</v>
      </c>
      <c r="D259" s="76" t="s">
        <v>869</v>
      </c>
      <c r="E259" s="76" t="s">
        <v>875</v>
      </c>
      <c r="F259" s="78">
        <v>10</v>
      </c>
      <c r="G259" s="79">
        <f>StockInData[Expiry]</f>
        <v>44427</v>
      </c>
      <c r="H259" s="76">
        <v>25</v>
      </c>
      <c r="I259" s="76">
        <f>SUMIFS(StockInData[Quantity],StockInData[Product ID],ProductMaster!$B259)-SUMIFS(StockOutData[Quantity],StockOutData[Product ID],ProductMaster!$B259)</f>
        <v>26</v>
      </c>
      <c r="J259" s="80">
        <f>SUMIFS(StockInData[Value],StockInData[Product ID],ProductMaster!$B259)-SUMIFS(StockOutData[Value],StockOutData[Product ID],ProductMaster!$B259)</f>
        <v>65</v>
      </c>
    </row>
    <row r="260" spans="1:10" x14ac:dyDescent="0.25">
      <c r="A260" s="75">
        <v>259</v>
      </c>
      <c r="B260" s="76" t="s">
        <v>537</v>
      </c>
      <c r="C260" s="77" t="s">
        <v>538</v>
      </c>
      <c r="D260" s="76" t="s">
        <v>869</v>
      </c>
      <c r="E260" s="76" t="s">
        <v>875</v>
      </c>
      <c r="F260" s="78">
        <v>10</v>
      </c>
      <c r="G260" s="79">
        <f>StockInData[Expiry]</f>
        <v>44429</v>
      </c>
      <c r="H260" s="76">
        <v>25</v>
      </c>
      <c r="I260" s="76">
        <f>SUMIFS(StockInData[Quantity],StockInData[Product ID],ProductMaster!$B260)-SUMIFS(StockOutData[Quantity],StockOutData[Product ID],ProductMaster!$B260)</f>
        <v>17</v>
      </c>
      <c r="J260" s="80">
        <f>SUMIFS(StockInData[Value],StockInData[Product ID],ProductMaster!$B260)-SUMIFS(StockOutData[Value],StockOutData[Product ID],ProductMaster!$B260)</f>
        <v>42.5</v>
      </c>
    </row>
    <row r="261" spans="1:10" x14ac:dyDescent="0.25">
      <c r="A261" s="75">
        <v>260</v>
      </c>
      <c r="B261" s="76" t="s">
        <v>539</v>
      </c>
      <c r="C261" s="77" t="s">
        <v>540</v>
      </c>
      <c r="D261" s="76" t="s">
        <v>869</v>
      </c>
      <c r="E261" s="76" t="s">
        <v>875</v>
      </c>
      <c r="F261" s="78">
        <v>10</v>
      </c>
      <c r="G261" s="79">
        <f>StockInData[Expiry]</f>
        <v>44431</v>
      </c>
      <c r="H261" s="76">
        <v>25</v>
      </c>
      <c r="I261" s="76">
        <f>SUMIFS(StockInData[Quantity],StockInData[Product ID],ProductMaster!$B261)-SUMIFS(StockOutData[Quantity],StockOutData[Product ID],ProductMaster!$B261)</f>
        <v>20</v>
      </c>
      <c r="J261" s="80">
        <f>SUMIFS(StockInData[Value],StockInData[Product ID],ProductMaster!$B261)-SUMIFS(StockOutData[Value],StockOutData[Product ID],ProductMaster!$B261)</f>
        <v>50</v>
      </c>
    </row>
    <row r="262" spans="1:10" x14ac:dyDescent="0.25">
      <c r="A262" s="75">
        <v>261</v>
      </c>
      <c r="B262" s="76" t="s">
        <v>541</v>
      </c>
      <c r="C262" s="77" t="s">
        <v>542</v>
      </c>
      <c r="D262" s="76" t="s">
        <v>869</v>
      </c>
      <c r="E262" s="76" t="s">
        <v>875</v>
      </c>
      <c r="F262" s="78">
        <v>10</v>
      </c>
      <c r="G262" s="79">
        <f>StockInData[Expiry]</f>
        <v>44433</v>
      </c>
      <c r="H262" s="76">
        <v>25</v>
      </c>
      <c r="I262" s="76">
        <f>SUMIFS(StockInData[Quantity],StockInData[Product ID],ProductMaster!$B262)-SUMIFS(StockOutData[Quantity],StockOutData[Product ID],ProductMaster!$B262)</f>
        <v>13</v>
      </c>
      <c r="J262" s="80">
        <f>SUMIFS(StockInData[Value],StockInData[Product ID],ProductMaster!$B262)-SUMIFS(StockOutData[Value],StockOutData[Product ID],ProductMaster!$B262)</f>
        <v>32.5</v>
      </c>
    </row>
    <row r="263" spans="1:10" x14ac:dyDescent="0.25">
      <c r="A263" s="75">
        <v>262</v>
      </c>
      <c r="B263" s="76" t="s">
        <v>543</v>
      </c>
      <c r="C263" s="77" t="s">
        <v>544</v>
      </c>
      <c r="D263" s="76" t="s">
        <v>869</v>
      </c>
      <c r="E263" s="76" t="s">
        <v>875</v>
      </c>
      <c r="F263" s="78">
        <v>10</v>
      </c>
      <c r="G263" s="79">
        <f>StockInData[Expiry]</f>
        <v>44435</v>
      </c>
      <c r="H263" s="76">
        <v>25</v>
      </c>
      <c r="I263" s="76">
        <f>SUMIFS(StockInData[Quantity],StockInData[Product ID],ProductMaster!$B263)-SUMIFS(StockOutData[Quantity],StockOutData[Product ID],ProductMaster!$B263)</f>
        <v>4</v>
      </c>
      <c r="J263" s="80">
        <f>SUMIFS(StockInData[Value],StockInData[Product ID],ProductMaster!$B263)-SUMIFS(StockOutData[Value],StockOutData[Product ID],ProductMaster!$B263)</f>
        <v>10</v>
      </c>
    </row>
    <row r="264" spans="1:10" x14ac:dyDescent="0.25">
      <c r="A264" s="75">
        <v>263</v>
      </c>
      <c r="B264" s="76" t="s">
        <v>545</v>
      </c>
      <c r="C264" s="77" t="s">
        <v>546</v>
      </c>
      <c r="D264" s="76" t="s">
        <v>869</v>
      </c>
      <c r="E264" s="76" t="s">
        <v>875</v>
      </c>
      <c r="F264" s="78">
        <v>10</v>
      </c>
      <c r="G264" s="79">
        <f>StockInData[Expiry]</f>
        <v>44437</v>
      </c>
      <c r="H264" s="76">
        <v>25</v>
      </c>
      <c r="I264" s="76">
        <f>SUMIFS(StockInData[Quantity],StockInData[Product ID],ProductMaster!$B264)-SUMIFS(StockOutData[Quantity],StockOutData[Product ID],ProductMaster!$B264)</f>
        <v>5</v>
      </c>
      <c r="J264" s="80">
        <f>SUMIFS(StockInData[Value],StockInData[Product ID],ProductMaster!$B264)-SUMIFS(StockOutData[Value],StockOutData[Product ID],ProductMaster!$B264)</f>
        <v>12.5</v>
      </c>
    </row>
    <row r="265" spans="1:10" x14ac:dyDescent="0.25">
      <c r="A265" s="75">
        <v>264</v>
      </c>
      <c r="B265" s="76" t="s">
        <v>547</v>
      </c>
      <c r="C265" s="77" t="s">
        <v>548</v>
      </c>
      <c r="D265" s="76" t="s">
        <v>869</v>
      </c>
      <c r="E265" s="76" t="s">
        <v>875</v>
      </c>
      <c r="F265" s="78">
        <v>10</v>
      </c>
      <c r="G265" s="79">
        <f>StockInData[Expiry]</f>
        <v>44439</v>
      </c>
      <c r="H265" s="76">
        <v>25</v>
      </c>
      <c r="I265" s="76">
        <f>SUMIFS(StockInData[Quantity],StockInData[Product ID],ProductMaster!$B265)-SUMIFS(StockOutData[Quantity],StockOutData[Product ID],ProductMaster!$B265)</f>
        <v>53</v>
      </c>
      <c r="J265" s="80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75">
        <v>265</v>
      </c>
      <c r="B266" s="76" t="s">
        <v>549</v>
      </c>
      <c r="C266" s="77" t="s">
        <v>550</v>
      </c>
      <c r="D266" s="76" t="s">
        <v>869</v>
      </c>
      <c r="E266" s="76" t="s">
        <v>875</v>
      </c>
      <c r="F266" s="78">
        <v>10</v>
      </c>
      <c r="G266" s="79">
        <f>StockInData[Expiry]</f>
        <v>44441</v>
      </c>
      <c r="H266" s="76">
        <v>25</v>
      </c>
      <c r="I266" s="76">
        <f>SUMIFS(StockInData[Quantity],StockInData[Product ID],ProductMaster!$B266)-SUMIFS(StockOutData[Quantity],StockOutData[Product ID],ProductMaster!$B266)</f>
        <v>60</v>
      </c>
      <c r="J266" s="80">
        <f>SUMIFS(StockInData[Value],StockInData[Product ID],ProductMaster!$B266)-SUMIFS(StockOutData[Value],StockOutData[Product ID],ProductMaster!$B266)</f>
        <v>150</v>
      </c>
    </row>
    <row r="267" spans="1:10" x14ac:dyDescent="0.25">
      <c r="A267" s="75">
        <v>266</v>
      </c>
      <c r="B267" s="76" t="s">
        <v>551</v>
      </c>
      <c r="C267" s="77" t="s">
        <v>552</v>
      </c>
      <c r="D267" s="76" t="s">
        <v>869</v>
      </c>
      <c r="E267" s="76" t="s">
        <v>875</v>
      </c>
      <c r="F267" s="78">
        <v>10</v>
      </c>
      <c r="G267" s="79">
        <f>StockInData[Expiry]</f>
        <v>44443</v>
      </c>
      <c r="H267" s="76">
        <v>25</v>
      </c>
      <c r="I267" s="76">
        <f>SUMIFS(StockInData[Quantity],StockInData[Product ID],ProductMaster!$B267)-SUMIFS(StockOutData[Quantity],StockOutData[Product ID],ProductMaster!$B267)</f>
        <v>71</v>
      </c>
      <c r="J267" s="80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75">
        <v>267</v>
      </c>
      <c r="B268" s="76" t="s">
        <v>553</v>
      </c>
      <c r="C268" s="77" t="s">
        <v>554</v>
      </c>
      <c r="D268" s="76" t="s">
        <v>869</v>
      </c>
      <c r="E268" s="76" t="s">
        <v>875</v>
      </c>
      <c r="F268" s="78">
        <v>10</v>
      </c>
      <c r="G268" s="79">
        <f>StockInData[Expiry]</f>
        <v>44445</v>
      </c>
      <c r="H268" s="76">
        <v>25</v>
      </c>
      <c r="I268" s="76">
        <f>SUMIFS(StockInData[Quantity],StockInData[Product ID],ProductMaster!$B268)-SUMIFS(StockOutData[Quantity],StockOutData[Product ID],ProductMaster!$B268)</f>
        <v>94</v>
      </c>
      <c r="J268" s="80">
        <f>SUMIFS(StockInData[Value],StockInData[Product ID],ProductMaster!$B268)-SUMIFS(StockOutData[Value],StockOutData[Product ID],ProductMaster!$B268)</f>
        <v>235</v>
      </c>
    </row>
    <row r="269" spans="1:10" x14ac:dyDescent="0.25">
      <c r="A269" s="75">
        <v>268</v>
      </c>
      <c r="B269" s="76" t="s">
        <v>555</v>
      </c>
      <c r="C269" s="77" t="s">
        <v>556</v>
      </c>
      <c r="D269" s="76" t="s">
        <v>869</v>
      </c>
      <c r="E269" s="76" t="s">
        <v>875</v>
      </c>
      <c r="F269" s="78">
        <v>10</v>
      </c>
      <c r="G269" s="79">
        <f>StockInData[Expiry]</f>
        <v>44447</v>
      </c>
      <c r="H269" s="76">
        <v>25</v>
      </c>
      <c r="I269" s="76">
        <f>SUMIFS(StockInData[Quantity],StockInData[Product ID],ProductMaster!$B269)-SUMIFS(StockOutData[Quantity],StockOutData[Product ID],ProductMaster!$B269)</f>
        <v>94</v>
      </c>
      <c r="J269" s="80">
        <f>SUMIFS(StockInData[Value],StockInData[Product ID],ProductMaster!$B269)-SUMIFS(StockOutData[Value],StockOutData[Product ID],ProductMaster!$B269)</f>
        <v>235</v>
      </c>
    </row>
    <row r="270" spans="1:10" x14ac:dyDescent="0.25">
      <c r="A270" s="75">
        <v>269</v>
      </c>
      <c r="B270" s="76" t="s">
        <v>557</v>
      </c>
      <c r="C270" s="77" t="s">
        <v>558</v>
      </c>
      <c r="D270" s="76" t="s">
        <v>869</v>
      </c>
      <c r="E270" s="76" t="s">
        <v>875</v>
      </c>
      <c r="F270" s="78">
        <v>10</v>
      </c>
      <c r="G270" s="79">
        <f>StockInData[Expiry]</f>
        <v>44449</v>
      </c>
      <c r="H270" s="76">
        <v>25</v>
      </c>
      <c r="I270" s="76">
        <f>SUMIFS(StockInData[Quantity],StockInData[Product ID],ProductMaster!$B270)-SUMIFS(StockOutData[Quantity],StockOutData[Product ID],ProductMaster!$B270)</f>
        <v>45</v>
      </c>
      <c r="J270" s="80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75">
        <v>270</v>
      </c>
      <c r="B271" s="76" t="s">
        <v>559</v>
      </c>
      <c r="C271" s="77" t="s">
        <v>560</v>
      </c>
      <c r="D271" s="76" t="s">
        <v>869</v>
      </c>
      <c r="E271" s="76" t="s">
        <v>875</v>
      </c>
      <c r="F271" s="78">
        <v>10</v>
      </c>
      <c r="G271" s="79">
        <f>StockInData[Expiry]</f>
        <v>44451</v>
      </c>
      <c r="H271" s="76">
        <v>25</v>
      </c>
      <c r="I271" s="76">
        <f>SUMIFS(StockInData[Quantity],StockInData[Product ID],ProductMaster!$B271)-SUMIFS(StockOutData[Quantity],StockOutData[Product ID],ProductMaster!$B271)</f>
        <v>22</v>
      </c>
      <c r="J271" s="80">
        <f>SUMIFS(StockInData[Value],StockInData[Product ID],ProductMaster!$B271)-SUMIFS(StockOutData[Value],StockOutData[Product ID],ProductMaster!$B271)</f>
        <v>55</v>
      </c>
    </row>
    <row r="272" spans="1:10" x14ac:dyDescent="0.25">
      <c r="A272" s="75">
        <v>271</v>
      </c>
      <c r="B272" s="76" t="s">
        <v>561</v>
      </c>
      <c r="C272" s="77" t="s">
        <v>562</v>
      </c>
      <c r="D272" s="76" t="s">
        <v>869</v>
      </c>
      <c r="E272" s="76" t="s">
        <v>875</v>
      </c>
      <c r="F272" s="78">
        <v>10</v>
      </c>
      <c r="G272" s="79">
        <f>StockInData[Expiry]</f>
        <v>44453</v>
      </c>
      <c r="H272" s="76">
        <v>25</v>
      </c>
      <c r="I272" s="76">
        <f>SUMIFS(StockInData[Quantity],StockInData[Product ID],ProductMaster!$B272)-SUMIFS(StockOutData[Quantity],StockOutData[Product ID],ProductMaster!$B272)</f>
        <v>18</v>
      </c>
      <c r="J272" s="80">
        <f>SUMIFS(StockInData[Value],StockInData[Product ID],ProductMaster!$B272)-SUMIFS(StockOutData[Value],StockOutData[Product ID],ProductMaster!$B272)</f>
        <v>45</v>
      </c>
    </row>
    <row r="273" spans="1:10" x14ac:dyDescent="0.25">
      <c r="A273" s="75">
        <v>272</v>
      </c>
      <c r="B273" s="76" t="s">
        <v>563</v>
      </c>
      <c r="C273" s="77" t="s">
        <v>564</v>
      </c>
      <c r="D273" s="76" t="s">
        <v>869</v>
      </c>
      <c r="E273" s="76" t="s">
        <v>875</v>
      </c>
      <c r="F273" s="78">
        <v>10</v>
      </c>
      <c r="G273" s="79">
        <f>StockInData[Expiry]</f>
        <v>44455</v>
      </c>
      <c r="H273" s="76">
        <v>25</v>
      </c>
      <c r="I273" s="76">
        <f>SUMIFS(StockInData[Quantity],StockInData[Product ID],ProductMaster!$B273)-SUMIFS(StockOutData[Quantity],StockOutData[Product ID],ProductMaster!$B273)</f>
        <v>15</v>
      </c>
      <c r="J273" s="80">
        <f>SUMIFS(StockInData[Value],StockInData[Product ID],ProductMaster!$B273)-SUMIFS(StockOutData[Value],StockOutData[Product ID],ProductMaster!$B273)</f>
        <v>37.5</v>
      </c>
    </row>
    <row r="274" spans="1:10" x14ac:dyDescent="0.25">
      <c r="A274" s="75">
        <v>273</v>
      </c>
      <c r="B274" s="76" t="s">
        <v>565</v>
      </c>
      <c r="C274" s="77" t="s">
        <v>566</v>
      </c>
      <c r="D274" s="76" t="s">
        <v>869</v>
      </c>
      <c r="E274" s="76" t="s">
        <v>875</v>
      </c>
      <c r="F274" s="78">
        <v>10</v>
      </c>
      <c r="G274" s="79">
        <f>StockInData[Expiry]</f>
        <v>44457</v>
      </c>
      <c r="H274" s="76">
        <v>25</v>
      </c>
      <c r="I274" s="76">
        <f>SUMIFS(StockInData[Quantity],StockInData[Product ID],ProductMaster!$B274)-SUMIFS(StockOutData[Quantity],StockOutData[Product ID],ProductMaster!$B274)</f>
        <v>10</v>
      </c>
      <c r="J274" s="80">
        <f>SUMIFS(StockInData[Value],StockInData[Product ID],ProductMaster!$B274)-SUMIFS(StockOutData[Value],StockOutData[Product ID],ProductMaster!$B274)</f>
        <v>25</v>
      </c>
    </row>
    <row r="275" spans="1:10" x14ac:dyDescent="0.25">
      <c r="A275" s="75">
        <v>274</v>
      </c>
      <c r="B275" s="76" t="s">
        <v>567</v>
      </c>
      <c r="C275" s="77" t="s">
        <v>568</v>
      </c>
      <c r="D275" s="76" t="s">
        <v>869</v>
      </c>
      <c r="E275" s="76" t="s">
        <v>875</v>
      </c>
      <c r="F275" s="78">
        <v>10</v>
      </c>
      <c r="G275" s="79">
        <f>StockInData[Expiry]</f>
        <v>44459</v>
      </c>
      <c r="H275" s="76">
        <v>25</v>
      </c>
      <c r="I275" s="76">
        <f>SUMIFS(StockInData[Quantity],StockInData[Product ID],ProductMaster!$B275)-SUMIFS(StockOutData[Quantity],StockOutData[Product ID],ProductMaster!$B275)</f>
        <v>9</v>
      </c>
      <c r="J275" s="80">
        <f>SUMIFS(StockInData[Value],StockInData[Product ID],ProductMaster!$B275)-SUMIFS(StockOutData[Value],StockOutData[Product ID],ProductMaster!$B275)</f>
        <v>22.5</v>
      </c>
    </row>
    <row r="276" spans="1:10" x14ac:dyDescent="0.25">
      <c r="A276" s="75">
        <v>275</v>
      </c>
      <c r="B276" s="76" t="s">
        <v>569</v>
      </c>
      <c r="C276" s="77" t="s">
        <v>570</v>
      </c>
      <c r="D276" s="76" t="s">
        <v>869</v>
      </c>
      <c r="E276" s="76" t="s">
        <v>875</v>
      </c>
      <c r="F276" s="78">
        <v>10</v>
      </c>
      <c r="G276" s="79">
        <f>StockInData[Expiry]</f>
        <v>44461</v>
      </c>
      <c r="H276" s="76">
        <v>25</v>
      </c>
      <c r="I276" s="76">
        <f>SUMIFS(StockInData[Quantity],StockInData[Product ID],ProductMaster!$B276)-SUMIFS(StockOutData[Quantity],StockOutData[Product ID],ProductMaster!$B276)</f>
        <v>13</v>
      </c>
      <c r="J276" s="80">
        <f>SUMIFS(StockInData[Value],StockInData[Product ID],ProductMaster!$B276)-SUMIFS(StockOutData[Value],StockOutData[Product ID],ProductMaster!$B276)</f>
        <v>32.5</v>
      </c>
    </row>
    <row r="277" spans="1:10" x14ac:dyDescent="0.25">
      <c r="A277" s="75">
        <v>276</v>
      </c>
      <c r="B277" s="76" t="s">
        <v>571</v>
      </c>
      <c r="C277" s="77" t="s">
        <v>572</v>
      </c>
      <c r="D277" s="76" t="s">
        <v>869</v>
      </c>
      <c r="E277" s="76" t="s">
        <v>875</v>
      </c>
      <c r="F277" s="78">
        <v>10</v>
      </c>
      <c r="G277" s="79">
        <f>StockInData[Expiry]</f>
        <v>44463</v>
      </c>
      <c r="H277" s="76">
        <v>25</v>
      </c>
      <c r="I277" s="76">
        <f>SUMIFS(StockInData[Quantity],StockInData[Product ID],ProductMaster!$B277)-SUMIFS(StockOutData[Quantity],StockOutData[Product ID],ProductMaster!$B277)</f>
        <v>58</v>
      </c>
      <c r="J277" s="80">
        <f>SUMIFS(StockInData[Value],StockInData[Product ID],ProductMaster!$B277)-SUMIFS(StockOutData[Value],StockOutData[Product ID],ProductMaster!$B277)</f>
        <v>145</v>
      </c>
    </row>
    <row r="278" spans="1:10" x14ac:dyDescent="0.25">
      <c r="A278" s="75">
        <v>277</v>
      </c>
      <c r="B278" s="76" t="s">
        <v>573</v>
      </c>
      <c r="C278" s="77" t="s">
        <v>574</v>
      </c>
      <c r="D278" s="76" t="s">
        <v>869</v>
      </c>
      <c r="E278" s="76" t="s">
        <v>875</v>
      </c>
      <c r="F278" s="78">
        <v>10</v>
      </c>
      <c r="G278" s="79">
        <f>StockInData[Expiry]</f>
        <v>44465</v>
      </c>
      <c r="H278" s="76">
        <v>25</v>
      </c>
      <c r="I278" s="76">
        <f>SUMIFS(StockInData[Quantity],StockInData[Product ID],ProductMaster!$B278)-SUMIFS(StockOutData[Quantity],StockOutData[Product ID],ProductMaster!$B278)</f>
        <v>59</v>
      </c>
      <c r="J278" s="80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75">
        <v>278</v>
      </c>
      <c r="B279" s="76" t="s">
        <v>575</v>
      </c>
      <c r="C279" s="77" t="s">
        <v>576</v>
      </c>
      <c r="D279" s="76" t="s">
        <v>869</v>
      </c>
      <c r="E279" s="76" t="s">
        <v>875</v>
      </c>
      <c r="F279" s="78">
        <v>10</v>
      </c>
      <c r="G279" s="79">
        <f>StockInData[Expiry]</f>
        <v>44467</v>
      </c>
      <c r="H279" s="76">
        <v>25</v>
      </c>
      <c r="I279" s="76">
        <f>SUMIFS(StockInData[Quantity],StockInData[Product ID],ProductMaster!$B279)-SUMIFS(StockOutData[Quantity],StockOutData[Product ID],ProductMaster!$B279)</f>
        <v>66</v>
      </c>
      <c r="J279" s="80">
        <f>SUMIFS(StockInData[Value],StockInData[Product ID],ProductMaster!$B279)-SUMIFS(StockOutData[Value],StockOutData[Product ID],ProductMaster!$B279)</f>
        <v>165</v>
      </c>
    </row>
    <row r="280" spans="1:10" x14ac:dyDescent="0.25">
      <c r="A280" s="75">
        <v>279</v>
      </c>
      <c r="B280" s="76" t="s">
        <v>577</v>
      </c>
      <c r="C280" s="77" t="s">
        <v>578</v>
      </c>
      <c r="D280" s="76" t="s">
        <v>869</v>
      </c>
      <c r="E280" s="76" t="s">
        <v>875</v>
      </c>
      <c r="F280" s="78">
        <v>10</v>
      </c>
      <c r="G280" s="79">
        <f>StockInData[Expiry]</f>
        <v>44469</v>
      </c>
      <c r="H280" s="76">
        <v>25</v>
      </c>
      <c r="I280" s="76">
        <f>SUMIFS(StockInData[Quantity],StockInData[Product ID],ProductMaster!$B280)-SUMIFS(StockOutData[Quantity],StockOutData[Product ID],ProductMaster!$B280)</f>
        <v>87</v>
      </c>
      <c r="J280" s="80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75">
        <v>280</v>
      </c>
      <c r="B281" s="76" t="s">
        <v>579</v>
      </c>
      <c r="C281" s="77" t="s">
        <v>580</v>
      </c>
      <c r="D281" s="76" t="s">
        <v>869</v>
      </c>
      <c r="E281" s="76" t="s">
        <v>875</v>
      </c>
      <c r="F281" s="78">
        <v>10</v>
      </c>
      <c r="G281" s="79">
        <f>StockInData[Expiry]</f>
        <v>44471</v>
      </c>
      <c r="H281" s="76">
        <v>25</v>
      </c>
      <c r="I281" s="76">
        <f>SUMIFS(StockInData[Quantity],StockInData[Product ID],ProductMaster!$B281)-SUMIFS(StockOutData[Quantity],StockOutData[Product ID],ProductMaster!$B281)</f>
        <v>87</v>
      </c>
      <c r="J281" s="80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75">
        <v>281</v>
      </c>
      <c r="B282" s="76" t="s">
        <v>581</v>
      </c>
      <c r="C282" s="77" t="s">
        <v>582</v>
      </c>
      <c r="D282" s="76" t="s">
        <v>869</v>
      </c>
      <c r="E282" s="76" t="s">
        <v>875</v>
      </c>
      <c r="F282" s="78">
        <v>10</v>
      </c>
      <c r="G282" s="79">
        <f>StockInData[Expiry]</f>
        <v>44473</v>
      </c>
      <c r="H282" s="76">
        <v>25</v>
      </c>
      <c r="I282" s="76">
        <f>SUMIFS(StockInData[Quantity],StockInData[Product ID],ProductMaster!$B282)-SUMIFS(StockOutData[Quantity],StockOutData[Product ID],ProductMaster!$B282)</f>
        <v>47</v>
      </c>
      <c r="J282" s="80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75">
        <v>282</v>
      </c>
      <c r="B283" s="76" t="s">
        <v>583</v>
      </c>
      <c r="C283" s="77" t="s">
        <v>584</v>
      </c>
      <c r="D283" s="76" t="s">
        <v>869</v>
      </c>
      <c r="E283" s="76" t="s">
        <v>875</v>
      </c>
      <c r="F283" s="78">
        <v>10</v>
      </c>
      <c r="G283" s="79">
        <f>StockInData[Expiry]</f>
        <v>44475</v>
      </c>
      <c r="H283" s="76">
        <v>25</v>
      </c>
      <c r="I283" s="76">
        <f>SUMIFS(StockInData[Quantity],StockInData[Product ID],ProductMaster!$B283)-SUMIFS(StockOutData[Quantity],StockOutData[Product ID],ProductMaster!$B283)</f>
        <v>35</v>
      </c>
      <c r="J283" s="80">
        <f>SUMIFS(StockInData[Value],StockInData[Product ID],ProductMaster!$B283)-SUMIFS(StockOutData[Value],StockOutData[Product ID],ProductMaster!$B283)</f>
        <v>87.5</v>
      </c>
    </row>
    <row r="284" spans="1:10" x14ac:dyDescent="0.25">
      <c r="A284" s="75">
        <v>283</v>
      </c>
      <c r="B284" s="76" t="s">
        <v>585</v>
      </c>
      <c r="C284" s="77" t="s">
        <v>586</v>
      </c>
      <c r="D284" s="76" t="s">
        <v>869</v>
      </c>
      <c r="E284" s="76" t="s">
        <v>875</v>
      </c>
      <c r="F284" s="78">
        <v>10</v>
      </c>
      <c r="G284" s="79">
        <f>StockInData[Expiry]</f>
        <v>44477</v>
      </c>
      <c r="H284" s="76">
        <v>25</v>
      </c>
      <c r="I284" s="76">
        <f>SUMIFS(StockInData[Quantity],StockInData[Product ID],ProductMaster!$B284)-SUMIFS(StockOutData[Quantity],StockOutData[Product ID],ProductMaster!$B284)</f>
        <v>23</v>
      </c>
      <c r="J284" s="80">
        <f>SUMIFS(StockInData[Value],StockInData[Product ID],ProductMaster!$B284)-SUMIFS(StockOutData[Value],StockOutData[Product ID],ProductMaster!$B284)</f>
        <v>57.5</v>
      </c>
    </row>
    <row r="285" spans="1:10" x14ac:dyDescent="0.25">
      <c r="A285" s="75">
        <v>284</v>
      </c>
      <c r="B285" s="76" t="s">
        <v>587</v>
      </c>
      <c r="C285" s="77" t="s">
        <v>588</v>
      </c>
      <c r="D285" s="76" t="s">
        <v>869</v>
      </c>
      <c r="E285" s="76" t="s">
        <v>875</v>
      </c>
      <c r="F285" s="78">
        <v>10</v>
      </c>
      <c r="G285" s="79">
        <f>StockInData[Expiry]</f>
        <v>44479</v>
      </c>
      <c r="H285" s="76">
        <v>25</v>
      </c>
      <c r="I285" s="76">
        <f>SUMIFS(StockInData[Quantity],StockInData[Product ID],ProductMaster!$B285)-SUMIFS(StockOutData[Quantity],StockOutData[Product ID],ProductMaster!$B285)</f>
        <v>10</v>
      </c>
      <c r="J285" s="80">
        <f>SUMIFS(StockInData[Value],StockInData[Product ID],ProductMaster!$B285)-SUMIFS(StockOutData[Value],StockOutData[Product ID],ProductMaster!$B285)</f>
        <v>25</v>
      </c>
    </row>
    <row r="286" spans="1:10" x14ac:dyDescent="0.25">
      <c r="A286" s="75">
        <v>285</v>
      </c>
      <c r="B286" s="76" t="s">
        <v>589</v>
      </c>
      <c r="C286" s="77" t="s">
        <v>590</v>
      </c>
      <c r="D286" s="76" t="s">
        <v>869</v>
      </c>
      <c r="E286" s="76" t="s">
        <v>875</v>
      </c>
      <c r="F286" s="78">
        <v>10</v>
      </c>
      <c r="G286" s="79">
        <f>StockInData[Expiry]</f>
        <v>44481</v>
      </c>
      <c r="H286" s="76">
        <v>25</v>
      </c>
      <c r="I286" s="76">
        <f>SUMIFS(StockInData[Quantity],StockInData[Product ID],ProductMaster!$B286)-SUMIFS(StockOutData[Quantity],StockOutData[Product ID],ProductMaster!$B286)</f>
        <v>2</v>
      </c>
      <c r="J286" s="80">
        <f>SUMIFS(StockInData[Value],StockInData[Product ID],ProductMaster!$B286)-SUMIFS(StockOutData[Value],StockOutData[Product ID],ProductMaster!$B286)</f>
        <v>5</v>
      </c>
    </row>
    <row r="287" spans="1:10" x14ac:dyDescent="0.25">
      <c r="A287" s="75">
        <v>286</v>
      </c>
      <c r="B287" s="76" t="s">
        <v>591</v>
      </c>
      <c r="C287" s="77" t="s">
        <v>592</v>
      </c>
      <c r="D287" s="76" t="s">
        <v>869</v>
      </c>
      <c r="E287" s="76" t="s">
        <v>875</v>
      </c>
      <c r="F287" s="78">
        <v>10</v>
      </c>
      <c r="G287" s="79">
        <f>StockInData[Expiry]</f>
        <v>44483</v>
      </c>
      <c r="H287" s="76">
        <v>25</v>
      </c>
      <c r="I287" s="76">
        <f>SUMIFS(StockInData[Quantity],StockInData[Product ID],ProductMaster!$B287)-SUMIFS(StockOutData[Quantity],StockOutData[Product ID],ProductMaster!$B287)</f>
        <v>7</v>
      </c>
      <c r="J287" s="80">
        <f>SUMIFS(StockInData[Value],StockInData[Product ID],ProductMaster!$B287)-SUMIFS(StockOutData[Value],StockOutData[Product ID],ProductMaster!$B287)</f>
        <v>17.5</v>
      </c>
    </row>
    <row r="288" spans="1:10" x14ac:dyDescent="0.25">
      <c r="A288" s="75">
        <v>287</v>
      </c>
      <c r="B288" s="76" t="s">
        <v>593</v>
      </c>
      <c r="C288" s="77" t="s">
        <v>594</v>
      </c>
      <c r="D288" s="76" t="s">
        <v>869</v>
      </c>
      <c r="E288" s="76" t="s">
        <v>875</v>
      </c>
      <c r="F288" s="78">
        <v>10</v>
      </c>
      <c r="G288" s="79">
        <f>StockInData[Expiry]</f>
        <v>44485</v>
      </c>
      <c r="H288" s="76">
        <v>25</v>
      </c>
      <c r="I288" s="76">
        <f>SUMIFS(StockInData[Quantity],StockInData[Product ID],ProductMaster!$B288)-SUMIFS(StockOutData[Quantity],StockOutData[Product ID],ProductMaster!$B288)</f>
        <v>9</v>
      </c>
      <c r="J288" s="80">
        <f>SUMIFS(StockInData[Value],StockInData[Product ID],ProductMaster!$B288)-SUMIFS(StockOutData[Value],StockOutData[Product ID],ProductMaster!$B288)</f>
        <v>22.5</v>
      </c>
    </row>
    <row r="289" spans="1:10" x14ac:dyDescent="0.25">
      <c r="A289" s="75">
        <v>288</v>
      </c>
      <c r="B289" s="76" t="s">
        <v>595</v>
      </c>
      <c r="C289" s="77" t="s">
        <v>596</v>
      </c>
      <c r="D289" s="76" t="s">
        <v>869</v>
      </c>
      <c r="E289" s="76" t="s">
        <v>875</v>
      </c>
      <c r="F289" s="78">
        <v>10</v>
      </c>
      <c r="G289" s="79">
        <f>StockInData[Expiry]</f>
        <v>44487</v>
      </c>
      <c r="H289" s="76">
        <v>25</v>
      </c>
      <c r="I289" s="76">
        <f>SUMIFS(StockInData[Quantity],StockInData[Product ID],ProductMaster!$B289)-SUMIFS(StockOutData[Quantity],StockOutData[Product ID],ProductMaster!$B289)</f>
        <v>52</v>
      </c>
      <c r="J289" s="80">
        <f>SUMIFS(StockInData[Value],StockInData[Product ID],ProductMaster!$B289)-SUMIFS(StockOutData[Value],StockOutData[Product ID],ProductMaster!$B289)</f>
        <v>130</v>
      </c>
    </row>
    <row r="290" spans="1:10" x14ac:dyDescent="0.25">
      <c r="A290" s="75">
        <v>289</v>
      </c>
      <c r="B290" s="76" t="s">
        <v>597</v>
      </c>
      <c r="C290" s="77" t="s">
        <v>598</v>
      </c>
      <c r="D290" s="76" t="s">
        <v>869</v>
      </c>
      <c r="E290" s="76" t="s">
        <v>875</v>
      </c>
      <c r="F290" s="78">
        <v>10</v>
      </c>
      <c r="G290" s="79">
        <f>StockInData[Expiry]</f>
        <v>44489</v>
      </c>
      <c r="H290" s="76">
        <v>25</v>
      </c>
      <c r="I290" s="76">
        <f>SUMIFS(StockInData[Quantity],StockInData[Product ID],ProductMaster!$B290)-SUMIFS(StockOutData[Quantity],StockOutData[Product ID],ProductMaster!$B290)</f>
        <v>69</v>
      </c>
      <c r="J290" s="80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75">
        <v>290</v>
      </c>
      <c r="B291" s="76" t="s">
        <v>599</v>
      </c>
      <c r="C291" s="77" t="s">
        <v>600</v>
      </c>
      <c r="D291" s="76" t="s">
        <v>869</v>
      </c>
      <c r="E291" s="76" t="s">
        <v>875</v>
      </c>
      <c r="F291" s="78">
        <v>10</v>
      </c>
      <c r="G291" s="79">
        <f>StockInData[Expiry]</f>
        <v>44491</v>
      </c>
      <c r="H291" s="76">
        <v>25</v>
      </c>
      <c r="I291" s="76">
        <f>SUMIFS(StockInData[Quantity],StockInData[Product ID],ProductMaster!$B291)-SUMIFS(StockOutData[Quantity],StockOutData[Product ID],ProductMaster!$B291)</f>
        <v>77</v>
      </c>
      <c r="J291" s="80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75">
        <v>291</v>
      </c>
      <c r="B292" s="76" t="s">
        <v>601</v>
      </c>
      <c r="C292" s="77" t="s">
        <v>602</v>
      </c>
      <c r="D292" s="76" t="s">
        <v>869</v>
      </c>
      <c r="E292" s="76" t="s">
        <v>875</v>
      </c>
      <c r="F292" s="78">
        <v>10</v>
      </c>
      <c r="G292" s="79">
        <f>StockInData[Expiry]</f>
        <v>44493</v>
      </c>
      <c r="H292" s="76">
        <v>25</v>
      </c>
      <c r="I292" s="76">
        <f>SUMIFS(StockInData[Quantity],StockInData[Product ID],ProductMaster!$B292)-SUMIFS(StockOutData[Quantity],StockOutData[Product ID],ProductMaster!$B292)</f>
        <v>84</v>
      </c>
      <c r="J292" s="80">
        <f>SUMIFS(StockInData[Value],StockInData[Product ID],ProductMaster!$B292)-SUMIFS(StockOutData[Value],StockOutData[Product ID],ProductMaster!$B292)</f>
        <v>210</v>
      </c>
    </row>
    <row r="293" spans="1:10" x14ac:dyDescent="0.25">
      <c r="A293" s="75">
        <v>292</v>
      </c>
      <c r="B293" s="76" t="s">
        <v>603</v>
      </c>
      <c r="C293" s="77" t="s">
        <v>604</v>
      </c>
      <c r="D293" s="76" t="s">
        <v>869</v>
      </c>
      <c r="E293" s="76" t="s">
        <v>875</v>
      </c>
      <c r="F293" s="78">
        <v>10</v>
      </c>
      <c r="G293" s="79">
        <f>StockInData[Expiry]</f>
        <v>44495</v>
      </c>
      <c r="H293" s="76">
        <v>25</v>
      </c>
      <c r="I293" s="76">
        <f>SUMIFS(StockInData[Quantity],StockInData[Product ID],ProductMaster!$B293)-SUMIFS(StockOutData[Quantity],StockOutData[Product ID],ProductMaster!$B293)</f>
        <v>83</v>
      </c>
      <c r="J293" s="80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75">
        <v>293</v>
      </c>
      <c r="B294" s="76" t="s">
        <v>605</v>
      </c>
      <c r="C294" s="77" t="s">
        <v>606</v>
      </c>
      <c r="D294" s="76" t="s">
        <v>869</v>
      </c>
      <c r="E294" s="76" t="s">
        <v>875</v>
      </c>
      <c r="F294" s="78">
        <v>10</v>
      </c>
      <c r="G294" s="79">
        <f>StockInData[Expiry]</f>
        <v>44497</v>
      </c>
      <c r="H294" s="76">
        <v>25</v>
      </c>
      <c r="I294" s="76">
        <f>SUMIFS(StockInData[Quantity],StockInData[Product ID],ProductMaster!$B294)-SUMIFS(StockOutData[Quantity],StockOutData[Product ID],ProductMaster!$B294)</f>
        <v>88</v>
      </c>
      <c r="J294" s="80">
        <f>SUMIFS(StockInData[Value],StockInData[Product ID],ProductMaster!$B294)-SUMIFS(StockOutData[Value],StockOutData[Product ID],ProductMaster!$B294)</f>
        <v>220</v>
      </c>
    </row>
    <row r="295" spans="1:10" x14ac:dyDescent="0.25">
      <c r="A295" s="75">
        <v>294</v>
      </c>
      <c r="B295" s="76" t="s">
        <v>607</v>
      </c>
      <c r="C295" s="77" t="s">
        <v>608</v>
      </c>
      <c r="D295" s="76" t="s">
        <v>869</v>
      </c>
      <c r="E295" s="76" t="s">
        <v>875</v>
      </c>
      <c r="F295" s="78">
        <v>10</v>
      </c>
      <c r="G295" s="79">
        <f>StockInData[Expiry]</f>
        <v>44499</v>
      </c>
      <c r="H295" s="76">
        <v>25</v>
      </c>
      <c r="I295" s="76">
        <f>SUMIFS(StockInData[Quantity],StockInData[Product ID],ProductMaster!$B295)-SUMIFS(StockOutData[Quantity],StockOutData[Product ID],ProductMaster!$B295)</f>
        <v>50</v>
      </c>
      <c r="J295" s="80">
        <f>SUMIFS(StockInData[Value],StockInData[Product ID],ProductMaster!$B295)-SUMIFS(StockOutData[Value],StockOutData[Product ID],ProductMaster!$B295)</f>
        <v>125</v>
      </c>
    </row>
    <row r="296" spans="1:10" x14ac:dyDescent="0.25">
      <c r="A296" s="75">
        <v>295</v>
      </c>
      <c r="B296" s="76" t="s">
        <v>609</v>
      </c>
      <c r="C296" s="77" t="s">
        <v>610</v>
      </c>
      <c r="D296" s="76" t="s">
        <v>869</v>
      </c>
      <c r="E296" s="76" t="s">
        <v>875</v>
      </c>
      <c r="F296" s="78">
        <v>10</v>
      </c>
      <c r="G296" s="79">
        <f>StockInData[Expiry]</f>
        <v>44501</v>
      </c>
      <c r="H296" s="76">
        <v>25</v>
      </c>
      <c r="I296" s="76">
        <f>SUMIFS(StockInData[Quantity],StockInData[Product ID],ProductMaster!$B296)-SUMIFS(StockOutData[Quantity],StockOutData[Product ID],ProductMaster!$B296)</f>
        <v>30</v>
      </c>
      <c r="J296" s="80">
        <f>SUMIFS(StockInData[Value],StockInData[Product ID],ProductMaster!$B296)-SUMIFS(StockOutData[Value],StockOutData[Product ID],ProductMaster!$B296)</f>
        <v>75</v>
      </c>
    </row>
    <row r="297" spans="1:10" x14ac:dyDescent="0.25">
      <c r="A297" s="75">
        <v>296</v>
      </c>
      <c r="B297" s="76" t="s">
        <v>611</v>
      </c>
      <c r="C297" s="77" t="s">
        <v>612</v>
      </c>
      <c r="D297" s="76" t="s">
        <v>869</v>
      </c>
      <c r="E297" s="76" t="s">
        <v>875</v>
      </c>
      <c r="F297" s="78">
        <v>10</v>
      </c>
      <c r="G297" s="79">
        <f>StockInData[Expiry]</f>
        <v>44503</v>
      </c>
      <c r="H297" s="76">
        <v>25</v>
      </c>
      <c r="I297" s="76">
        <f>SUMIFS(StockInData[Quantity],StockInData[Product ID],ProductMaster!$B297)-SUMIFS(StockOutData[Quantity],StockOutData[Product ID],ProductMaster!$B297)</f>
        <v>20</v>
      </c>
      <c r="J297" s="80">
        <f>SUMIFS(StockInData[Value],StockInData[Product ID],ProductMaster!$B297)-SUMIFS(StockOutData[Value],StockOutData[Product ID],ProductMaster!$B297)</f>
        <v>50</v>
      </c>
    </row>
    <row r="298" spans="1:10" x14ac:dyDescent="0.25">
      <c r="A298" s="75">
        <v>297</v>
      </c>
      <c r="B298" s="76" t="s">
        <v>613</v>
      </c>
      <c r="C298" s="77" t="s">
        <v>614</v>
      </c>
      <c r="D298" s="76" t="s">
        <v>869</v>
      </c>
      <c r="E298" s="76" t="s">
        <v>875</v>
      </c>
      <c r="F298" s="78">
        <v>10</v>
      </c>
      <c r="G298" s="79">
        <f>StockInData[Expiry]</f>
        <v>44505</v>
      </c>
      <c r="H298" s="76">
        <v>25</v>
      </c>
      <c r="I298" s="76">
        <f>SUMIFS(StockInData[Quantity],StockInData[Product ID],ProductMaster!$B298)-SUMIFS(StockOutData[Quantity],StockOutData[Product ID],ProductMaster!$B298)</f>
        <v>3</v>
      </c>
      <c r="J298" s="80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75">
        <v>298</v>
      </c>
      <c r="B299" s="76" t="s">
        <v>615</v>
      </c>
      <c r="C299" s="77" t="s">
        <v>616</v>
      </c>
      <c r="D299" s="76" t="s">
        <v>869</v>
      </c>
      <c r="E299" s="76" t="s">
        <v>875</v>
      </c>
      <c r="F299" s="78">
        <v>10</v>
      </c>
      <c r="G299" s="79">
        <f>StockInData[Expiry]</f>
        <v>44507</v>
      </c>
      <c r="H299" s="76">
        <v>25</v>
      </c>
      <c r="I299" s="76">
        <f>SUMIFS(StockInData[Quantity],StockInData[Product ID],ProductMaster!$B299)-SUMIFS(StockOutData[Quantity],StockOutData[Product ID],ProductMaster!$B299)</f>
        <v>13</v>
      </c>
      <c r="J299" s="80">
        <f>SUMIFS(StockInData[Value],StockInData[Product ID],ProductMaster!$B299)-SUMIFS(StockOutData[Value],StockOutData[Product ID],ProductMaster!$B299)</f>
        <v>32.5</v>
      </c>
    </row>
    <row r="300" spans="1:10" x14ac:dyDescent="0.25">
      <c r="A300" s="75">
        <v>299</v>
      </c>
      <c r="B300" s="76" t="s">
        <v>617</v>
      </c>
      <c r="C300" s="77" t="s">
        <v>618</v>
      </c>
      <c r="D300" s="76" t="s">
        <v>869</v>
      </c>
      <c r="E300" s="76" t="s">
        <v>875</v>
      </c>
      <c r="F300" s="78">
        <v>10</v>
      </c>
      <c r="G300" s="79">
        <f>StockInData[Expiry]</f>
        <v>44509</v>
      </c>
      <c r="H300" s="76">
        <v>25</v>
      </c>
      <c r="I300" s="76">
        <f>SUMIFS(StockInData[Quantity],StockInData[Product ID],ProductMaster!$B300)-SUMIFS(StockOutData[Quantity],StockOutData[Product ID],ProductMaster!$B300)</f>
        <v>4</v>
      </c>
      <c r="J300" s="80">
        <f>SUMIFS(StockInData[Value],StockInData[Product ID],ProductMaster!$B300)-SUMIFS(StockOutData[Value],StockOutData[Product ID],ProductMaster!$B300)</f>
        <v>10</v>
      </c>
    </row>
    <row r="301" spans="1:10" x14ac:dyDescent="0.25">
      <c r="A301" s="75">
        <v>300</v>
      </c>
      <c r="B301" s="76" t="s">
        <v>619</v>
      </c>
      <c r="C301" s="77" t="s">
        <v>620</v>
      </c>
      <c r="D301" s="76" t="s">
        <v>869</v>
      </c>
      <c r="E301" s="76" t="s">
        <v>875</v>
      </c>
      <c r="F301" s="78">
        <v>10</v>
      </c>
      <c r="G301" s="79">
        <f>StockInData[Expiry]</f>
        <v>44511</v>
      </c>
      <c r="H301" s="76">
        <v>25</v>
      </c>
      <c r="I301" s="76">
        <f>SUMIFS(StockInData[Quantity],StockInData[Product ID],ProductMaster!$B301)-SUMIFS(StockOutData[Quantity],StockOutData[Product ID],ProductMaster!$B301)</f>
        <v>5</v>
      </c>
      <c r="J301" s="80">
        <f>SUMIFS(StockInData[Value],StockInData[Product ID],ProductMaster!$B301)-SUMIFS(StockOutData[Value],StockOutData[Product ID],ProductMaster!$B301)</f>
        <v>12.5</v>
      </c>
    </row>
    <row r="302" spans="1:10" x14ac:dyDescent="0.25">
      <c r="A302" s="75">
        <v>301</v>
      </c>
      <c r="B302" s="76" t="s">
        <v>621</v>
      </c>
      <c r="C302" s="77" t="s">
        <v>622</v>
      </c>
      <c r="D302" s="76" t="s">
        <v>869</v>
      </c>
      <c r="E302" s="76" t="s">
        <v>875</v>
      </c>
      <c r="F302" s="78">
        <v>10</v>
      </c>
      <c r="G302" s="79">
        <f>StockInData[Expiry]</f>
        <v>44513</v>
      </c>
      <c r="H302" s="76">
        <v>25</v>
      </c>
      <c r="I302" s="76">
        <f>SUMIFS(StockInData[Quantity],StockInData[Product ID],ProductMaster!$B302)-SUMIFS(StockOutData[Quantity],StockOutData[Product ID],ProductMaster!$B302)</f>
        <v>53</v>
      </c>
      <c r="J302" s="80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75">
        <v>302</v>
      </c>
      <c r="B303" s="76" t="s">
        <v>623</v>
      </c>
      <c r="C303" s="77" t="s">
        <v>624</v>
      </c>
      <c r="D303" s="76" t="s">
        <v>869</v>
      </c>
      <c r="E303" s="76" t="s">
        <v>875</v>
      </c>
      <c r="F303" s="78">
        <v>10</v>
      </c>
      <c r="G303" s="79">
        <f>StockInData[Expiry]</f>
        <v>44515</v>
      </c>
      <c r="H303" s="76">
        <v>25</v>
      </c>
      <c r="I303" s="76">
        <f>SUMIFS(StockInData[Quantity],StockInData[Product ID],ProductMaster!$B303)-SUMIFS(StockOutData[Quantity],StockOutData[Product ID],ProductMaster!$B303)</f>
        <v>60</v>
      </c>
      <c r="J303" s="80">
        <f>SUMIFS(StockInData[Value],StockInData[Product ID],ProductMaster!$B303)-SUMIFS(StockOutData[Value],StockOutData[Product ID],ProductMaster!$B303)</f>
        <v>150</v>
      </c>
    </row>
    <row r="304" spans="1:10" x14ac:dyDescent="0.25">
      <c r="A304" s="75">
        <v>303</v>
      </c>
      <c r="B304" s="76" t="s">
        <v>625</v>
      </c>
      <c r="C304" s="77" t="s">
        <v>626</v>
      </c>
      <c r="D304" s="76" t="s">
        <v>869</v>
      </c>
      <c r="E304" s="76" t="s">
        <v>875</v>
      </c>
      <c r="F304" s="78">
        <v>10</v>
      </c>
      <c r="G304" s="79">
        <f>StockInData[Expiry]</f>
        <v>44517</v>
      </c>
      <c r="H304" s="76">
        <v>25</v>
      </c>
      <c r="I304" s="76">
        <f>SUMIFS(StockInData[Quantity],StockInData[Product ID],ProductMaster!$B304)-SUMIFS(StockOutData[Quantity],StockOutData[Product ID],ProductMaster!$B304)</f>
        <v>71</v>
      </c>
      <c r="J304" s="80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75">
        <v>304</v>
      </c>
      <c r="B305" s="76" t="s">
        <v>627</v>
      </c>
      <c r="C305" s="77" t="s">
        <v>628</v>
      </c>
      <c r="D305" s="76" t="s">
        <v>869</v>
      </c>
      <c r="E305" s="76" t="s">
        <v>875</v>
      </c>
      <c r="F305" s="78">
        <v>10</v>
      </c>
      <c r="G305" s="79">
        <f>StockInData[Expiry]</f>
        <v>44519</v>
      </c>
      <c r="H305" s="76">
        <v>25</v>
      </c>
      <c r="I305" s="76">
        <f>SUMIFS(StockInData[Quantity],StockInData[Product ID],ProductMaster!$B305)-SUMIFS(StockOutData[Quantity],StockOutData[Product ID],ProductMaster!$B305)</f>
        <v>94</v>
      </c>
      <c r="J305" s="80">
        <f>SUMIFS(StockInData[Value],StockInData[Product ID],ProductMaster!$B305)-SUMIFS(StockOutData[Value],StockOutData[Product ID],ProductMaster!$B305)</f>
        <v>235</v>
      </c>
    </row>
    <row r="306" spans="1:10" x14ac:dyDescent="0.25">
      <c r="A306" s="75">
        <v>305</v>
      </c>
      <c r="B306" s="76" t="s">
        <v>629</v>
      </c>
      <c r="C306" s="77" t="s">
        <v>630</v>
      </c>
      <c r="D306" s="76" t="s">
        <v>869</v>
      </c>
      <c r="E306" s="76" t="s">
        <v>875</v>
      </c>
      <c r="F306" s="78">
        <v>10</v>
      </c>
      <c r="G306" s="79">
        <f>StockInData[Expiry]</f>
        <v>44521</v>
      </c>
      <c r="H306" s="76">
        <v>25</v>
      </c>
      <c r="I306" s="76">
        <f>SUMIFS(StockInData[Quantity],StockInData[Product ID],ProductMaster!$B306)-SUMIFS(StockOutData[Quantity],StockOutData[Product ID],ProductMaster!$B306)</f>
        <v>94</v>
      </c>
      <c r="J306" s="80">
        <f>SUMIFS(StockInData[Value],StockInData[Product ID],ProductMaster!$B306)-SUMIFS(StockOutData[Value],StockOutData[Product ID],ProductMaster!$B306)</f>
        <v>235</v>
      </c>
    </row>
    <row r="307" spans="1:10" x14ac:dyDescent="0.25">
      <c r="A307" s="75">
        <v>306</v>
      </c>
      <c r="B307" s="76" t="s">
        <v>631</v>
      </c>
      <c r="C307" s="77" t="s">
        <v>632</v>
      </c>
      <c r="D307" s="76" t="s">
        <v>869</v>
      </c>
      <c r="E307" s="76" t="s">
        <v>875</v>
      </c>
      <c r="F307" s="78">
        <v>10</v>
      </c>
      <c r="G307" s="79">
        <f>StockInData[Expiry]</f>
        <v>44523</v>
      </c>
      <c r="H307" s="76">
        <v>25</v>
      </c>
      <c r="I307" s="76">
        <f>SUMIFS(StockInData[Quantity],StockInData[Product ID],ProductMaster!$B307)-SUMIFS(StockOutData[Quantity],StockOutData[Product ID],ProductMaster!$B307)</f>
        <v>85</v>
      </c>
      <c r="J307" s="80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75">
        <v>307</v>
      </c>
      <c r="B308" s="76" t="s">
        <v>633</v>
      </c>
      <c r="C308" s="77" t="s">
        <v>634</v>
      </c>
      <c r="D308" s="76" t="s">
        <v>869</v>
      </c>
      <c r="E308" s="76" t="s">
        <v>875</v>
      </c>
      <c r="F308" s="78">
        <v>10</v>
      </c>
      <c r="G308" s="79">
        <f>StockInData[Expiry]</f>
        <v>44525</v>
      </c>
      <c r="H308" s="76">
        <v>25</v>
      </c>
      <c r="I308" s="76">
        <f>SUMIFS(StockInData[Quantity],StockInData[Product ID],ProductMaster!$B308)-SUMIFS(StockOutData[Quantity],StockOutData[Product ID],ProductMaster!$B308)</f>
        <v>82</v>
      </c>
      <c r="J308" s="80">
        <f>SUMIFS(StockInData[Value],StockInData[Product ID],ProductMaster!$B308)-SUMIFS(StockOutData[Value],StockOutData[Product ID],ProductMaster!$B308)</f>
        <v>205</v>
      </c>
    </row>
    <row r="309" spans="1:10" x14ac:dyDescent="0.25">
      <c r="A309" s="75">
        <v>308</v>
      </c>
      <c r="B309" s="76" t="s">
        <v>635</v>
      </c>
      <c r="C309" s="77" t="s">
        <v>636</v>
      </c>
      <c r="D309" s="76" t="s">
        <v>869</v>
      </c>
      <c r="E309" s="76" t="s">
        <v>875</v>
      </c>
      <c r="F309" s="78">
        <v>10</v>
      </c>
      <c r="G309" s="79">
        <f>StockInData[Expiry]</f>
        <v>44527</v>
      </c>
      <c r="H309" s="76">
        <v>25</v>
      </c>
      <c r="I309" s="76">
        <f>SUMIFS(StockInData[Quantity],StockInData[Product ID],ProductMaster!$B309)-SUMIFS(StockOutData[Quantity],StockOutData[Product ID],ProductMaster!$B309)</f>
        <v>88</v>
      </c>
      <c r="J309" s="80">
        <f>SUMIFS(StockInData[Value],StockInData[Product ID],ProductMaster!$B309)-SUMIFS(StockOutData[Value],StockOutData[Product ID],ProductMaster!$B309)</f>
        <v>220</v>
      </c>
    </row>
    <row r="310" spans="1:10" x14ac:dyDescent="0.25">
      <c r="A310" s="75">
        <v>309</v>
      </c>
      <c r="B310" s="76" t="s">
        <v>637</v>
      </c>
      <c r="C310" s="77" t="s">
        <v>638</v>
      </c>
      <c r="D310" s="76" t="s">
        <v>869</v>
      </c>
      <c r="E310" s="76" t="s">
        <v>875</v>
      </c>
      <c r="F310" s="78">
        <v>10</v>
      </c>
      <c r="G310" s="79">
        <f>StockInData[Expiry]</f>
        <v>44529</v>
      </c>
      <c r="H310" s="76">
        <v>25</v>
      </c>
      <c r="I310" s="76">
        <f>SUMIFS(StockInData[Quantity],StockInData[Product ID],ProductMaster!$B310)-SUMIFS(StockOutData[Quantity],StockOutData[Product ID],ProductMaster!$B310)</f>
        <v>86</v>
      </c>
      <c r="J310" s="80">
        <f>SUMIFS(StockInData[Value],StockInData[Product ID],ProductMaster!$B310)-SUMIFS(StockOutData[Value],StockOutData[Product ID],ProductMaster!$B310)</f>
        <v>215</v>
      </c>
    </row>
    <row r="311" spans="1:10" x14ac:dyDescent="0.25">
      <c r="A311" s="75">
        <v>310</v>
      </c>
      <c r="B311" s="76" t="s">
        <v>639</v>
      </c>
      <c r="C311" s="77" t="s">
        <v>640</v>
      </c>
      <c r="D311" s="76" t="s">
        <v>869</v>
      </c>
      <c r="E311" s="76" t="s">
        <v>875</v>
      </c>
      <c r="F311" s="78">
        <v>10</v>
      </c>
      <c r="G311" s="79">
        <f>StockInData[Expiry]</f>
        <v>44531</v>
      </c>
      <c r="H311" s="76">
        <v>25</v>
      </c>
      <c r="I311" s="76">
        <f>SUMIFS(StockInData[Quantity],StockInData[Product ID],ProductMaster!$B311)-SUMIFS(StockOutData[Quantity],StockOutData[Product ID],ProductMaster!$B311)</f>
        <v>27</v>
      </c>
      <c r="J311" s="80">
        <f>SUMIFS(StockInData[Value],StockInData[Product ID],ProductMaster!$B311)-SUMIFS(StockOutData[Value],StockOutData[Product ID],ProductMaster!$B311)</f>
        <v>67.5</v>
      </c>
    </row>
    <row r="312" spans="1:10" x14ac:dyDescent="0.25">
      <c r="A312" s="75">
        <v>311</v>
      </c>
      <c r="B312" s="76" t="s">
        <v>641</v>
      </c>
      <c r="C312" s="77" t="s">
        <v>642</v>
      </c>
      <c r="D312" s="76" t="s">
        <v>869</v>
      </c>
      <c r="E312" s="76" t="s">
        <v>875</v>
      </c>
      <c r="F312" s="78">
        <v>10</v>
      </c>
      <c r="G312" s="79">
        <f>StockInData[Expiry]</f>
        <v>44533</v>
      </c>
      <c r="H312" s="76">
        <v>25</v>
      </c>
      <c r="I312" s="76">
        <f>SUMIFS(StockInData[Quantity],StockInData[Product ID],ProductMaster!$B312)-SUMIFS(StockOutData[Quantity],StockOutData[Product ID],ProductMaster!$B312)</f>
        <v>25</v>
      </c>
      <c r="J312" s="80">
        <f>SUMIFS(StockInData[Value],StockInData[Product ID],ProductMaster!$B312)-SUMIFS(StockOutData[Value],StockOutData[Product ID],ProductMaster!$B312)</f>
        <v>62.5</v>
      </c>
    </row>
    <row r="313" spans="1:10" x14ac:dyDescent="0.25">
      <c r="A313" s="75">
        <v>312</v>
      </c>
      <c r="B313" s="76" t="s">
        <v>643</v>
      </c>
      <c r="C313" s="77" t="s">
        <v>644</v>
      </c>
      <c r="D313" s="76" t="s">
        <v>869</v>
      </c>
      <c r="E313" s="76" t="s">
        <v>875</v>
      </c>
      <c r="F313" s="78">
        <v>10</v>
      </c>
      <c r="G313" s="79">
        <f>StockInData[Expiry]</f>
        <v>44535</v>
      </c>
      <c r="H313" s="76">
        <v>25</v>
      </c>
      <c r="I313" s="76">
        <f>SUMIFS(StockInData[Quantity],StockInData[Product ID],ProductMaster!$B313)-SUMIFS(StockOutData[Quantity],StockOutData[Product ID],ProductMaster!$B313)</f>
        <v>18</v>
      </c>
      <c r="J313" s="80">
        <f>SUMIFS(StockInData[Value],StockInData[Product ID],ProductMaster!$B313)-SUMIFS(StockOutData[Value],StockOutData[Product ID],ProductMaster!$B313)</f>
        <v>45</v>
      </c>
    </row>
    <row r="314" spans="1:10" x14ac:dyDescent="0.25">
      <c r="A314" s="75">
        <v>313</v>
      </c>
      <c r="B314" s="76" t="s">
        <v>645</v>
      </c>
      <c r="C314" s="77" t="s">
        <v>646</v>
      </c>
      <c r="D314" s="76" t="s">
        <v>869</v>
      </c>
      <c r="E314" s="76" t="s">
        <v>875</v>
      </c>
      <c r="F314" s="78">
        <v>10</v>
      </c>
      <c r="G314" s="79">
        <f>StockInData[Expiry]</f>
        <v>44537</v>
      </c>
      <c r="H314" s="76">
        <v>25</v>
      </c>
      <c r="I314" s="76">
        <f>SUMIFS(StockInData[Quantity],StockInData[Product ID],ProductMaster!$B314)-SUMIFS(StockOutData[Quantity],StockOutData[Product ID],ProductMaster!$B314)</f>
        <v>5</v>
      </c>
      <c r="J314" s="80">
        <f>SUMIFS(StockInData[Value],StockInData[Product ID],ProductMaster!$B314)-SUMIFS(StockOutData[Value],StockOutData[Product ID],ProductMaster!$B314)</f>
        <v>12.5</v>
      </c>
    </row>
    <row r="315" spans="1:10" x14ac:dyDescent="0.25">
      <c r="A315" s="75">
        <v>314</v>
      </c>
      <c r="B315" s="76" t="s">
        <v>647</v>
      </c>
      <c r="C315" s="77" t="s">
        <v>648</v>
      </c>
      <c r="D315" s="76" t="s">
        <v>869</v>
      </c>
      <c r="E315" s="76" t="s">
        <v>875</v>
      </c>
      <c r="F315" s="78">
        <v>10</v>
      </c>
      <c r="G315" s="79">
        <f>StockInData[Expiry]</f>
        <v>44539</v>
      </c>
      <c r="H315" s="76">
        <v>25</v>
      </c>
      <c r="I315" s="76">
        <f>SUMIFS(StockInData[Quantity],StockInData[Product ID],ProductMaster!$B315)-SUMIFS(StockOutData[Quantity],StockOutData[Product ID],ProductMaster!$B315)</f>
        <v>1</v>
      </c>
      <c r="J315" s="80">
        <f>SUMIFS(StockInData[Value],StockInData[Product ID],ProductMaster!$B315)-SUMIFS(StockOutData[Value],StockOutData[Product ID],ProductMaster!$B315)</f>
        <v>2.5</v>
      </c>
    </row>
    <row r="316" spans="1:10" x14ac:dyDescent="0.25">
      <c r="A316" s="75">
        <v>315</v>
      </c>
      <c r="B316" s="76" t="s">
        <v>649</v>
      </c>
      <c r="C316" s="77" t="s">
        <v>650</v>
      </c>
      <c r="D316" s="76" t="s">
        <v>869</v>
      </c>
      <c r="E316" s="76" t="s">
        <v>875</v>
      </c>
      <c r="F316" s="78">
        <v>10</v>
      </c>
      <c r="G316" s="79">
        <f>StockInData[Expiry]</f>
        <v>44541</v>
      </c>
      <c r="H316" s="76">
        <v>25</v>
      </c>
      <c r="I316" s="76">
        <f>SUMIFS(StockInData[Quantity],StockInData[Product ID],ProductMaster!$B316)-SUMIFS(StockOutData[Quantity],StockOutData[Product ID],ProductMaster!$B316)</f>
        <v>11</v>
      </c>
      <c r="J316" s="80">
        <f>SUMIFS(StockInData[Value],StockInData[Product ID],ProductMaster!$B316)-SUMIFS(StockOutData[Value],StockOutData[Product ID],ProductMaster!$B316)</f>
        <v>27.5</v>
      </c>
    </row>
    <row r="317" spans="1:10" x14ac:dyDescent="0.25">
      <c r="A317" s="75">
        <v>316</v>
      </c>
      <c r="B317" s="76" t="s">
        <v>651</v>
      </c>
      <c r="C317" s="77" t="s">
        <v>652</v>
      </c>
      <c r="D317" s="76" t="s">
        <v>869</v>
      </c>
      <c r="E317" s="76" t="s">
        <v>875</v>
      </c>
      <c r="F317" s="78">
        <v>10</v>
      </c>
      <c r="G317" s="79">
        <f>StockInData[Expiry]</f>
        <v>44543</v>
      </c>
      <c r="H317" s="76">
        <v>25</v>
      </c>
      <c r="I317" s="76">
        <f>SUMIFS(StockInData[Quantity],StockInData[Product ID],ProductMaster!$B317)-SUMIFS(StockOutData[Quantity],StockOutData[Product ID],ProductMaster!$B317)</f>
        <v>55</v>
      </c>
      <c r="J317" s="80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75">
        <v>317</v>
      </c>
      <c r="B318" s="76" t="s">
        <v>653</v>
      </c>
      <c r="C318" s="77" t="s">
        <v>654</v>
      </c>
      <c r="D318" s="76" t="s">
        <v>869</v>
      </c>
      <c r="E318" s="76" t="s">
        <v>875</v>
      </c>
      <c r="F318" s="78">
        <v>10</v>
      </c>
      <c r="G318" s="79">
        <f>StockInData[Expiry]</f>
        <v>44545</v>
      </c>
      <c r="H318" s="76">
        <v>25</v>
      </c>
      <c r="I318" s="76">
        <f>SUMIFS(StockInData[Quantity],StockInData[Product ID],ProductMaster!$B318)-SUMIFS(StockOutData[Quantity],StockOutData[Product ID],ProductMaster!$B318)</f>
        <v>64</v>
      </c>
      <c r="J318" s="80">
        <f>SUMIFS(StockInData[Value],StockInData[Product ID],ProductMaster!$B318)-SUMIFS(StockOutData[Value],StockOutData[Product ID],ProductMaster!$B318)</f>
        <v>160</v>
      </c>
    </row>
    <row r="319" spans="1:10" x14ac:dyDescent="0.25">
      <c r="A319" s="75">
        <v>318</v>
      </c>
      <c r="B319" s="76" t="s">
        <v>655</v>
      </c>
      <c r="C319" s="77" t="s">
        <v>656</v>
      </c>
      <c r="D319" s="76" t="s">
        <v>869</v>
      </c>
      <c r="E319" s="76" t="s">
        <v>875</v>
      </c>
      <c r="F319" s="78">
        <v>10</v>
      </c>
      <c r="G319" s="79">
        <f>StockInData[Expiry]</f>
        <v>44547</v>
      </c>
      <c r="H319" s="76">
        <v>25</v>
      </c>
      <c r="I319" s="76">
        <f>SUMIFS(StockInData[Quantity],StockInData[Product ID],ProductMaster!$B319)-SUMIFS(StockOutData[Quantity],StockOutData[Product ID],ProductMaster!$B319)</f>
        <v>74</v>
      </c>
      <c r="J319" s="80">
        <f>SUMIFS(StockInData[Value],StockInData[Product ID],ProductMaster!$B319)-SUMIFS(StockOutData[Value],StockOutData[Product ID],ProductMaster!$B319)</f>
        <v>185</v>
      </c>
    </row>
    <row r="320" spans="1:10" x14ac:dyDescent="0.25">
      <c r="A320" s="75">
        <v>319</v>
      </c>
      <c r="B320" s="76" t="s">
        <v>657</v>
      </c>
      <c r="C320" s="77" t="s">
        <v>658</v>
      </c>
      <c r="D320" s="76" t="s">
        <v>869</v>
      </c>
      <c r="E320" s="76" t="s">
        <v>875</v>
      </c>
      <c r="F320" s="78">
        <v>10</v>
      </c>
      <c r="G320" s="79">
        <f>StockInData[Expiry]</f>
        <v>44549</v>
      </c>
      <c r="H320" s="76">
        <v>25</v>
      </c>
      <c r="I320" s="76">
        <f>SUMIFS(StockInData[Quantity],StockInData[Product ID],ProductMaster!$B320)-SUMIFS(StockOutData[Quantity],StockOutData[Product ID],ProductMaster!$B320)</f>
        <v>92</v>
      </c>
      <c r="J320" s="80">
        <f>SUMIFS(StockInData[Value],StockInData[Product ID],ProductMaster!$B320)-SUMIFS(StockOutData[Value],StockOutData[Product ID],ProductMaster!$B320)</f>
        <v>230</v>
      </c>
    </row>
    <row r="321" spans="1:10" x14ac:dyDescent="0.25">
      <c r="A321" s="75">
        <v>320</v>
      </c>
      <c r="B321" s="76" t="s">
        <v>659</v>
      </c>
      <c r="C321" s="77" t="s">
        <v>660</v>
      </c>
      <c r="D321" s="76" t="s">
        <v>869</v>
      </c>
      <c r="E321" s="76" t="s">
        <v>875</v>
      </c>
      <c r="F321" s="78">
        <v>10</v>
      </c>
      <c r="G321" s="79">
        <f>StockInData[Expiry]</f>
        <v>44551</v>
      </c>
      <c r="H321" s="76">
        <v>25</v>
      </c>
      <c r="I321" s="76">
        <f>SUMIFS(StockInData[Quantity],StockInData[Product ID],ProductMaster!$B321)-SUMIFS(StockOutData[Quantity],StockOutData[Product ID],ProductMaster!$B321)</f>
        <v>86</v>
      </c>
      <c r="J321" s="80">
        <f>SUMIFS(StockInData[Value],StockInData[Product ID],ProductMaster!$B321)-SUMIFS(StockOutData[Value],StockOutData[Product ID],ProductMaster!$B321)</f>
        <v>215</v>
      </c>
    </row>
    <row r="322" spans="1:10" x14ac:dyDescent="0.25">
      <c r="A322" s="75">
        <v>321</v>
      </c>
      <c r="B322" s="76" t="s">
        <v>661</v>
      </c>
      <c r="C322" s="77" t="s">
        <v>662</v>
      </c>
      <c r="D322" s="76" t="s">
        <v>869</v>
      </c>
      <c r="E322" s="76" t="s">
        <v>875</v>
      </c>
      <c r="F322" s="78">
        <v>10</v>
      </c>
      <c r="G322" s="79">
        <f>StockInData[Expiry]</f>
        <v>44553</v>
      </c>
      <c r="H322" s="76">
        <v>25</v>
      </c>
      <c r="I322" s="76">
        <f>SUMIFS(StockInData[Quantity],StockInData[Product ID],ProductMaster!$B322)-SUMIFS(StockOutData[Quantity],StockOutData[Product ID],ProductMaster!$B322)</f>
        <v>42</v>
      </c>
      <c r="J322" s="80">
        <f>SUMIFS(StockInData[Value],StockInData[Product ID],ProductMaster!$B322)-SUMIFS(StockOutData[Value],StockOutData[Product ID],ProductMaster!$B322)</f>
        <v>105</v>
      </c>
    </row>
    <row r="323" spans="1:10" x14ac:dyDescent="0.25">
      <c r="A323" s="75">
        <v>322</v>
      </c>
      <c r="B323" s="76" t="s">
        <v>663</v>
      </c>
      <c r="C323" s="77" t="s">
        <v>664</v>
      </c>
      <c r="D323" s="76" t="s">
        <v>869</v>
      </c>
      <c r="E323" s="76" t="s">
        <v>876</v>
      </c>
      <c r="F323" s="78">
        <v>10</v>
      </c>
      <c r="G323" s="79">
        <f>StockInData[Expiry]</f>
        <v>44555</v>
      </c>
      <c r="H323" s="76">
        <v>25</v>
      </c>
      <c r="I323" s="76">
        <f>SUMIFS(StockInData[Quantity],StockInData[Product ID],ProductMaster!$B323)-SUMIFS(StockOutData[Quantity],StockOutData[Product ID],ProductMaster!$B323)</f>
        <v>28</v>
      </c>
      <c r="J323" s="80">
        <f>SUMIFS(StockInData[Value],StockInData[Product ID],ProductMaster!$B323)-SUMIFS(StockOutData[Value],StockOutData[Product ID],ProductMaster!$B323)</f>
        <v>70</v>
      </c>
    </row>
    <row r="324" spans="1:10" x14ac:dyDescent="0.25">
      <c r="A324" s="75">
        <v>323</v>
      </c>
      <c r="B324" s="76" t="s">
        <v>665</v>
      </c>
      <c r="C324" s="77" t="s">
        <v>666</v>
      </c>
      <c r="D324" s="76" t="s">
        <v>869</v>
      </c>
      <c r="E324" s="76" t="s">
        <v>876</v>
      </c>
      <c r="F324" s="78">
        <v>10</v>
      </c>
      <c r="G324" s="79">
        <f>StockInData[Expiry]</f>
        <v>44557</v>
      </c>
      <c r="H324" s="76">
        <v>25</v>
      </c>
      <c r="I324" s="76">
        <f>SUMIFS(StockInData[Quantity],StockInData[Product ID],ProductMaster!$B324)-SUMIFS(StockOutData[Quantity],StockOutData[Product ID],ProductMaster!$B324)</f>
        <v>16</v>
      </c>
      <c r="J324" s="80">
        <f>SUMIFS(StockInData[Value],StockInData[Product ID],ProductMaster!$B324)-SUMIFS(StockOutData[Value],StockOutData[Product ID],ProductMaster!$B324)</f>
        <v>40</v>
      </c>
    </row>
    <row r="325" spans="1:10" x14ac:dyDescent="0.25">
      <c r="A325" s="75">
        <v>324</v>
      </c>
      <c r="B325" s="76" t="s">
        <v>667</v>
      </c>
      <c r="C325" s="77" t="s">
        <v>668</v>
      </c>
      <c r="D325" s="76" t="s">
        <v>869</v>
      </c>
      <c r="E325" s="76" t="s">
        <v>876</v>
      </c>
      <c r="F325" s="78">
        <v>10</v>
      </c>
      <c r="G325" s="79">
        <f>StockInData[Expiry]</f>
        <v>44559</v>
      </c>
      <c r="H325" s="76">
        <v>25</v>
      </c>
      <c r="I325" s="76">
        <f>SUMIFS(StockInData[Quantity],StockInData[Product ID],ProductMaster!$B325)-SUMIFS(StockOutData[Quantity],StockOutData[Product ID],ProductMaster!$B325)</f>
        <v>12</v>
      </c>
      <c r="J325" s="80">
        <f>SUMIFS(StockInData[Value],StockInData[Product ID],ProductMaster!$B325)-SUMIFS(StockOutData[Value],StockOutData[Product ID],ProductMaster!$B325)</f>
        <v>30</v>
      </c>
    </row>
    <row r="326" spans="1:10" x14ac:dyDescent="0.25">
      <c r="A326" s="75">
        <v>325</v>
      </c>
      <c r="B326" s="76" t="s">
        <v>669</v>
      </c>
      <c r="C326" s="77" t="s">
        <v>670</v>
      </c>
      <c r="D326" s="76" t="s">
        <v>869</v>
      </c>
      <c r="E326" s="76" t="s">
        <v>876</v>
      </c>
      <c r="F326" s="78">
        <v>10</v>
      </c>
      <c r="G326" s="79">
        <f>StockInData[Expiry]</f>
        <v>44561</v>
      </c>
      <c r="H326" s="76">
        <v>25</v>
      </c>
      <c r="I326" s="76">
        <f>SUMIFS(StockInData[Quantity],StockInData[Product ID],ProductMaster!$B326)-SUMIFS(StockOutData[Quantity],StockOutData[Product ID],ProductMaster!$B326)</f>
        <v>15</v>
      </c>
      <c r="J326" s="80">
        <f>SUMIFS(StockInData[Value],StockInData[Product ID],ProductMaster!$B326)-SUMIFS(StockOutData[Value],StockOutData[Product ID],ProductMaster!$B326)</f>
        <v>37.5</v>
      </c>
    </row>
    <row r="327" spans="1:10" x14ac:dyDescent="0.25">
      <c r="A327" s="75">
        <v>326</v>
      </c>
      <c r="B327" s="76" t="s">
        <v>671</v>
      </c>
      <c r="C327" s="77" t="s">
        <v>672</v>
      </c>
      <c r="D327" s="76" t="s">
        <v>869</v>
      </c>
      <c r="E327" s="76" t="s">
        <v>876</v>
      </c>
      <c r="F327" s="78">
        <v>10</v>
      </c>
      <c r="G327" s="79">
        <f>StockInData[Expiry]</f>
        <v>44563</v>
      </c>
      <c r="H327" s="76">
        <v>25</v>
      </c>
      <c r="I327" s="76">
        <f>SUMIFS(StockInData[Quantity],StockInData[Product ID],ProductMaster!$B327)-SUMIFS(StockOutData[Quantity],StockOutData[Product ID],ProductMaster!$B327)</f>
        <v>12</v>
      </c>
      <c r="J327" s="80">
        <f>SUMIFS(StockInData[Value],StockInData[Product ID],ProductMaster!$B327)-SUMIFS(StockOutData[Value],StockOutData[Product ID],ProductMaster!$B327)</f>
        <v>30</v>
      </c>
    </row>
    <row r="328" spans="1:10" x14ac:dyDescent="0.25">
      <c r="A328" s="75">
        <v>327</v>
      </c>
      <c r="B328" s="76" t="s">
        <v>673</v>
      </c>
      <c r="C328" s="77" t="s">
        <v>674</v>
      </c>
      <c r="D328" s="76" t="s">
        <v>877</v>
      </c>
      <c r="E328" s="76" t="s">
        <v>876</v>
      </c>
      <c r="F328" s="78">
        <v>10</v>
      </c>
      <c r="G328" s="79">
        <f>StockInData[Expiry]</f>
        <v>44565</v>
      </c>
      <c r="H328" s="76">
        <v>25</v>
      </c>
      <c r="I328" s="76">
        <f>SUMIFS(StockInData[Quantity],StockInData[Product ID],ProductMaster!$B328)-SUMIFS(StockOutData[Quantity],StockOutData[Product ID],ProductMaster!$B328)</f>
        <v>8</v>
      </c>
      <c r="J328" s="80">
        <f>SUMIFS(StockInData[Value],StockInData[Product ID],ProductMaster!$B328)-SUMIFS(StockOutData[Value],StockOutData[Product ID],ProductMaster!$B328)</f>
        <v>20</v>
      </c>
    </row>
    <row r="329" spans="1:10" x14ac:dyDescent="0.25">
      <c r="A329" s="75">
        <v>328</v>
      </c>
      <c r="B329" s="76" t="s">
        <v>675</v>
      </c>
      <c r="C329" s="77" t="s">
        <v>676</v>
      </c>
      <c r="D329" s="76" t="s">
        <v>877</v>
      </c>
      <c r="E329" s="76" t="s">
        <v>876</v>
      </c>
      <c r="F329" s="78">
        <v>10</v>
      </c>
      <c r="G329" s="79">
        <f>StockInData[Expiry]</f>
        <v>44567</v>
      </c>
      <c r="H329" s="76">
        <v>25</v>
      </c>
      <c r="I329" s="76">
        <f>SUMIFS(StockInData[Quantity],StockInData[Product ID],ProductMaster!$B329)-SUMIFS(StockOutData[Quantity],StockOutData[Product ID],ProductMaster!$B329)</f>
        <v>47</v>
      </c>
      <c r="J329" s="80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75">
        <v>329</v>
      </c>
      <c r="B330" s="76" t="s">
        <v>677</v>
      </c>
      <c r="C330" s="77" t="s">
        <v>678</v>
      </c>
      <c r="D330" s="76" t="s">
        <v>877</v>
      </c>
      <c r="E330" s="76" t="s">
        <v>876</v>
      </c>
      <c r="F330" s="78">
        <v>10</v>
      </c>
      <c r="G330" s="79">
        <f>StockInData[Expiry]</f>
        <v>44569</v>
      </c>
      <c r="H330" s="76">
        <v>25</v>
      </c>
      <c r="I330" s="76">
        <f>SUMIFS(StockInData[Quantity],StockInData[Product ID],ProductMaster!$B330)-SUMIFS(StockOutData[Quantity],StockOutData[Product ID],ProductMaster!$B330)</f>
        <v>62</v>
      </c>
      <c r="J330" s="80">
        <f>SUMIFS(StockInData[Value],StockInData[Product ID],ProductMaster!$B330)-SUMIFS(StockOutData[Value],StockOutData[Product ID],ProductMaster!$B330)</f>
        <v>155</v>
      </c>
    </row>
    <row r="331" spans="1:10" x14ac:dyDescent="0.25">
      <c r="A331" s="75">
        <v>330</v>
      </c>
      <c r="B331" s="76" t="s">
        <v>679</v>
      </c>
      <c r="C331" s="77" t="s">
        <v>680</v>
      </c>
      <c r="D331" s="76" t="s">
        <v>877</v>
      </c>
      <c r="E331" s="76" t="s">
        <v>876</v>
      </c>
      <c r="F331" s="78">
        <v>10</v>
      </c>
      <c r="G331" s="79">
        <f>StockInData[Expiry]</f>
        <v>44571</v>
      </c>
      <c r="H331" s="76">
        <v>25</v>
      </c>
      <c r="I331" s="76">
        <f>SUMIFS(StockInData[Quantity],StockInData[Product ID],ProductMaster!$B331)-SUMIFS(StockOutData[Quantity],StockOutData[Product ID],ProductMaster!$B331)</f>
        <v>70</v>
      </c>
      <c r="J331" s="80">
        <f>SUMIFS(StockInData[Value],StockInData[Product ID],ProductMaster!$B331)-SUMIFS(StockOutData[Value],StockOutData[Product ID],ProductMaster!$B331)</f>
        <v>175</v>
      </c>
    </row>
    <row r="332" spans="1:10" x14ac:dyDescent="0.25">
      <c r="A332" s="75">
        <v>331</v>
      </c>
      <c r="B332" s="76" t="s">
        <v>681</v>
      </c>
      <c r="C332" s="77" t="s">
        <v>682</v>
      </c>
      <c r="D332" s="76" t="s">
        <v>877</v>
      </c>
      <c r="E332" s="76" t="s">
        <v>876</v>
      </c>
      <c r="F332" s="78">
        <v>10</v>
      </c>
      <c r="G332" s="79">
        <f>StockInData[Expiry]</f>
        <v>44573</v>
      </c>
      <c r="H332" s="76">
        <v>25</v>
      </c>
      <c r="I332" s="76">
        <f>SUMIFS(StockInData[Quantity],StockInData[Product ID],ProductMaster!$B332)-SUMIFS(StockOutData[Quantity],StockOutData[Product ID],ProductMaster!$B332)</f>
        <v>86</v>
      </c>
      <c r="J332" s="80">
        <f>SUMIFS(StockInData[Value],StockInData[Product ID],ProductMaster!$B332)-SUMIFS(StockOutData[Value],StockOutData[Product ID],ProductMaster!$B332)</f>
        <v>215</v>
      </c>
    </row>
    <row r="333" spans="1:10" x14ac:dyDescent="0.25">
      <c r="A333" s="75">
        <v>332</v>
      </c>
      <c r="B333" s="76" t="s">
        <v>683</v>
      </c>
      <c r="C333" s="77" t="s">
        <v>684</v>
      </c>
      <c r="D333" s="76" t="s">
        <v>877</v>
      </c>
      <c r="E333" s="76" t="s">
        <v>876</v>
      </c>
      <c r="F333" s="78">
        <v>10</v>
      </c>
      <c r="G333" s="79">
        <f>StockInData[Expiry]</f>
        <v>44575</v>
      </c>
      <c r="H333" s="76">
        <v>25</v>
      </c>
      <c r="I333" s="76">
        <f>SUMIFS(StockInData[Quantity],StockInData[Product ID],ProductMaster!$B333)-SUMIFS(StockOutData[Quantity],StockOutData[Product ID],ProductMaster!$B333)</f>
        <v>96</v>
      </c>
      <c r="J333" s="80">
        <f>SUMIFS(StockInData[Value],StockInData[Product ID],ProductMaster!$B333)-SUMIFS(StockOutData[Value],StockOutData[Product ID],ProductMaster!$B333)</f>
        <v>240</v>
      </c>
    </row>
    <row r="334" spans="1:10" x14ac:dyDescent="0.25">
      <c r="A334" s="75">
        <v>333</v>
      </c>
      <c r="B334" s="76" t="s">
        <v>685</v>
      </c>
      <c r="C334" s="77" t="s">
        <v>686</v>
      </c>
      <c r="D334" s="76" t="s">
        <v>877</v>
      </c>
      <c r="E334" s="76" t="s">
        <v>876</v>
      </c>
      <c r="F334" s="78">
        <v>10</v>
      </c>
      <c r="G334" s="79">
        <f>StockInData[Expiry]</f>
        <v>44577</v>
      </c>
      <c r="H334" s="76">
        <v>25</v>
      </c>
      <c r="I334" s="76">
        <f>SUMIFS(StockInData[Quantity],StockInData[Product ID],ProductMaster!$B334)-SUMIFS(StockOutData[Quantity],StockOutData[Product ID],ProductMaster!$B334)</f>
        <v>53</v>
      </c>
      <c r="J334" s="80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75">
        <v>334</v>
      </c>
      <c r="B335" s="76" t="s">
        <v>687</v>
      </c>
      <c r="C335" s="77" t="s">
        <v>688</v>
      </c>
      <c r="D335" s="76" t="s">
        <v>877</v>
      </c>
      <c r="E335" s="76" t="s">
        <v>876</v>
      </c>
      <c r="F335" s="78">
        <v>10</v>
      </c>
      <c r="G335" s="79">
        <f>StockInData[Expiry]</f>
        <v>44579</v>
      </c>
      <c r="H335" s="76">
        <v>25</v>
      </c>
      <c r="I335" s="76">
        <f>SUMIFS(StockInData[Quantity],StockInData[Product ID],ProductMaster!$B335)-SUMIFS(StockOutData[Quantity],StockOutData[Product ID],ProductMaster!$B335)</f>
        <v>25</v>
      </c>
      <c r="J335" s="80">
        <f>SUMIFS(StockInData[Value],StockInData[Product ID],ProductMaster!$B335)-SUMIFS(StockOutData[Value],StockOutData[Product ID],ProductMaster!$B335)</f>
        <v>62.5</v>
      </c>
    </row>
    <row r="336" spans="1:10" x14ac:dyDescent="0.25">
      <c r="A336" s="75">
        <v>335</v>
      </c>
      <c r="B336" s="76" t="s">
        <v>689</v>
      </c>
      <c r="C336" s="77" t="s">
        <v>690</v>
      </c>
      <c r="D336" s="76" t="s">
        <v>877</v>
      </c>
      <c r="E336" s="76" t="s">
        <v>876</v>
      </c>
      <c r="F336" s="78">
        <v>10</v>
      </c>
      <c r="G336" s="79">
        <f>StockInData[Expiry]</f>
        <v>44581</v>
      </c>
      <c r="H336" s="76">
        <v>25</v>
      </c>
      <c r="I336" s="76">
        <f>SUMIFS(StockInData[Quantity],StockInData[Product ID],ProductMaster!$B336)-SUMIFS(StockOutData[Quantity],StockOutData[Product ID],ProductMaster!$B336)</f>
        <v>12</v>
      </c>
      <c r="J336" s="80">
        <f>SUMIFS(StockInData[Value],StockInData[Product ID],ProductMaster!$B336)-SUMIFS(StockOutData[Value],StockOutData[Product ID],ProductMaster!$B336)</f>
        <v>30</v>
      </c>
    </row>
    <row r="337" spans="1:10" x14ac:dyDescent="0.25">
      <c r="A337" s="75">
        <v>336</v>
      </c>
      <c r="B337" s="76" t="s">
        <v>691</v>
      </c>
      <c r="C337" s="77" t="s">
        <v>692</v>
      </c>
      <c r="D337" s="76" t="s">
        <v>877</v>
      </c>
      <c r="E337" s="76" t="s">
        <v>876</v>
      </c>
      <c r="F337" s="78">
        <v>10</v>
      </c>
      <c r="G337" s="79">
        <f>StockInData[Expiry]</f>
        <v>44583</v>
      </c>
      <c r="H337" s="76">
        <v>25</v>
      </c>
      <c r="I337" s="76">
        <f>SUMIFS(StockInData[Quantity],StockInData[Product ID],ProductMaster!$B337)-SUMIFS(StockOutData[Quantity],StockOutData[Product ID],ProductMaster!$B337)</f>
        <v>13</v>
      </c>
      <c r="J337" s="80">
        <f>SUMIFS(StockInData[Value],StockInData[Product ID],ProductMaster!$B337)-SUMIFS(StockOutData[Value],StockOutData[Product ID],ProductMaster!$B337)</f>
        <v>32.5</v>
      </c>
    </row>
    <row r="338" spans="1:10" x14ac:dyDescent="0.25">
      <c r="A338" s="75">
        <v>337</v>
      </c>
      <c r="B338" s="76" t="s">
        <v>693</v>
      </c>
      <c r="C338" s="77" t="s">
        <v>694</v>
      </c>
      <c r="D338" s="76" t="s">
        <v>877</v>
      </c>
      <c r="E338" s="76" t="s">
        <v>876</v>
      </c>
      <c r="F338" s="78">
        <v>10</v>
      </c>
      <c r="G338" s="79">
        <f>StockInData[Expiry]</f>
        <v>44585</v>
      </c>
      <c r="H338" s="76">
        <v>25</v>
      </c>
      <c r="I338" s="76">
        <f>SUMIFS(StockInData[Quantity],StockInData[Product ID],ProductMaster!$B338)-SUMIFS(StockOutData[Quantity],StockOutData[Product ID],ProductMaster!$B338)</f>
        <v>10</v>
      </c>
      <c r="J338" s="80">
        <f>SUMIFS(StockInData[Value],StockInData[Product ID],ProductMaster!$B338)-SUMIFS(StockOutData[Value],StockOutData[Product ID],ProductMaster!$B338)</f>
        <v>25</v>
      </c>
    </row>
    <row r="339" spans="1:10" x14ac:dyDescent="0.25">
      <c r="A339" s="75">
        <v>338</v>
      </c>
      <c r="B339" s="76" t="s">
        <v>695</v>
      </c>
      <c r="C339" s="77" t="s">
        <v>696</v>
      </c>
      <c r="D339" s="76" t="s">
        <v>877</v>
      </c>
      <c r="E339" s="76" t="s">
        <v>876</v>
      </c>
      <c r="F339" s="78">
        <v>10</v>
      </c>
      <c r="G339" s="79">
        <f>StockInData[Expiry]</f>
        <v>44587</v>
      </c>
      <c r="H339" s="76">
        <v>25</v>
      </c>
      <c r="I339" s="76">
        <f>SUMIFS(StockInData[Quantity],StockInData[Product ID],ProductMaster!$B339)-SUMIFS(StockOutData[Quantity],StockOutData[Product ID],ProductMaster!$B339)</f>
        <v>9</v>
      </c>
      <c r="J339" s="80">
        <f>SUMIFS(StockInData[Value],StockInData[Product ID],ProductMaster!$B339)-SUMIFS(StockOutData[Value],StockOutData[Product ID],ProductMaster!$B339)</f>
        <v>22.5</v>
      </c>
    </row>
    <row r="340" spans="1:10" x14ac:dyDescent="0.25">
      <c r="A340" s="75">
        <v>339</v>
      </c>
      <c r="B340" s="76" t="s">
        <v>697</v>
      </c>
      <c r="C340" s="77" t="s">
        <v>698</v>
      </c>
      <c r="D340" s="76" t="s">
        <v>877</v>
      </c>
      <c r="E340" s="76" t="s">
        <v>876</v>
      </c>
      <c r="F340" s="78">
        <v>10</v>
      </c>
      <c r="G340" s="79">
        <f>StockInData[Expiry]</f>
        <v>44589</v>
      </c>
      <c r="H340" s="76">
        <v>25</v>
      </c>
      <c r="I340" s="76">
        <f>SUMIFS(StockInData[Quantity],StockInData[Product ID],ProductMaster!$B340)-SUMIFS(StockOutData[Quantity],StockOutData[Product ID],ProductMaster!$B340)</f>
        <v>13</v>
      </c>
      <c r="J340" s="80">
        <f>SUMIFS(StockInData[Value],StockInData[Product ID],ProductMaster!$B340)-SUMIFS(StockOutData[Value],StockOutData[Product ID],ProductMaster!$B340)</f>
        <v>32.5</v>
      </c>
    </row>
    <row r="341" spans="1:10" x14ac:dyDescent="0.25">
      <c r="A341" s="75">
        <v>340</v>
      </c>
      <c r="B341" s="76" t="s">
        <v>699</v>
      </c>
      <c r="C341" s="77" t="s">
        <v>700</v>
      </c>
      <c r="D341" s="76" t="s">
        <v>877</v>
      </c>
      <c r="E341" s="76" t="s">
        <v>876</v>
      </c>
      <c r="F341" s="78">
        <v>10</v>
      </c>
      <c r="G341" s="79">
        <f>StockInData[Expiry]</f>
        <v>44591</v>
      </c>
      <c r="H341" s="76">
        <v>25</v>
      </c>
      <c r="I341" s="76">
        <f>SUMIFS(StockInData[Quantity],StockInData[Product ID],ProductMaster!$B341)-SUMIFS(StockOutData[Quantity],StockOutData[Product ID],ProductMaster!$B341)</f>
        <v>58</v>
      </c>
      <c r="J341" s="80">
        <f>SUMIFS(StockInData[Value],StockInData[Product ID],ProductMaster!$B341)-SUMIFS(StockOutData[Value],StockOutData[Product ID],ProductMaster!$B341)</f>
        <v>145</v>
      </c>
    </row>
    <row r="342" spans="1:10" x14ac:dyDescent="0.25">
      <c r="A342" s="75">
        <v>341</v>
      </c>
      <c r="B342" s="76" t="s">
        <v>701</v>
      </c>
      <c r="C342" s="77" t="s">
        <v>702</v>
      </c>
      <c r="D342" s="76" t="s">
        <v>877</v>
      </c>
      <c r="E342" s="76" t="s">
        <v>876</v>
      </c>
      <c r="F342" s="78">
        <v>10</v>
      </c>
      <c r="G342" s="79">
        <f>StockInData[Expiry]</f>
        <v>44593</v>
      </c>
      <c r="H342" s="76">
        <v>25</v>
      </c>
      <c r="I342" s="76">
        <f>SUMIFS(StockInData[Quantity],StockInData[Product ID],ProductMaster!$B342)-SUMIFS(StockOutData[Quantity],StockOutData[Product ID],ProductMaster!$B342)</f>
        <v>59</v>
      </c>
      <c r="J342" s="80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75">
        <v>342</v>
      </c>
      <c r="B343" s="76" t="s">
        <v>703</v>
      </c>
      <c r="C343" s="77" t="s">
        <v>704</v>
      </c>
      <c r="D343" s="76" t="s">
        <v>877</v>
      </c>
      <c r="E343" s="76" t="s">
        <v>876</v>
      </c>
      <c r="F343" s="78">
        <v>10</v>
      </c>
      <c r="G343" s="79">
        <f>StockInData[Expiry]</f>
        <v>44595</v>
      </c>
      <c r="H343" s="76">
        <v>25</v>
      </c>
      <c r="I343" s="76">
        <f>SUMIFS(StockInData[Quantity],StockInData[Product ID],ProductMaster!$B343)-SUMIFS(StockOutData[Quantity],StockOutData[Product ID],ProductMaster!$B343)</f>
        <v>66</v>
      </c>
      <c r="J343" s="80">
        <f>SUMIFS(StockInData[Value],StockInData[Product ID],ProductMaster!$B343)-SUMIFS(StockOutData[Value],StockOutData[Product ID],ProductMaster!$B343)</f>
        <v>165</v>
      </c>
    </row>
    <row r="344" spans="1:10" x14ac:dyDescent="0.25">
      <c r="A344" s="75">
        <v>343</v>
      </c>
      <c r="B344" s="76" t="s">
        <v>705</v>
      </c>
      <c r="C344" s="77" t="s">
        <v>706</v>
      </c>
      <c r="D344" s="76" t="s">
        <v>877</v>
      </c>
      <c r="E344" s="76" t="s">
        <v>876</v>
      </c>
      <c r="F344" s="78">
        <v>10</v>
      </c>
      <c r="G344" s="79">
        <f>StockInData[Expiry]</f>
        <v>44597</v>
      </c>
      <c r="H344" s="76">
        <v>25</v>
      </c>
      <c r="I344" s="76">
        <f>SUMIFS(StockInData[Quantity],StockInData[Product ID],ProductMaster!$B344)-SUMIFS(StockOutData[Quantity],StockOutData[Product ID],ProductMaster!$B344)</f>
        <v>87</v>
      </c>
      <c r="J344" s="80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75">
        <v>344</v>
      </c>
      <c r="B345" s="76" t="s">
        <v>707</v>
      </c>
      <c r="C345" s="77" t="s">
        <v>708</v>
      </c>
      <c r="D345" s="76" t="s">
        <v>877</v>
      </c>
      <c r="E345" s="76" t="s">
        <v>876</v>
      </c>
      <c r="F345" s="78">
        <v>10</v>
      </c>
      <c r="G345" s="79">
        <f>StockInData[Expiry]</f>
        <v>44599</v>
      </c>
      <c r="H345" s="76">
        <v>25</v>
      </c>
      <c r="I345" s="76">
        <f>SUMIFS(StockInData[Quantity],StockInData[Product ID],ProductMaster!$B345)-SUMIFS(StockOutData[Quantity],StockOutData[Product ID],ProductMaster!$B345)</f>
        <v>87</v>
      </c>
      <c r="J345" s="80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75">
        <v>345</v>
      </c>
      <c r="B346" s="76" t="s">
        <v>709</v>
      </c>
      <c r="C346" s="77" t="s">
        <v>710</v>
      </c>
      <c r="D346" s="76" t="s">
        <v>869</v>
      </c>
      <c r="E346" s="76" t="s">
        <v>876</v>
      </c>
      <c r="F346" s="78">
        <v>10</v>
      </c>
      <c r="G346" s="79">
        <f>StockInData[Expiry]</f>
        <v>44601</v>
      </c>
      <c r="H346" s="76">
        <v>25</v>
      </c>
      <c r="I346" s="76">
        <f>SUMIFS(StockInData[Quantity],StockInData[Product ID],ProductMaster!$B346)-SUMIFS(StockOutData[Quantity],StockOutData[Product ID],ProductMaster!$B346)</f>
        <v>87</v>
      </c>
      <c r="J346" s="80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75">
        <v>346</v>
      </c>
      <c r="B347" s="76" t="s">
        <v>711</v>
      </c>
      <c r="C347" s="77" t="s">
        <v>712</v>
      </c>
      <c r="D347" s="76" t="s">
        <v>869</v>
      </c>
      <c r="E347" s="76" t="s">
        <v>876</v>
      </c>
      <c r="F347" s="78">
        <v>10</v>
      </c>
      <c r="G347" s="79">
        <f>StockInData[Expiry]</f>
        <v>44603</v>
      </c>
      <c r="H347" s="76">
        <v>25</v>
      </c>
      <c r="I347" s="76">
        <f>SUMIFS(StockInData[Quantity],StockInData[Product ID],ProductMaster!$B347)-SUMIFS(StockOutData[Quantity],StockOutData[Product ID],ProductMaster!$B347)</f>
        <v>43</v>
      </c>
      <c r="J347" s="80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75">
        <v>347</v>
      </c>
      <c r="B348" s="76" t="s">
        <v>713</v>
      </c>
      <c r="C348" s="77" t="s">
        <v>714</v>
      </c>
      <c r="D348" s="76" t="s">
        <v>869</v>
      </c>
      <c r="E348" s="76" t="s">
        <v>876</v>
      </c>
      <c r="F348" s="78">
        <v>10</v>
      </c>
      <c r="G348" s="79">
        <f>StockInData[Expiry]</f>
        <v>44605</v>
      </c>
      <c r="H348" s="76">
        <v>25</v>
      </c>
      <c r="I348" s="76">
        <f>SUMIFS(StockInData[Quantity],StockInData[Product ID],ProductMaster!$B348)-SUMIFS(StockOutData[Quantity],StockOutData[Product ID],ProductMaster!$B348)</f>
        <v>33</v>
      </c>
      <c r="J348" s="80">
        <f>SUMIFS(StockInData[Value],StockInData[Product ID],ProductMaster!$B348)-SUMIFS(StockOutData[Value],StockOutData[Product ID],ProductMaster!$B348)</f>
        <v>82.5</v>
      </c>
    </row>
    <row r="349" spans="1:10" x14ac:dyDescent="0.25">
      <c r="A349" s="75">
        <v>348</v>
      </c>
      <c r="B349" s="76" t="s">
        <v>715</v>
      </c>
      <c r="C349" s="77" t="s">
        <v>716</v>
      </c>
      <c r="D349" s="76" t="s">
        <v>869</v>
      </c>
      <c r="E349" s="76" t="s">
        <v>876</v>
      </c>
      <c r="F349" s="78">
        <v>10</v>
      </c>
      <c r="G349" s="79">
        <f>StockInData[Expiry]</f>
        <v>44607</v>
      </c>
      <c r="H349" s="76">
        <v>25</v>
      </c>
      <c r="I349" s="76">
        <f>SUMIFS(StockInData[Quantity],StockInData[Product ID],ProductMaster!$B349)-SUMIFS(StockOutData[Quantity],StockOutData[Product ID],ProductMaster!$B349)</f>
        <v>15</v>
      </c>
      <c r="J349" s="80">
        <f>SUMIFS(StockInData[Value],StockInData[Product ID],ProductMaster!$B349)-SUMIFS(StockOutData[Value],StockOutData[Product ID],ProductMaster!$B349)</f>
        <v>37.5</v>
      </c>
    </row>
    <row r="350" spans="1:10" x14ac:dyDescent="0.25">
      <c r="A350" s="75">
        <v>349</v>
      </c>
      <c r="B350" s="76" t="s">
        <v>717</v>
      </c>
      <c r="C350" s="77" t="s">
        <v>718</v>
      </c>
      <c r="D350" s="76" t="s">
        <v>869</v>
      </c>
      <c r="E350" s="76" t="s">
        <v>876</v>
      </c>
      <c r="F350" s="78">
        <v>10</v>
      </c>
      <c r="G350" s="79">
        <f>StockInData[Expiry]</f>
        <v>44609</v>
      </c>
      <c r="H350" s="76">
        <v>25</v>
      </c>
      <c r="I350" s="76">
        <f>SUMIFS(StockInData[Quantity],StockInData[Product ID],ProductMaster!$B350)-SUMIFS(StockOutData[Quantity],StockOutData[Product ID],ProductMaster!$B350)</f>
        <v>7</v>
      </c>
      <c r="J350" s="80">
        <f>SUMIFS(StockInData[Value],StockInData[Product ID],ProductMaster!$B350)-SUMIFS(StockOutData[Value],StockOutData[Product ID],ProductMaster!$B350)</f>
        <v>17.5</v>
      </c>
    </row>
    <row r="351" spans="1:10" x14ac:dyDescent="0.25">
      <c r="A351" s="75">
        <v>350</v>
      </c>
      <c r="B351" s="76" t="s">
        <v>719</v>
      </c>
      <c r="C351" s="77" t="s">
        <v>720</v>
      </c>
      <c r="D351" s="76" t="s">
        <v>869</v>
      </c>
      <c r="E351" s="76" t="s">
        <v>876</v>
      </c>
      <c r="F351" s="78">
        <v>10</v>
      </c>
      <c r="G351" s="79">
        <f>StockInData[Expiry]</f>
        <v>44611</v>
      </c>
      <c r="H351" s="76">
        <v>25</v>
      </c>
      <c r="I351" s="76">
        <f>SUMIFS(StockInData[Quantity],StockInData[Product ID],ProductMaster!$B351)-SUMIFS(StockOutData[Quantity],StockOutData[Product ID],ProductMaster!$B351)</f>
        <v>8</v>
      </c>
      <c r="J351" s="80">
        <f>SUMIFS(StockInData[Value],StockInData[Product ID],ProductMaster!$B351)-SUMIFS(StockOutData[Value],StockOutData[Product ID],ProductMaster!$B351)</f>
        <v>20</v>
      </c>
    </row>
    <row r="352" spans="1:10" x14ac:dyDescent="0.25">
      <c r="A352" s="75">
        <v>351</v>
      </c>
      <c r="B352" s="76" t="s">
        <v>721</v>
      </c>
      <c r="C352" s="77" t="s">
        <v>722</v>
      </c>
      <c r="D352" s="76" t="s">
        <v>869</v>
      </c>
      <c r="E352" s="76" t="s">
        <v>876</v>
      </c>
      <c r="F352" s="78">
        <v>10</v>
      </c>
      <c r="G352" s="79">
        <f>StockInData[Expiry]</f>
        <v>44613</v>
      </c>
      <c r="H352" s="76">
        <v>25</v>
      </c>
      <c r="I352" s="76">
        <f>SUMIFS(StockInData[Quantity],StockInData[Product ID],ProductMaster!$B352)-SUMIFS(StockOutData[Quantity],StockOutData[Product ID],ProductMaster!$B352)</f>
        <v>5</v>
      </c>
      <c r="J352" s="80">
        <f>SUMIFS(StockInData[Value],StockInData[Product ID],ProductMaster!$B352)-SUMIFS(StockOutData[Value],StockOutData[Product ID],ProductMaster!$B352)</f>
        <v>12.5</v>
      </c>
    </row>
    <row r="353" spans="1:10" x14ac:dyDescent="0.25">
      <c r="A353" s="75">
        <v>352</v>
      </c>
      <c r="B353" s="76" t="s">
        <v>723</v>
      </c>
      <c r="C353" s="77" t="s">
        <v>724</v>
      </c>
      <c r="D353" s="76" t="s">
        <v>869</v>
      </c>
      <c r="E353" s="76" t="s">
        <v>876</v>
      </c>
      <c r="F353" s="78">
        <v>10</v>
      </c>
      <c r="G353" s="79">
        <f>StockInData[Expiry]</f>
        <v>44615</v>
      </c>
      <c r="H353" s="76">
        <v>25</v>
      </c>
      <c r="I353" s="76">
        <f>SUMIFS(StockInData[Quantity],StockInData[Product ID],ProductMaster!$B353)-SUMIFS(StockOutData[Quantity],StockOutData[Product ID],ProductMaster!$B353)</f>
        <v>10</v>
      </c>
      <c r="J353" s="80">
        <f>SUMIFS(StockInData[Value],StockInData[Product ID],ProductMaster!$B353)-SUMIFS(StockOutData[Value],StockOutData[Product ID],ProductMaster!$B353)</f>
        <v>25</v>
      </c>
    </row>
    <row r="354" spans="1:10" x14ac:dyDescent="0.25">
      <c r="A354" s="75">
        <v>353</v>
      </c>
      <c r="B354" s="76" t="s">
        <v>725</v>
      </c>
      <c r="C354" s="77" t="s">
        <v>726</v>
      </c>
      <c r="D354" s="76" t="s">
        <v>869</v>
      </c>
      <c r="E354" s="76" t="s">
        <v>876</v>
      </c>
      <c r="F354" s="78">
        <v>10</v>
      </c>
      <c r="G354" s="79">
        <f>StockInData[Expiry]</f>
        <v>44617</v>
      </c>
      <c r="H354" s="76">
        <v>25</v>
      </c>
      <c r="I354" s="76">
        <f>SUMIFS(StockInData[Quantity],StockInData[Product ID],ProductMaster!$B354)-SUMIFS(StockOutData[Quantity],StockOutData[Product ID],ProductMaster!$B354)</f>
        <v>60</v>
      </c>
      <c r="J354" s="80">
        <f>SUMIFS(StockInData[Value],StockInData[Product ID],ProductMaster!$B354)-SUMIFS(StockOutData[Value],StockOutData[Product ID],ProductMaster!$B354)</f>
        <v>150</v>
      </c>
    </row>
    <row r="355" spans="1:10" x14ac:dyDescent="0.25">
      <c r="A355" s="75">
        <v>354</v>
      </c>
      <c r="B355" s="76" t="s">
        <v>727</v>
      </c>
      <c r="C355" s="77" t="s">
        <v>728</v>
      </c>
      <c r="D355" s="76" t="s">
        <v>869</v>
      </c>
      <c r="E355" s="76" t="s">
        <v>876</v>
      </c>
      <c r="F355" s="78">
        <v>10</v>
      </c>
      <c r="G355" s="79">
        <f>StockInData[Expiry]</f>
        <v>44619</v>
      </c>
      <c r="H355" s="76">
        <v>25</v>
      </c>
      <c r="I355" s="76">
        <f>SUMIFS(StockInData[Quantity],StockInData[Product ID],ProductMaster!$B355)-SUMIFS(StockOutData[Quantity],StockOutData[Product ID],ProductMaster!$B355)</f>
        <v>67</v>
      </c>
      <c r="J355" s="80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75">
        <v>355</v>
      </c>
      <c r="B356" s="76" t="s">
        <v>729</v>
      </c>
      <c r="C356" s="77" t="s">
        <v>730</v>
      </c>
      <c r="D356" s="76" t="s">
        <v>869</v>
      </c>
      <c r="E356" s="76" t="s">
        <v>876</v>
      </c>
      <c r="F356" s="78">
        <v>10</v>
      </c>
      <c r="G356" s="79">
        <f>StockInData[Expiry]</f>
        <v>44621</v>
      </c>
      <c r="H356" s="76">
        <v>25</v>
      </c>
      <c r="I356" s="76">
        <f>SUMIFS(StockInData[Quantity],StockInData[Product ID],ProductMaster!$B356)-SUMIFS(StockOutData[Quantity],StockOutData[Product ID],ProductMaster!$B356)</f>
        <v>69</v>
      </c>
      <c r="J356" s="80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75">
        <v>356</v>
      </c>
      <c r="B357" s="76" t="s">
        <v>731</v>
      </c>
      <c r="C357" s="77" t="s">
        <v>732</v>
      </c>
      <c r="D357" s="76" t="s">
        <v>869</v>
      </c>
      <c r="E357" s="76" t="s">
        <v>876</v>
      </c>
      <c r="F357" s="78">
        <v>10</v>
      </c>
      <c r="G357" s="79">
        <f>StockInData[Expiry]</f>
        <v>44623</v>
      </c>
      <c r="H357" s="76">
        <v>25</v>
      </c>
      <c r="I357" s="76">
        <f>SUMIFS(StockInData[Quantity],StockInData[Product ID],ProductMaster!$B357)-SUMIFS(StockOutData[Quantity],StockOutData[Product ID],ProductMaster!$B357)</f>
        <v>81</v>
      </c>
      <c r="J357" s="80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75">
        <v>357</v>
      </c>
      <c r="B358" s="76" t="s">
        <v>733</v>
      </c>
      <c r="C358" s="77" t="s">
        <v>734</v>
      </c>
      <c r="D358" s="76" t="s">
        <v>869</v>
      </c>
      <c r="E358" s="76" t="s">
        <v>876</v>
      </c>
      <c r="F358" s="78">
        <v>10</v>
      </c>
      <c r="G358" s="79">
        <f>StockInData[Expiry]</f>
        <v>44625</v>
      </c>
      <c r="H358" s="76">
        <v>25</v>
      </c>
      <c r="I358" s="76">
        <f>SUMIFS(StockInData[Quantity],StockInData[Product ID],ProductMaster!$B358)-SUMIFS(StockOutData[Quantity],StockOutData[Product ID],ProductMaster!$B358)</f>
        <v>89</v>
      </c>
      <c r="J358" s="80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75">
        <v>358</v>
      </c>
      <c r="B359" s="76" t="s">
        <v>735</v>
      </c>
      <c r="C359" s="77" t="s">
        <v>736</v>
      </c>
      <c r="D359" s="76" t="s">
        <v>869</v>
      </c>
      <c r="E359" s="76" t="s">
        <v>876</v>
      </c>
      <c r="F359" s="78">
        <v>10</v>
      </c>
      <c r="G359" s="79">
        <f>StockInData[Expiry]</f>
        <v>44627</v>
      </c>
      <c r="H359" s="76">
        <v>25</v>
      </c>
      <c r="I359" s="76">
        <f>SUMIFS(StockInData[Quantity],StockInData[Product ID],ProductMaster!$B359)-SUMIFS(StockOutData[Quantity],StockOutData[Product ID],ProductMaster!$B359)</f>
        <v>90</v>
      </c>
      <c r="J359" s="80">
        <f>SUMIFS(StockInData[Value],StockInData[Product ID],ProductMaster!$B359)-SUMIFS(StockOutData[Value],StockOutData[Product ID],ProductMaster!$B359)</f>
        <v>225</v>
      </c>
    </row>
    <row r="360" spans="1:10" x14ac:dyDescent="0.25">
      <c r="A360" s="75">
        <v>359</v>
      </c>
      <c r="B360" s="76" t="s">
        <v>737</v>
      </c>
      <c r="C360" s="77" t="s">
        <v>738</v>
      </c>
      <c r="D360" s="76" t="s">
        <v>869</v>
      </c>
      <c r="E360" s="76" t="s">
        <v>876</v>
      </c>
      <c r="F360" s="78">
        <v>10</v>
      </c>
      <c r="G360" s="79">
        <f>StockInData[Expiry]</f>
        <v>44629</v>
      </c>
      <c r="H360" s="76">
        <v>25</v>
      </c>
      <c r="I360" s="76">
        <f>SUMIFS(StockInData[Quantity],StockInData[Product ID],ProductMaster!$B360)-SUMIFS(StockOutData[Quantity],StockOutData[Product ID],ProductMaster!$B360)</f>
        <v>90</v>
      </c>
      <c r="J360" s="80">
        <f>SUMIFS(StockInData[Value],StockInData[Product ID],ProductMaster!$B360)-SUMIFS(StockOutData[Value],StockOutData[Product ID],ProductMaster!$B360)</f>
        <v>225</v>
      </c>
    </row>
    <row r="361" spans="1:10" x14ac:dyDescent="0.25">
      <c r="A361" s="75">
        <v>360</v>
      </c>
      <c r="B361" s="76" t="s">
        <v>739</v>
      </c>
      <c r="C361" s="77" t="s">
        <v>740</v>
      </c>
      <c r="D361" s="76" t="s">
        <v>869</v>
      </c>
      <c r="E361" s="76" t="s">
        <v>876</v>
      </c>
      <c r="F361" s="78">
        <v>10</v>
      </c>
      <c r="G361" s="79">
        <f>StockInData[Expiry]</f>
        <v>44631</v>
      </c>
      <c r="H361" s="76">
        <v>25</v>
      </c>
      <c r="I361" s="76">
        <f>SUMIFS(StockInData[Quantity],StockInData[Product ID],ProductMaster!$B361)-SUMIFS(StockOutData[Quantity],StockOutData[Product ID],ProductMaster!$B361)</f>
        <v>90</v>
      </c>
      <c r="J361" s="80">
        <f>SUMIFS(StockInData[Value],StockInData[Product ID],ProductMaster!$B361)-SUMIFS(StockOutData[Value],StockOutData[Product ID],ProductMaster!$B361)</f>
        <v>225</v>
      </c>
    </row>
    <row r="362" spans="1:10" x14ac:dyDescent="0.25">
      <c r="A362" s="75">
        <v>361</v>
      </c>
      <c r="B362" s="76" t="s">
        <v>741</v>
      </c>
      <c r="C362" s="77" t="s">
        <v>742</v>
      </c>
      <c r="D362" s="76" t="s">
        <v>869</v>
      </c>
      <c r="E362" s="76" t="s">
        <v>876</v>
      </c>
      <c r="F362" s="78">
        <v>10</v>
      </c>
      <c r="G362" s="79">
        <f>StockInData[Expiry]</f>
        <v>44633</v>
      </c>
      <c r="H362" s="76">
        <v>25</v>
      </c>
      <c r="I362" s="76">
        <f>SUMIFS(StockInData[Quantity],StockInData[Product ID],ProductMaster!$B362)-SUMIFS(StockOutData[Quantity],StockOutData[Product ID],ProductMaster!$B362)</f>
        <v>30</v>
      </c>
      <c r="J362" s="80">
        <f>SUMIFS(StockInData[Value],StockInData[Product ID],ProductMaster!$B362)-SUMIFS(StockOutData[Value],StockOutData[Product ID],ProductMaster!$B362)</f>
        <v>75</v>
      </c>
    </row>
    <row r="363" spans="1:10" x14ac:dyDescent="0.25">
      <c r="A363" s="75">
        <v>362</v>
      </c>
      <c r="B363" s="76" t="s">
        <v>743</v>
      </c>
      <c r="C363" s="77" t="s">
        <v>744</v>
      </c>
      <c r="D363" s="76" t="s">
        <v>869</v>
      </c>
      <c r="E363" s="76" t="s">
        <v>876</v>
      </c>
      <c r="F363" s="78">
        <v>10</v>
      </c>
      <c r="G363" s="79">
        <f>StockInData[Expiry]</f>
        <v>44635</v>
      </c>
      <c r="H363" s="76">
        <v>25</v>
      </c>
      <c r="I363" s="76">
        <f>SUMIFS(StockInData[Quantity],StockInData[Product ID],ProductMaster!$B363)-SUMIFS(StockOutData[Quantity],StockOutData[Product ID],ProductMaster!$B363)</f>
        <v>23</v>
      </c>
      <c r="J363" s="80">
        <f>SUMIFS(StockInData[Value],StockInData[Product ID],ProductMaster!$B363)-SUMIFS(StockOutData[Value],StockOutData[Product ID],ProductMaster!$B363)</f>
        <v>57.5</v>
      </c>
    </row>
    <row r="364" spans="1:10" x14ac:dyDescent="0.25">
      <c r="A364" s="75">
        <v>363</v>
      </c>
      <c r="B364" s="76" t="s">
        <v>745</v>
      </c>
      <c r="C364" s="77" t="s">
        <v>746</v>
      </c>
      <c r="D364" s="76" t="s">
        <v>869</v>
      </c>
      <c r="E364" s="76" t="s">
        <v>876</v>
      </c>
      <c r="F364" s="78">
        <v>10</v>
      </c>
      <c r="G364" s="79">
        <f>StockInData[Expiry]</f>
        <v>44637</v>
      </c>
      <c r="H364" s="76">
        <v>25</v>
      </c>
      <c r="I364" s="76">
        <f>SUMIFS(StockInData[Quantity],StockInData[Product ID],ProductMaster!$B364)-SUMIFS(StockOutData[Quantity],StockOutData[Product ID],ProductMaster!$B364)</f>
        <v>-2</v>
      </c>
      <c r="J364" s="80">
        <f>SUMIFS(StockInData[Value],StockInData[Product ID],ProductMaster!$B364)-SUMIFS(StockOutData[Value],StockOutData[Product ID],ProductMaster!$B364)</f>
        <v>17.920000000000002</v>
      </c>
    </row>
    <row r="365" spans="1:10" x14ac:dyDescent="0.25">
      <c r="A365" s="75">
        <v>364</v>
      </c>
      <c r="B365" s="76" t="s">
        <v>747</v>
      </c>
      <c r="C365" s="77" t="s">
        <v>748</v>
      </c>
      <c r="D365" s="76" t="s">
        <v>869</v>
      </c>
      <c r="E365" s="76" t="s">
        <v>876</v>
      </c>
      <c r="F365" s="78">
        <v>10</v>
      </c>
      <c r="G365" s="79">
        <f>StockInData[Expiry]</f>
        <v>44639</v>
      </c>
      <c r="H365" s="76">
        <v>25</v>
      </c>
      <c r="I365" s="76">
        <f>SUMIFS(StockInData[Quantity],StockInData[Product ID],ProductMaster!$B365)-SUMIFS(StockOutData[Quantity],StockOutData[Product ID],ProductMaster!$B365)</f>
        <v>2</v>
      </c>
      <c r="J365" s="80">
        <f>SUMIFS(StockInData[Value],StockInData[Product ID],ProductMaster!$B365)-SUMIFS(StockOutData[Value],StockOutData[Product ID],ProductMaster!$B365)</f>
        <v>5</v>
      </c>
    </row>
    <row r="366" spans="1:10" x14ac:dyDescent="0.25">
      <c r="A366" s="75">
        <v>365</v>
      </c>
      <c r="B366" s="76" t="s">
        <v>749</v>
      </c>
      <c r="C366" s="77" t="s">
        <v>750</v>
      </c>
      <c r="D366" s="76" t="s">
        <v>869</v>
      </c>
      <c r="E366" s="76" t="s">
        <v>876</v>
      </c>
      <c r="F366" s="78">
        <v>10</v>
      </c>
      <c r="G366" s="79">
        <f>StockInData[Expiry]</f>
        <v>44641</v>
      </c>
      <c r="H366" s="76">
        <v>25</v>
      </c>
      <c r="I366" s="76">
        <f>SUMIFS(StockInData[Quantity],StockInData[Product ID],ProductMaster!$B366)-SUMIFS(StockOutData[Quantity],StockOutData[Product ID],ProductMaster!$B366)</f>
        <v>7</v>
      </c>
      <c r="J366" s="80">
        <f>SUMIFS(StockInData[Value],StockInData[Product ID],ProductMaster!$B366)-SUMIFS(StockOutData[Value],StockOutData[Product ID],ProductMaster!$B366)</f>
        <v>17.5</v>
      </c>
    </row>
    <row r="367" spans="1:10" x14ac:dyDescent="0.25">
      <c r="A367" s="75">
        <v>366</v>
      </c>
      <c r="B367" s="76" t="s">
        <v>751</v>
      </c>
      <c r="C367" s="77" t="s">
        <v>752</v>
      </c>
      <c r="D367" s="76" t="s">
        <v>869</v>
      </c>
      <c r="E367" s="76" t="s">
        <v>876</v>
      </c>
      <c r="F367" s="78">
        <v>10</v>
      </c>
      <c r="G367" s="79">
        <f>StockInData[Expiry]</f>
        <v>44643</v>
      </c>
      <c r="H367" s="76">
        <v>25</v>
      </c>
      <c r="I367" s="76">
        <f>SUMIFS(StockInData[Quantity],StockInData[Product ID],ProductMaster!$B367)-SUMIFS(StockOutData[Quantity],StockOutData[Product ID],ProductMaster!$B367)</f>
        <v>9</v>
      </c>
      <c r="J367" s="80">
        <f>SUMIFS(StockInData[Value],StockInData[Product ID],ProductMaster!$B367)-SUMIFS(StockOutData[Value],StockOutData[Product ID],ProductMaster!$B367)</f>
        <v>22.5</v>
      </c>
    </row>
    <row r="368" spans="1:10" x14ac:dyDescent="0.25">
      <c r="A368" s="75">
        <v>367</v>
      </c>
      <c r="B368" s="76" t="s">
        <v>753</v>
      </c>
      <c r="C368" s="77" t="s">
        <v>754</v>
      </c>
      <c r="D368" s="76" t="s">
        <v>869</v>
      </c>
      <c r="E368" s="76" t="s">
        <v>876</v>
      </c>
      <c r="F368" s="78">
        <v>10</v>
      </c>
      <c r="G368" s="79">
        <f>StockInData[Expiry]</f>
        <v>44645</v>
      </c>
      <c r="H368" s="76">
        <v>25</v>
      </c>
      <c r="I368" s="76">
        <f>SUMIFS(StockInData[Quantity],StockInData[Product ID],ProductMaster!$B368)-SUMIFS(StockOutData[Quantity],StockOutData[Product ID],ProductMaster!$B368)</f>
        <v>52</v>
      </c>
      <c r="J368" s="80">
        <f>SUMIFS(StockInData[Value],StockInData[Product ID],ProductMaster!$B368)-SUMIFS(StockOutData[Value],StockOutData[Product ID],ProductMaster!$B368)</f>
        <v>130</v>
      </c>
    </row>
    <row r="369" spans="1:10" x14ac:dyDescent="0.25">
      <c r="A369" s="75">
        <v>368</v>
      </c>
      <c r="B369" s="76" t="s">
        <v>755</v>
      </c>
      <c r="C369" s="77" t="s">
        <v>756</v>
      </c>
      <c r="D369" s="76" t="s">
        <v>869</v>
      </c>
      <c r="E369" s="76" t="s">
        <v>876</v>
      </c>
      <c r="F369" s="78">
        <v>10</v>
      </c>
      <c r="G369" s="79">
        <f>StockInData[Expiry]</f>
        <v>44647</v>
      </c>
      <c r="H369" s="76">
        <v>25</v>
      </c>
      <c r="I369" s="76">
        <f>SUMIFS(StockInData[Quantity],StockInData[Product ID],ProductMaster!$B369)-SUMIFS(StockOutData[Quantity],StockOutData[Product ID],ProductMaster!$B369)</f>
        <v>69</v>
      </c>
      <c r="J369" s="80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75">
        <v>369</v>
      </c>
      <c r="B370" s="76" t="s">
        <v>757</v>
      </c>
      <c r="C370" s="77" t="s">
        <v>758</v>
      </c>
      <c r="D370" s="76" t="s">
        <v>869</v>
      </c>
      <c r="E370" s="76" t="s">
        <v>876</v>
      </c>
      <c r="F370" s="78">
        <v>10</v>
      </c>
      <c r="G370" s="79">
        <f>StockInData[Expiry]</f>
        <v>44649</v>
      </c>
      <c r="H370" s="76">
        <v>25</v>
      </c>
      <c r="I370" s="76">
        <f>SUMIFS(StockInData[Quantity],StockInData[Product ID],ProductMaster!$B370)-SUMIFS(StockOutData[Quantity],StockOutData[Product ID],ProductMaster!$B370)</f>
        <v>77</v>
      </c>
      <c r="J370" s="80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75">
        <v>370</v>
      </c>
      <c r="B371" s="76" t="s">
        <v>759</v>
      </c>
      <c r="C371" s="77" t="s">
        <v>760</v>
      </c>
      <c r="D371" s="76" t="s">
        <v>869</v>
      </c>
      <c r="E371" s="76" t="s">
        <v>876</v>
      </c>
      <c r="F371" s="78">
        <v>10</v>
      </c>
      <c r="G371" s="79">
        <f>StockInData[Expiry]</f>
        <v>44651</v>
      </c>
      <c r="H371" s="76">
        <v>25</v>
      </c>
      <c r="I371" s="76">
        <f>SUMIFS(StockInData[Quantity],StockInData[Product ID],ProductMaster!$B371)-SUMIFS(StockOutData[Quantity],StockOutData[Product ID],ProductMaster!$B371)</f>
        <v>84</v>
      </c>
      <c r="J371" s="80">
        <f>SUMIFS(StockInData[Value],StockInData[Product ID],ProductMaster!$B371)-SUMIFS(StockOutData[Value],StockOutData[Product ID],ProductMaster!$B371)</f>
        <v>210</v>
      </c>
    </row>
    <row r="372" spans="1:10" x14ac:dyDescent="0.25">
      <c r="A372" s="75">
        <v>371</v>
      </c>
      <c r="B372" s="76" t="s">
        <v>761</v>
      </c>
      <c r="C372" s="77" t="s">
        <v>762</v>
      </c>
      <c r="D372" s="76" t="s">
        <v>869</v>
      </c>
      <c r="E372" s="76" t="s">
        <v>876</v>
      </c>
      <c r="F372" s="78">
        <v>10</v>
      </c>
      <c r="G372" s="79">
        <f>StockInData[Expiry]</f>
        <v>44653</v>
      </c>
      <c r="H372" s="76">
        <v>25</v>
      </c>
      <c r="I372" s="76">
        <f>SUMIFS(StockInData[Quantity],StockInData[Product ID],ProductMaster!$B372)-SUMIFS(StockOutData[Quantity],StockOutData[Product ID],ProductMaster!$B372)</f>
        <v>83</v>
      </c>
      <c r="J372" s="80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75">
        <v>372</v>
      </c>
      <c r="B373" s="76" t="s">
        <v>763</v>
      </c>
      <c r="C373" s="77" t="s">
        <v>764</v>
      </c>
      <c r="D373" s="76" t="s">
        <v>869</v>
      </c>
      <c r="E373" s="76" t="s">
        <v>876</v>
      </c>
      <c r="F373" s="78">
        <v>10</v>
      </c>
      <c r="G373" s="79">
        <f>StockInData[Expiry]</f>
        <v>44655</v>
      </c>
      <c r="H373" s="76">
        <v>25</v>
      </c>
      <c r="I373" s="76">
        <f>SUMIFS(StockInData[Quantity],StockInData[Product ID],ProductMaster!$B373)-SUMIFS(StockOutData[Quantity],StockOutData[Product ID],ProductMaster!$B373)</f>
        <v>48</v>
      </c>
      <c r="J373" s="80">
        <f>SUMIFS(StockInData[Value],StockInData[Product ID],ProductMaster!$B373)-SUMIFS(StockOutData[Value],StockOutData[Product ID],ProductMaster!$B373)</f>
        <v>120</v>
      </c>
    </row>
    <row r="374" spans="1:10" x14ac:dyDescent="0.25">
      <c r="A374" s="75">
        <v>373</v>
      </c>
      <c r="B374" s="76" t="s">
        <v>765</v>
      </c>
      <c r="C374" s="77" t="s">
        <v>766</v>
      </c>
      <c r="D374" s="76" t="s">
        <v>869</v>
      </c>
      <c r="E374" s="76" t="s">
        <v>876</v>
      </c>
      <c r="F374" s="78">
        <v>10</v>
      </c>
      <c r="G374" s="79">
        <f>StockInData[Expiry]</f>
        <v>44657</v>
      </c>
      <c r="H374" s="76">
        <v>25</v>
      </c>
      <c r="I374" s="76">
        <f>SUMIFS(StockInData[Quantity],StockInData[Product ID],ProductMaster!$B374)-SUMIFS(StockOutData[Quantity],StockOutData[Product ID],ProductMaster!$B374)</f>
        <v>26</v>
      </c>
      <c r="J374" s="80">
        <f>SUMIFS(StockInData[Value],StockInData[Product ID],ProductMaster!$B374)-SUMIFS(StockOutData[Value],StockOutData[Product ID],ProductMaster!$B374)</f>
        <v>65</v>
      </c>
    </row>
    <row r="375" spans="1:10" x14ac:dyDescent="0.25">
      <c r="A375" s="75">
        <v>374</v>
      </c>
      <c r="B375" s="76" t="s">
        <v>767</v>
      </c>
      <c r="C375" s="77" t="s">
        <v>768</v>
      </c>
      <c r="D375" s="76" t="s">
        <v>869</v>
      </c>
      <c r="E375" s="76" t="s">
        <v>876</v>
      </c>
      <c r="F375" s="78">
        <v>10</v>
      </c>
      <c r="G375" s="79">
        <f>StockInData[Expiry]</f>
        <v>44659</v>
      </c>
      <c r="H375" s="76">
        <v>25</v>
      </c>
      <c r="I375" s="76">
        <f>SUMIFS(StockInData[Quantity],StockInData[Product ID],ProductMaster!$B375)-SUMIFS(StockOutData[Quantity],StockOutData[Product ID],ProductMaster!$B375)</f>
        <v>17</v>
      </c>
      <c r="J375" s="80">
        <f>SUMIFS(StockInData[Value],StockInData[Product ID],ProductMaster!$B375)-SUMIFS(StockOutData[Value],StockOutData[Product ID],ProductMaster!$B375)</f>
        <v>42.5</v>
      </c>
    </row>
    <row r="376" spans="1:10" x14ac:dyDescent="0.25">
      <c r="A376" s="75">
        <v>375</v>
      </c>
      <c r="B376" s="76" t="s">
        <v>769</v>
      </c>
      <c r="C376" s="77" t="s">
        <v>770</v>
      </c>
      <c r="D376" s="76" t="s">
        <v>869</v>
      </c>
      <c r="E376" s="76" t="s">
        <v>876</v>
      </c>
      <c r="F376" s="78">
        <v>10</v>
      </c>
      <c r="G376" s="79">
        <f>StockInData[Expiry]</f>
        <v>44661</v>
      </c>
      <c r="H376" s="76">
        <v>25</v>
      </c>
      <c r="I376" s="76">
        <f>SUMIFS(StockInData[Quantity],StockInData[Product ID],ProductMaster!$B376)-SUMIFS(StockOutData[Quantity],StockOutData[Product ID],ProductMaster!$B376)</f>
        <v>20</v>
      </c>
      <c r="J376" s="80">
        <f>SUMIFS(StockInData[Value],StockInData[Product ID],ProductMaster!$B376)-SUMIFS(StockOutData[Value],StockOutData[Product ID],ProductMaster!$B376)</f>
        <v>50</v>
      </c>
    </row>
    <row r="377" spans="1:10" x14ac:dyDescent="0.25">
      <c r="A377" s="75">
        <v>376</v>
      </c>
      <c r="B377" s="76" t="s">
        <v>771</v>
      </c>
      <c r="C377" s="77" t="s">
        <v>772</v>
      </c>
      <c r="D377" s="76" t="s">
        <v>869</v>
      </c>
      <c r="E377" s="76" t="s">
        <v>876</v>
      </c>
      <c r="F377" s="78">
        <v>10</v>
      </c>
      <c r="G377" s="79">
        <f>StockInData[Expiry]</f>
        <v>44663</v>
      </c>
      <c r="H377" s="76">
        <v>25</v>
      </c>
      <c r="I377" s="76">
        <f>SUMIFS(StockInData[Quantity],StockInData[Product ID],ProductMaster!$B377)-SUMIFS(StockOutData[Quantity],StockOutData[Product ID],ProductMaster!$B377)</f>
        <v>13</v>
      </c>
      <c r="J377" s="80">
        <f>SUMIFS(StockInData[Value],StockInData[Product ID],ProductMaster!$B377)-SUMIFS(StockOutData[Value],StockOutData[Product ID],ProductMaster!$B377)</f>
        <v>32.5</v>
      </c>
    </row>
    <row r="378" spans="1:10" x14ac:dyDescent="0.25">
      <c r="A378" s="75">
        <v>377</v>
      </c>
      <c r="B378" s="76" t="s">
        <v>773</v>
      </c>
      <c r="C378" s="77" t="s">
        <v>774</v>
      </c>
      <c r="D378" s="76" t="s">
        <v>869</v>
      </c>
      <c r="E378" s="76" t="s">
        <v>876</v>
      </c>
      <c r="F378" s="78">
        <v>10</v>
      </c>
      <c r="G378" s="79">
        <f>StockInData[Expiry]</f>
        <v>44665</v>
      </c>
      <c r="H378" s="76">
        <v>25</v>
      </c>
      <c r="I378" s="76">
        <f>SUMIFS(StockInData[Quantity],StockInData[Product ID],ProductMaster!$B378)-SUMIFS(StockOutData[Quantity],StockOutData[Product ID],ProductMaster!$B378)</f>
        <v>4</v>
      </c>
      <c r="J378" s="80">
        <f>SUMIFS(StockInData[Value],StockInData[Product ID],ProductMaster!$B378)-SUMIFS(StockOutData[Value],StockOutData[Product ID],ProductMaster!$B378)</f>
        <v>10</v>
      </c>
    </row>
    <row r="379" spans="1:10" x14ac:dyDescent="0.25">
      <c r="A379" s="75">
        <v>378</v>
      </c>
      <c r="B379" s="76" t="s">
        <v>775</v>
      </c>
      <c r="C379" s="77" t="s">
        <v>776</v>
      </c>
      <c r="D379" s="76" t="s">
        <v>869</v>
      </c>
      <c r="E379" s="76" t="s">
        <v>876</v>
      </c>
      <c r="F379" s="78">
        <v>10</v>
      </c>
      <c r="G379" s="79">
        <f>StockInData[Expiry]</f>
        <v>44667</v>
      </c>
      <c r="H379" s="76">
        <v>25</v>
      </c>
      <c r="I379" s="76">
        <f>SUMIFS(StockInData[Quantity],StockInData[Product ID],ProductMaster!$B379)-SUMIFS(StockOutData[Quantity],StockOutData[Product ID],ProductMaster!$B379)</f>
        <v>5</v>
      </c>
      <c r="J379" s="80">
        <f>SUMIFS(StockInData[Value],StockInData[Product ID],ProductMaster!$B379)-SUMIFS(StockOutData[Value],StockOutData[Product ID],ProductMaster!$B379)</f>
        <v>12.5</v>
      </c>
    </row>
    <row r="380" spans="1:10" x14ac:dyDescent="0.25">
      <c r="A380" s="75">
        <v>379</v>
      </c>
      <c r="B380" s="76" t="s">
        <v>777</v>
      </c>
      <c r="C380" s="77" t="s">
        <v>778</v>
      </c>
      <c r="D380" s="76" t="s">
        <v>869</v>
      </c>
      <c r="E380" s="76" t="s">
        <v>876</v>
      </c>
      <c r="F380" s="78">
        <v>10</v>
      </c>
      <c r="G380" s="79">
        <f>StockInData[Expiry]</f>
        <v>44669</v>
      </c>
      <c r="H380" s="76">
        <v>25</v>
      </c>
      <c r="I380" s="76">
        <f>SUMIFS(StockInData[Quantity],StockInData[Product ID],ProductMaster!$B380)-SUMIFS(StockOutData[Quantity],StockOutData[Product ID],ProductMaster!$B380)</f>
        <v>53</v>
      </c>
      <c r="J380" s="80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75">
        <v>380</v>
      </c>
      <c r="B381" s="76" t="s">
        <v>779</v>
      </c>
      <c r="C381" s="77" t="s">
        <v>780</v>
      </c>
      <c r="D381" s="76" t="s">
        <v>869</v>
      </c>
      <c r="E381" s="76" t="s">
        <v>876</v>
      </c>
      <c r="F381" s="78">
        <v>10</v>
      </c>
      <c r="G381" s="79">
        <f>StockInData[Expiry]</f>
        <v>44671</v>
      </c>
      <c r="H381" s="76">
        <v>25</v>
      </c>
      <c r="I381" s="76">
        <f>SUMIFS(StockInData[Quantity],StockInData[Product ID],ProductMaster!$B381)-SUMIFS(StockOutData[Quantity],StockOutData[Product ID],ProductMaster!$B381)</f>
        <v>64</v>
      </c>
      <c r="J381" s="80">
        <f>SUMIFS(StockInData[Value],StockInData[Product ID],ProductMaster!$B381)-SUMIFS(StockOutData[Value],StockOutData[Product ID],ProductMaster!$B381)</f>
        <v>160</v>
      </c>
    </row>
    <row r="382" spans="1:10" x14ac:dyDescent="0.25">
      <c r="A382" s="75">
        <v>381</v>
      </c>
      <c r="B382" s="76" t="s">
        <v>781</v>
      </c>
      <c r="C382" s="77" t="s">
        <v>782</v>
      </c>
      <c r="D382" s="76" t="s">
        <v>869</v>
      </c>
      <c r="E382" s="76" t="s">
        <v>876</v>
      </c>
      <c r="F382" s="78">
        <v>10</v>
      </c>
      <c r="G382" s="79">
        <f>StockInData[Expiry]</f>
        <v>44673</v>
      </c>
      <c r="H382" s="76">
        <v>25</v>
      </c>
      <c r="I382" s="76">
        <f>SUMIFS(StockInData[Quantity],StockInData[Product ID],ProductMaster!$B382)-SUMIFS(StockOutData[Quantity],StockOutData[Product ID],ProductMaster!$B382)</f>
        <v>74</v>
      </c>
      <c r="J382" s="80">
        <f>SUMIFS(StockInData[Value],StockInData[Product ID],ProductMaster!$B382)-SUMIFS(StockOutData[Value],StockOutData[Product ID],ProductMaster!$B382)</f>
        <v>185</v>
      </c>
    </row>
    <row r="383" spans="1:10" x14ac:dyDescent="0.25">
      <c r="A383" s="75">
        <v>382</v>
      </c>
      <c r="B383" s="76" t="s">
        <v>783</v>
      </c>
      <c r="C383" s="77" t="s">
        <v>784</v>
      </c>
      <c r="D383" s="76" t="s">
        <v>869</v>
      </c>
      <c r="E383" s="76" t="s">
        <v>876</v>
      </c>
      <c r="F383" s="78">
        <v>10</v>
      </c>
      <c r="G383" s="79">
        <f>StockInData[Expiry]</f>
        <v>44675</v>
      </c>
      <c r="H383" s="76">
        <v>25</v>
      </c>
      <c r="I383" s="76">
        <f>SUMIFS(StockInData[Quantity],StockInData[Product ID],ProductMaster!$B383)-SUMIFS(StockOutData[Quantity],StockOutData[Product ID],ProductMaster!$B383)</f>
        <v>89</v>
      </c>
      <c r="J383" s="80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75">
        <v>383</v>
      </c>
      <c r="B384" s="76" t="s">
        <v>785</v>
      </c>
      <c r="C384" s="77" t="s">
        <v>786</v>
      </c>
      <c r="D384" s="76" t="s">
        <v>869</v>
      </c>
      <c r="E384" s="76" t="s">
        <v>876</v>
      </c>
      <c r="F384" s="78">
        <v>10</v>
      </c>
      <c r="G384" s="79">
        <f>StockInData[Expiry]</f>
        <v>44677</v>
      </c>
      <c r="H384" s="76">
        <v>25</v>
      </c>
      <c r="I384" s="76">
        <f>SUMIFS(StockInData[Quantity],StockInData[Product ID],ProductMaster!$B384)-SUMIFS(StockOutData[Quantity],StockOutData[Product ID],ProductMaster!$B384)</f>
        <v>94</v>
      </c>
      <c r="J384" s="80">
        <f>SUMIFS(StockInData[Value],StockInData[Product ID],ProductMaster!$B384)-SUMIFS(StockOutData[Value],StockOutData[Product ID],ProductMaster!$B384)</f>
        <v>235</v>
      </c>
    </row>
    <row r="385" spans="1:10" x14ac:dyDescent="0.25">
      <c r="A385" s="75">
        <v>384</v>
      </c>
      <c r="B385" s="76" t="s">
        <v>787</v>
      </c>
      <c r="C385" s="77" t="s">
        <v>788</v>
      </c>
      <c r="D385" s="76" t="s">
        <v>869</v>
      </c>
      <c r="E385" s="76" t="s">
        <v>876</v>
      </c>
      <c r="F385" s="78">
        <v>10</v>
      </c>
      <c r="G385" s="79">
        <f>StockInData[Expiry]</f>
        <v>44679</v>
      </c>
      <c r="H385" s="76">
        <v>25</v>
      </c>
      <c r="I385" s="76">
        <f>SUMIFS(StockInData[Quantity],StockInData[Product ID],ProductMaster!$B385)-SUMIFS(StockOutData[Quantity],StockOutData[Product ID],ProductMaster!$B385)</f>
        <v>45</v>
      </c>
      <c r="J385" s="80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75">
        <v>385</v>
      </c>
      <c r="B386" s="76" t="s">
        <v>789</v>
      </c>
      <c r="C386" s="77" t="s">
        <v>790</v>
      </c>
      <c r="D386" s="76" t="s">
        <v>869</v>
      </c>
      <c r="E386" s="76" t="s">
        <v>876</v>
      </c>
      <c r="F386" s="78">
        <v>10</v>
      </c>
      <c r="G386" s="79">
        <f>StockInData[Expiry]</f>
        <v>44681</v>
      </c>
      <c r="H386" s="76">
        <v>25</v>
      </c>
      <c r="I386" s="76">
        <f>SUMIFS(StockInData[Quantity],StockInData[Product ID],ProductMaster!$B386)-SUMIFS(StockOutData[Quantity],StockOutData[Product ID],ProductMaster!$B386)</f>
        <v>22</v>
      </c>
      <c r="J386" s="80">
        <f>SUMIFS(StockInData[Value],StockInData[Product ID],ProductMaster!$B386)-SUMIFS(StockOutData[Value],StockOutData[Product ID],ProductMaster!$B386)</f>
        <v>55</v>
      </c>
    </row>
    <row r="387" spans="1:10" x14ac:dyDescent="0.25">
      <c r="A387" s="75">
        <v>386</v>
      </c>
      <c r="B387" s="76" t="s">
        <v>791</v>
      </c>
      <c r="C387" s="77" t="s">
        <v>792</v>
      </c>
      <c r="D387" s="76" t="s">
        <v>869</v>
      </c>
      <c r="E387" s="76" t="s">
        <v>876</v>
      </c>
      <c r="F387" s="78">
        <v>10</v>
      </c>
      <c r="G387" s="79">
        <f>StockInData[Expiry]</f>
        <v>44683</v>
      </c>
      <c r="H387" s="76">
        <v>25</v>
      </c>
      <c r="I387" s="76">
        <f>SUMIFS(StockInData[Quantity],StockInData[Product ID],ProductMaster!$B387)-SUMIFS(StockOutData[Quantity],StockOutData[Product ID],ProductMaster!$B387)</f>
        <v>18</v>
      </c>
      <c r="J387" s="80">
        <f>SUMIFS(StockInData[Value],StockInData[Product ID],ProductMaster!$B387)-SUMIFS(StockOutData[Value],StockOutData[Product ID],ProductMaster!$B387)</f>
        <v>45</v>
      </c>
    </row>
    <row r="388" spans="1:10" x14ac:dyDescent="0.25">
      <c r="A388" s="75">
        <v>387</v>
      </c>
      <c r="B388" s="76" t="s">
        <v>793</v>
      </c>
      <c r="C388" s="77" t="s">
        <v>794</v>
      </c>
      <c r="D388" s="76" t="s">
        <v>869</v>
      </c>
      <c r="E388" s="76" t="s">
        <v>876</v>
      </c>
      <c r="F388" s="78">
        <v>10</v>
      </c>
      <c r="G388" s="79">
        <f>StockInData[Expiry]</f>
        <v>44685</v>
      </c>
      <c r="H388" s="76">
        <v>25</v>
      </c>
      <c r="I388" s="76">
        <f>SUMIFS(StockInData[Quantity],StockInData[Product ID],ProductMaster!$B388)-SUMIFS(StockOutData[Quantity],StockOutData[Product ID],ProductMaster!$B388)</f>
        <v>11</v>
      </c>
      <c r="J388" s="80">
        <f>SUMIFS(StockInData[Value],StockInData[Product ID],ProductMaster!$B388)-SUMIFS(StockOutData[Value],StockOutData[Product ID],ProductMaster!$B388)</f>
        <v>27.5</v>
      </c>
    </row>
    <row r="389" spans="1:10" x14ac:dyDescent="0.25">
      <c r="A389" s="75">
        <v>388</v>
      </c>
      <c r="B389" s="76" t="s">
        <v>795</v>
      </c>
      <c r="C389" s="77" t="s">
        <v>796</v>
      </c>
      <c r="D389" s="76" t="s">
        <v>869</v>
      </c>
      <c r="E389" s="76" t="s">
        <v>876</v>
      </c>
      <c r="F389" s="78">
        <v>10</v>
      </c>
      <c r="G389" s="79">
        <f>StockInData[Expiry]</f>
        <v>44687</v>
      </c>
      <c r="H389" s="76">
        <v>25</v>
      </c>
      <c r="I389" s="76">
        <f>SUMIFS(StockInData[Quantity],StockInData[Product ID],ProductMaster!$B389)-SUMIFS(StockOutData[Quantity],StockOutData[Product ID],ProductMaster!$B389)</f>
        <v>7</v>
      </c>
      <c r="J389" s="80">
        <f>SUMIFS(StockInData[Value],StockInData[Product ID],ProductMaster!$B389)-SUMIFS(StockOutData[Value],StockOutData[Product ID],ProductMaster!$B389)</f>
        <v>17.5</v>
      </c>
    </row>
    <row r="390" spans="1:10" x14ac:dyDescent="0.25">
      <c r="A390" s="75">
        <v>389</v>
      </c>
      <c r="B390" s="76" t="s">
        <v>797</v>
      </c>
      <c r="C390" s="77" t="s">
        <v>798</v>
      </c>
      <c r="D390" s="76" t="s">
        <v>869</v>
      </c>
      <c r="E390" s="76" t="s">
        <v>876</v>
      </c>
      <c r="F390" s="78">
        <v>10</v>
      </c>
      <c r="G390" s="79">
        <f>StockInData[Expiry]</f>
        <v>44689</v>
      </c>
      <c r="H390" s="76">
        <v>25</v>
      </c>
      <c r="I390" s="76">
        <f>SUMIFS(StockInData[Quantity],StockInData[Product ID],ProductMaster!$B390)-SUMIFS(StockOutData[Quantity],StockOutData[Product ID],ProductMaster!$B390)</f>
        <v>14</v>
      </c>
      <c r="J390" s="80">
        <f>SUMIFS(StockInData[Value],StockInData[Product ID],ProductMaster!$B390)-SUMIFS(StockOutData[Value],StockOutData[Product ID],ProductMaster!$B390)</f>
        <v>35</v>
      </c>
    </row>
    <row r="391" spans="1:10" x14ac:dyDescent="0.25">
      <c r="A391" s="75">
        <v>390</v>
      </c>
      <c r="B391" s="76" t="s">
        <v>799</v>
      </c>
      <c r="C391" s="77" t="s">
        <v>800</v>
      </c>
      <c r="D391" s="76" t="s">
        <v>869</v>
      </c>
      <c r="E391" s="76" t="s">
        <v>871</v>
      </c>
      <c r="F391" s="78">
        <v>10</v>
      </c>
      <c r="G391" s="79">
        <f>StockInData[Expiry]</f>
        <v>44691</v>
      </c>
      <c r="H391" s="76">
        <v>25</v>
      </c>
      <c r="I391" s="76">
        <f>SUMIFS(StockInData[Quantity],StockInData[Product ID],ProductMaster!$B391)-SUMIFS(StockOutData[Quantity],StockOutData[Product ID],ProductMaster!$B391)</f>
        <v>16</v>
      </c>
      <c r="J391" s="80">
        <f>SUMIFS(StockInData[Value],StockInData[Product ID],ProductMaster!$B391)-SUMIFS(StockOutData[Value],StockOutData[Product ID],ProductMaster!$B391)</f>
        <v>40</v>
      </c>
    </row>
    <row r="392" spans="1:10" x14ac:dyDescent="0.25">
      <c r="A392" s="75">
        <v>391</v>
      </c>
      <c r="B392" s="76" t="s">
        <v>801</v>
      </c>
      <c r="C392" s="77" t="s">
        <v>802</v>
      </c>
      <c r="D392" s="76" t="s">
        <v>869</v>
      </c>
      <c r="E392" s="76" t="s">
        <v>871</v>
      </c>
      <c r="F392" s="78">
        <v>10</v>
      </c>
      <c r="G392" s="79">
        <f>StockInData[Expiry]</f>
        <v>44693</v>
      </c>
      <c r="H392" s="76">
        <v>25</v>
      </c>
      <c r="I392" s="76">
        <f>SUMIFS(StockInData[Quantity],StockInData[Product ID],ProductMaster!$B392)-SUMIFS(StockOutData[Quantity],StockOutData[Product ID],ProductMaster!$B392)</f>
        <v>50</v>
      </c>
      <c r="J392" s="80">
        <f>SUMIFS(StockInData[Value],StockInData[Product ID],ProductMaster!$B392)-SUMIFS(StockOutData[Value],StockOutData[Product ID],ProductMaster!$B392)</f>
        <v>125</v>
      </c>
    </row>
    <row r="393" spans="1:10" x14ac:dyDescent="0.25">
      <c r="A393" s="75">
        <v>392</v>
      </c>
      <c r="B393" s="76" t="s">
        <v>803</v>
      </c>
      <c r="C393" s="77" t="s">
        <v>804</v>
      </c>
      <c r="D393" s="76" t="s">
        <v>869</v>
      </c>
      <c r="E393" s="76" t="s">
        <v>871</v>
      </c>
      <c r="F393" s="78">
        <v>10</v>
      </c>
      <c r="G393" s="79">
        <f>StockInData[Expiry]</f>
        <v>44695</v>
      </c>
      <c r="H393" s="76">
        <v>25</v>
      </c>
      <c r="I393" s="76">
        <f>SUMIFS(StockInData[Quantity],StockInData[Product ID],ProductMaster!$B393)-SUMIFS(StockOutData[Quantity],StockOutData[Product ID],ProductMaster!$B393)</f>
        <v>56</v>
      </c>
      <c r="J393" s="80">
        <f>SUMIFS(StockInData[Value],StockInData[Product ID],ProductMaster!$B393)-SUMIFS(StockOutData[Value],StockOutData[Product ID],ProductMaster!$B393)</f>
        <v>140</v>
      </c>
    </row>
    <row r="394" spans="1:10" x14ac:dyDescent="0.25">
      <c r="A394" s="75">
        <v>393</v>
      </c>
      <c r="B394" s="76" t="s">
        <v>805</v>
      </c>
      <c r="C394" s="77" t="s">
        <v>806</v>
      </c>
      <c r="D394" s="76" t="s">
        <v>869</v>
      </c>
      <c r="E394" s="76" t="s">
        <v>871</v>
      </c>
      <c r="F394" s="78">
        <v>10</v>
      </c>
      <c r="G394" s="79">
        <f>StockInData[Expiry]</f>
        <v>44697</v>
      </c>
      <c r="H394" s="76">
        <v>25</v>
      </c>
      <c r="I394" s="76">
        <f>SUMIFS(StockInData[Quantity],StockInData[Product ID],ProductMaster!$B394)-SUMIFS(StockOutData[Quantity],StockOutData[Product ID],ProductMaster!$B394)</f>
        <v>72</v>
      </c>
      <c r="J394" s="80">
        <f>SUMIFS(StockInData[Value],StockInData[Product ID],ProductMaster!$B394)-SUMIFS(StockOutData[Value],StockOutData[Product ID],ProductMaster!$B394)</f>
        <v>180</v>
      </c>
    </row>
    <row r="395" spans="1:10" x14ac:dyDescent="0.25">
      <c r="A395" s="75">
        <v>394</v>
      </c>
      <c r="B395" s="76" t="s">
        <v>807</v>
      </c>
      <c r="C395" s="77" t="s">
        <v>808</v>
      </c>
      <c r="D395" s="76" t="s">
        <v>869</v>
      </c>
      <c r="E395" s="76" t="s">
        <v>871</v>
      </c>
      <c r="F395" s="78">
        <v>10</v>
      </c>
      <c r="G395" s="79">
        <f>StockInData[Expiry]</f>
        <v>44699</v>
      </c>
      <c r="H395" s="76">
        <v>25</v>
      </c>
      <c r="I395" s="76">
        <f>SUMIFS(StockInData[Quantity],StockInData[Product ID],ProductMaster!$B395)-SUMIFS(StockOutData[Quantity],StockOutData[Product ID],ProductMaster!$B395)</f>
        <v>85</v>
      </c>
      <c r="J395" s="80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75">
        <v>395</v>
      </c>
      <c r="B396" s="76" t="s">
        <v>809</v>
      </c>
      <c r="C396" s="77" t="s">
        <v>810</v>
      </c>
      <c r="D396" s="76" t="s">
        <v>869</v>
      </c>
      <c r="E396" s="76" t="s">
        <v>871</v>
      </c>
      <c r="F396" s="78">
        <v>10</v>
      </c>
      <c r="G396" s="79">
        <f>StockInData[Expiry]</f>
        <v>44701</v>
      </c>
      <c r="H396" s="76">
        <v>25</v>
      </c>
      <c r="I396" s="76">
        <f>SUMIFS(StockInData[Quantity],StockInData[Product ID],ProductMaster!$B396)-SUMIFS(StockOutData[Quantity],StockOutData[Product ID],ProductMaster!$B396)</f>
        <v>88</v>
      </c>
      <c r="J396" s="80">
        <f>SUMIFS(StockInData[Value],StockInData[Product ID],ProductMaster!$B396)-SUMIFS(StockOutData[Value],StockOutData[Product ID],ProductMaster!$B396)</f>
        <v>220</v>
      </c>
    </row>
    <row r="397" spans="1:10" x14ac:dyDescent="0.25">
      <c r="A397" s="75">
        <v>396</v>
      </c>
      <c r="B397" s="76" t="s">
        <v>811</v>
      </c>
      <c r="C397" s="77" t="s">
        <v>812</v>
      </c>
      <c r="D397" s="76" t="s">
        <v>869</v>
      </c>
      <c r="E397" s="76" t="s">
        <v>871</v>
      </c>
      <c r="F397" s="78">
        <v>10</v>
      </c>
      <c r="G397" s="79">
        <f>StockInData[Expiry]</f>
        <v>44703</v>
      </c>
      <c r="H397" s="76">
        <v>25</v>
      </c>
      <c r="I397" s="76">
        <f>SUMIFS(StockInData[Quantity],StockInData[Product ID],ProductMaster!$B397)-SUMIFS(StockOutData[Quantity],StockOutData[Product ID],ProductMaster!$B397)</f>
        <v>95</v>
      </c>
      <c r="J397" s="80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75">
        <v>397</v>
      </c>
      <c r="B398" s="76" t="s">
        <v>813</v>
      </c>
      <c r="C398" s="77" t="s">
        <v>814</v>
      </c>
      <c r="D398" s="76" t="s">
        <v>869</v>
      </c>
      <c r="E398" s="76" t="s">
        <v>871</v>
      </c>
      <c r="F398" s="78">
        <v>10</v>
      </c>
      <c r="G398" s="79">
        <f>StockInData[Expiry]</f>
        <v>44705</v>
      </c>
      <c r="H398" s="76">
        <v>25</v>
      </c>
      <c r="I398" s="76">
        <f>SUMIFS(StockInData[Quantity],StockInData[Product ID],ProductMaster!$B398)-SUMIFS(StockOutData[Quantity],StockOutData[Product ID],ProductMaster!$B398)</f>
        <v>53</v>
      </c>
      <c r="J398" s="80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75">
        <v>398</v>
      </c>
      <c r="B399" s="76" t="s">
        <v>815</v>
      </c>
      <c r="C399" s="77" t="s">
        <v>816</v>
      </c>
      <c r="D399" s="76" t="s">
        <v>869</v>
      </c>
      <c r="E399" s="76" t="s">
        <v>871</v>
      </c>
      <c r="F399" s="78">
        <v>10</v>
      </c>
      <c r="G399" s="79">
        <f>StockInData[Expiry]</f>
        <v>44707</v>
      </c>
      <c r="H399" s="76">
        <v>25</v>
      </c>
      <c r="I399" s="76">
        <f>SUMIFS(StockInData[Quantity],StockInData[Product ID],ProductMaster!$B399)-SUMIFS(StockOutData[Quantity],StockOutData[Product ID],ProductMaster!$B399)</f>
        <v>25</v>
      </c>
      <c r="J399" s="80">
        <f>SUMIFS(StockInData[Value],StockInData[Product ID],ProductMaster!$B399)-SUMIFS(StockOutData[Value],StockOutData[Product ID],ProductMaster!$B399)</f>
        <v>62.5</v>
      </c>
    </row>
    <row r="400" spans="1:10" x14ac:dyDescent="0.25">
      <c r="A400" s="75">
        <v>399</v>
      </c>
      <c r="B400" s="76" t="s">
        <v>817</v>
      </c>
      <c r="C400" s="77" t="s">
        <v>818</v>
      </c>
      <c r="D400" s="76" t="s">
        <v>869</v>
      </c>
      <c r="E400" s="76" t="s">
        <v>871</v>
      </c>
      <c r="F400" s="78">
        <v>10</v>
      </c>
      <c r="G400" s="79">
        <f>StockInData[Expiry]</f>
        <v>44709</v>
      </c>
      <c r="H400" s="76">
        <v>25</v>
      </c>
      <c r="I400" s="76">
        <f>SUMIFS(StockInData[Quantity],StockInData[Product ID],ProductMaster!$B400)-SUMIFS(StockOutData[Quantity],StockOutData[Product ID],ProductMaster!$B400)</f>
        <v>12</v>
      </c>
      <c r="J400" s="80">
        <f>SUMIFS(StockInData[Value],StockInData[Product ID],ProductMaster!$B400)-SUMIFS(StockOutData[Value],StockOutData[Product ID],ProductMaster!$B400)</f>
        <v>30</v>
      </c>
    </row>
    <row r="401" spans="1:10" x14ac:dyDescent="0.25">
      <c r="A401" s="75">
        <v>400</v>
      </c>
      <c r="B401" s="76" t="s">
        <v>819</v>
      </c>
      <c r="C401" s="77" t="s">
        <v>820</v>
      </c>
      <c r="D401" s="76" t="s">
        <v>869</v>
      </c>
      <c r="E401" s="76" t="s">
        <v>871</v>
      </c>
      <c r="F401" s="78">
        <v>10</v>
      </c>
      <c r="G401" s="79">
        <f>StockInData[Expiry]</f>
        <v>44711</v>
      </c>
      <c r="H401" s="76">
        <v>25</v>
      </c>
      <c r="I401" s="76">
        <f>SUMIFS(StockInData[Quantity],StockInData[Product ID],ProductMaster!$B401)-SUMIFS(StockOutData[Quantity],StockOutData[Product ID],ProductMaster!$B401)</f>
        <v>13</v>
      </c>
      <c r="J401" s="80">
        <f>SUMIFS(StockInData[Value],StockInData[Product ID],ProductMaster!$B401)-SUMIFS(StockOutData[Value],StockOutData[Product ID],ProductMaster!$B401)</f>
        <v>32.5</v>
      </c>
    </row>
    <row r="402" spans="1:10" x14ac:dyDescent="0.25">
      <c r="A402" s="75">
        <v>401</v>
      </c>
      <c r="B402" s="76" t="s">
        <v>821</v>
      </c>
      <c r="C402" s="77" t="s">
        <v>822</v>
      </c>
      <c r="D402" s="76" t="s">
        <v>869</v>
      </c>
      <c r="E402" s="76" t="s">
        <v>871</v>
      </c>
      <c r="F402" s="78">
        <v>10</v>
      </c>
      <c r="G402" s="79">
        <f>StockInData[Expiry]</f>
        <v>44713</v>
      </c>
      <c r="H402" s="76">
        <v>25</v>
      </c>
      <c r="I402" s="76">
        <f>SUMIFS(StockInData[Quantity],StockInData[Product ID],ProductMaster!$B402)-SUMIFS(StockOutData[Quantity],StockOutData[Product ID],ProductMaster!$B402)</f>
        <v>10</v>
      </c>
      <c r="J402" s="80">
        <f>SUMIFS(StockInData[Value],StockInData[Product ID],ProductMaster!$B402)-SUMIFS(StockOutData[Value],StockOutData[Product ID],ProductMaster!$B402)</f>
        <v>25</v>
      </c>
    </row>
    <row r="403" spans="1:10" x14ac:dyDescent="0.25">
      <c r="A403" s="75">
        <v>402</v>
      </c>
      <c r="B403" s="76" t="s">
        <v>823</v>
      </c>
      <c r="C403" s="77" t="s">
        <v>824</v>
      </c>
      <c r="D403" s="76" t="s">
        <v>869</v>
      </c>
      <c r="E403" s="76" t="s">
        <v>871</v>
      </c>
      <c r="F403" s="78">
        <v>10</v>
      </c>
      <c r="G403" s="79">
        <f>StockInData[Expiry]</f>
        <v>44715</v>
      </c>
      <c r="H403" s="76">
        <v>25</v>
      </c>
      <c r="I403" s="76">
        <f>SUMIFS(StockInData[Quantity],StockInData[Product ID],ProductMaster!$B403)-SUMIFS(StockOutData[Quantity],StockOutData[Product ID],ProductMaster!$B403)</f>
        <v>12</v>
      </c>
      <c r="J403" s="80">
        <f>SUMIFS(StockInData[Value],StockInData[Product ID],ProductMaster!$B403)-SUMIFS(StockOutData[Value],StockOutData[Product ID],ProductMaster!$B403)</f>
        <v>30</v>
      </c>
    </row>
    <row r="404" spans="1:10" x14ac:dyDescent="0.25">
      <c r="A404" s="75">
        <v>403</v>
      </c>
      <c r="B404" s="76" t="s">
        <v>825</v>
      </c>
      <c r="C404" s="77" t="s">
        <v>826</v>
      </c>
      <c r="D404" s="76" t="s">
        <v>869</v>
      </c>
      <c r="E404" s="76" t="s">
        <v>871</v>
      </c>
      <c r="F404" s="78">
        <v>10</v>
      </c>
      <c r="G404" s="79">
        <f>StockInData[Expiry]</f>
        <v>44717</v>
      </c>
      <c r="H404" s="76">
        <v>25</v>
      </c>
      <c r="I404" s="76">
        <f>SUMIFS(StockInData[Quantity],StockInData[Product ID],ProductMaster!$B404)-SUMIFS(StockOutData[Quantity],StockOutData[Product ID],ProductMaster!$B404)</f>
        <v>8</v>
      </c>
      <c r="J404" s="80">
        <f>SUMIFS(StockInData[Value],StockInData[Product ID],ProductMaster!$B404)-SUMIFS(StockOutData[Value],StockOutData[Product ID],ProductMaster!$B404)</f>
        <v>20</v>
      </c>
    </row>
    <row r="405" spans="1:10" x14ac:dyDescent="0.25">
      <c r="A405" s="75">
        <v>404</v>
      </c>
      <c r="B405" s="76" t="s">
        <v>827</v>
      </c>
      <c r="C405" s="77" t="s">
        <v>828</v>
      </c>
      <c r="D405" s="76" t="s">
        <v>869</v>
      </c>
      <c r="E405" s="76" t="s">
        <v>871</v>
      </c>
      <c r="F405" s="78">
        <v>10</v>
      </c>
      <c r="G405" s="79">
        <f>StockInData[Expiry]</f>
        <v>44719</v>
      </c>
      <c r="H405" s="76">
        <v>25</v>
      </c>
      <c r="I405" s="76">
        <f>SUMIFS(StockInData[Quantity],StockInData[Product ID],ProductMaster!$B405)-SUMIFS(StockOutData[Quantity],StockOutData[Product ID],ProductMaster!$B405)</f>
        <v>47</v>
      </c>
      <c r="J405" s="80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75">
        <v>405</v>
      </c>
      <c r="B406" s="76" t="s">
        <v>829</v>
      </c>
      <c r="C406" s="77" t="s">
        <v>830</v>
      </c>
      <c r="D406" s="76" t="s">
        <v>869</v>
      </c>
      <c r="E406" s="76" t="s">
        <v>871</v>
      </c>
      <c r="F406" s="78">
        <v>10</v>
      </c>
      <c r="G406" s="79">
        <f>StockInData[Expiry]</f>
        <v>44721</v>
      </c>
      <c r="H406" s="76">
        <v>25</v>
      </c>
      <c r="I406" s="76">
        <f>SUMIFS(StockInData[Quantity],StockInData[Product ID],ProductMaster!$B406)-SUMIFS(StockOutData[Quantity],StockOutData[Product ID],ProductMaster!$B406)</f>
        <v>62</v>
      </c>
      <c r="J406" s="80">
        <f>SUMIFS(StockInData[Value],StockInData[Product ID],ProductMaster!$B406)-SUMIFS(StockOutData[Value],StockOutData[Product ID],ProductMaster!$B406)</f>
        <v>155</v>
      </c>
    </row>
    <row r="407" spans="1:10" x14ac:dyDescent="0.25">
      <c r="A407" s="75">
        <v>406</v>
      </c>
      <c r="B407" s="76" t="s">
        <v>831</v>
      </c>
      <c r="C407" s="77" t="s">
        <v>832</v>
      </c>
      <c r="D407" s="76" t="s">
        <v>869</v>
      </c>
      <c r="E407" s="76" t="s">
        <v>871</v>
      </c>
      <c r="F407" s="78">
        <v>10</v>
      </c>
      <c r="G407" s="79">
        <f>StockInData[Expiry]</f>
        <v>44723</v>
      </c>
      <c r="H407" s="76">
        <v>25</v>
      </c>
      <c r="I407" s="76">
        <f>SUMIFS(StockInData[Quantity],StockInData[Product ID],ProductMaster!$B407)-SUMIFS(StockOutData[Quantity],StockOutData[Product ID],ProductMaster!$B407)</f>
        <v>70</v>
      </c>
      <c r="J407" s="80">
        <f>SUMIFS(StockInData[Value],StockInData[Product ID],ProductMaster!$B407)-SUMIFS(StockOutData[Value],StockOutData[Product ID],ProductMaster!$B407)</f>
        <v>175</v>
      </c>
    </row>
    <row r="408" spans="1:10" x14ac:dyDescent="0.25">
      <c r="A408" s="75">
        <v>407</v>
      </c>
      <c r="B408" s="76" t="s">
        <v>833</v>
      </c>
      <c r="C408" s="77" t="s">
        <v>834</v>
      </c>
      <c r="D408" s="76" t="s">
        <v>869</v>
      </c>
      <c r="E408" s="76" t="s">
        <v>871</v>
      </c>
      <c r="F408" s="78">
        <v>10</v>
      </c>
      <c r="G408" s="79">
        <f>StockInData[Expiry]</f>
        <v>44725</v>
      </c>
      <c r="H408" s="76">
        <v>25</v>
      </c>
      <c r="I408" s="76">
        <f>SUMIFS(StockInData[Quantity],StockInData[Product ID],ProductMaster!$B408)-SUMIFS(StockOutData[Quantity],StockOutData[Product ID],ProductMaster!$B408)</f>
        <v>86</v>
      </c>
      <c r="J408" s="80">
        <f>SUMIFS(StockInData[Value],StockInData[Product ID],ProductMaster!$B408)-SUMIFS(StockOutData[Value],StockOutData[Product ID],ProductMaster!$B408)</f>
        <v>215</v>
      </c>
    </row>
    <row r="409" spans="1:10" x14ac:dyDescent="0.25">
      <c r="A409" s="75">
        <v>408</v>
      </c>
      <c r="B409" s="76" t="s">
        <v>835</v>
      </c>
      <c r="C409" s="77" t="s">
        <v>836</v>
      </c>
      <c r="D409" s="76" t="s">
        <v>869</v>
      </c>
      <c r="E409" s="76" t="s">
        <v>871</v>
      </c>
      <c r="F409" s="78">
        <v>10</v>
      </c>
      <c r="G409" s="79">
        <f>StockInData[Expiry]</f>
        <v>44727</v>
      </c>
      <c r="H409" s="76">
        <v>25</v>
      </c>
      <c r="I409" s="76">
        <f>SUMIFS(StockInData[Quantity],StockInData[Product ID],ProductMaster!$B409)-SUMIFS(StockOutData[Quantity],StockOutData[Product ID],ProductMaster!$B409)</f>
        <v>35</v>
      </c>
      <c r="J409" s="80">
        <f>SUMIFS(StockInData[Value],StockInData[Product ID],ProductMaster!$B409)-SUMIFS(StockOutData[Value],StockOutData[Product ID],ProductMaster!$B409)</f>
        <v>87.5</v>
      </c>
    </row>
    <row r="410" spans="1:10" x14ac:dyDescent="0.25">
      <c r="A410" s="75">
        <v>409</v>
      </c>
      <c r="B410" s="76" t="s">
        <v>837</v>
      </c>
      <c r="C410" s="77" t="s">
        <v>838</v>
      </c>
      <c r="D410" s="76" t="s">
        <v>869</v>
      </c>
      <c r="E410" s="76" t="s">
        <v>870</v>
      </c>
      <c r="F410" s="78">
        <v>10</v>
      </c>
      <c r="G410" s="79">
        <f>StockInData[Expiry]</f>
        <v>44729</v>
      </c>
      <c r="H410" s="76">
        <v>25</v>
      </c>
      <c r="I410" s="76">
        <f>SUMIFS(StockInData[Quantity],StockInData[Product ID],ProductMaster!$B410)-SUMIFS(StockOutData[Quantity],StockOutData[Product ID],ProductMaster!$B410)</f>
        <v>23</v>
      </c>
      <c r="J410" s="80">
        <f>SUMIFS(StockInData[Value],StockInData[Product ID],ProductMaster!$B410)-SUMIFS(StockOutData[Value],StockOutData[Product ID],ProductMaster!$B410)</f>
        <v>57.5</v>
      </c>
    </row>
    <row r="411" spans="1:10" x14ac:dyDescent="0.25">
      <c r="A411" s="75">
        <v>410</v>
      </c>
      <c r="B411" s="76" t="s">
        <v>839</v>
      </c>
      <c r="C411" s="77" t="s">
        <v>840</v>
      </c>
      <c r="D411" s="76" t="s">
        <v>869</v>
      </c>
      <c r="E411" s="76" t="s">
        <v>870</v>
      </c>
      <c r="F411" s="78">
        <v>10</v>
      </c>
      <c r="G411" s="79">
        <f>StockInData[Expiry]</f>
        <v>44731</v>
      </c>
      <c r="H411" s="76">
        <v>25</v>
      </c>
      <c r="I411" s="76">
        <f>SUMIFS(StockInData[Quantity],StockInData[Product ID],ProductMaster!$B411)-SUMIFS(StockOutData[Quantity],StockOutData[Product ID],ProductMaster!$B411)</f>
        <v>10</v>
      </c>
      <c r="J411" s="80">
        <f>SUMIFS(StockInData[Value],StockInData[Product ID],ProductMaster!$B411)-SUMIFS(StockOutData[Value],StockOutData[Product ID],ProductMaster!$B411)</f>
        <v>25</v>
      </c>
    </row>
    <row r="412" spans="1:10" x14ac:dyDescent="0.25">
      <c r="A412" s="75">
        <v>411</v>
      </c>
      <c r="B412" s="76" t="s">
        <v>841</v>
      </c>
      <c r="C412" s="77" t="s">
        <v>842</v>
      </c>
      <c r="D412" s="76" t="s">
        <v>869</v>
      </c>
      <c r="E412" s="76" t="s">
        <v>870</v>
      </c>
      <c r="F412" s="78">
        <v>10</v>
      </c>
      <c r="G412" s="79">
        <f>StockInData[Expiry]</f>
        <v>44733</v>
      </c>
      <c r="H412" s="76">
        <v>25</v>
      </c>
      <c r="I412" s="76">
        <f>SUMIFS(StockInData[Quantity],StockInData[Product ID],ProductMaster!$B412)-SUMIFS(StockOutData[Quantity],StockOutData[Product ID],ProductMaster!$B412)</f>
        <v>2</v>
      </c>
      <c r="J412" s="80">
        <f>SUMIFS(StockInData[Value],StockInData[Product ID],ProductMaster!$B412)-SUMIFS(StockOutData[Value],StockOutData[Product ID],ProductMaster!$B412)</f>
        <v>5</v>
      </c>
    </row>
    <row r="413" spans="1:10" x14ac:dyDescent="0.25">
      <c r="A413" s="75">
        <v>412</v>
      </c>
      <c r="B413" s="76" t="s">
        <v>843</v>
      </c>
      <c r="C413" s="77" t="s">
        <v>844</v>
      </c>
      <c r="D413" s="76" t="s">
        <v>869</v>
      </c>
      <c r="E413" s="76" t="s">
        <v>870</v>
      </c>
      <c r="F413" s="78">
        <v>10</v>
      </c>
      <c r="G413" s="79">
        <f>StockInData[Expiry]</f>
        <v>44735</v>
      </c>
      <c r="H413" s="76">
        <v>25</v>
      </c>
      <c r="I413" s="76">
        <f>SUMIFS(StockInData[Quantity],StockInData[Product ID],ProductMaster!$B413)-SUMIFS(StockOutData[Quantity],StockOutData[Product ID],ProductMaster!$B413)</f>
        <v>7</v>
      </c>
      <c r="J413" s="80">
        <f>SUMIFS(StockInData[Value],StockInData[Product ID],ProductMaster!$B413)-SUMIFS(StockOutData[Value],StockOutData[Product ID],ProductMaster!$B413)</f>
        <v>17.5</v>
      </c>
    </row>
    <row r="414" spans="1:10" x14ac:dyDescent="0.25">
      <c r="A414" s="75">
        <v>413</v>
      </c>
      <c r="B414" s="76" t="s">
        <v>845</v>
      </c>
      <c r="C414" s="77" t="s">
        <v>846</v>
      </c>
      <c r="D414" s="76" t="s">
        <v>869</v>
      </c>
      <c r="E414" s="76" t="s">
        <v>870</v>
      </c>
      <c r="F414" s="78">
        <v>10</v>
      </c>
      <c r="G414" s="79">
        <f>StockInData[Expiry]</f>
        <v>44737</v>
      </c>
      <c r="H414" s="76">
        <v>25</v>
      </c>
      <c r="I414" s="76">
        <f>SUMIFS(StockInData[Quantity],StockInData[Product ID],ProductMaster!$B414)-SUMIFS(StockOutData[Quantity],StockOutData[Product ID],ProductMaster!$B414)</f>
        <v>9</v>
      </c>
      <c r="J414" s="80">
        <f>SUMIFS(StockInData[Value],StockInData[Product ID],ProductMaster!$B414)-SUMIFS(StockOutData[Value],StockOutData[Product ID],ProductMaster!$B414)</f>
        <v>22.5</v>
      </c>
    </row>
    <row r="415" spans="1:10" x14ac:dyDescent="0.25">
      <c r="A415" s="75">
        <v>414</v>
      </c>
      <c r="B415" s="76" t="s">
        <v>847</v>
      </c>
      <c r="C415" s="77" t="s">
        <v>848</v>
      </c>
      <c r="D415" s="76" t="s">
        <v>869</v>
      </c>
      <c r="E415" s="76" t="s">
        <v>870</v>
      </c>
      <c r="F415" s="78">
        <v>10</v>
      </c>
      <c r="G415" s="79">
        <f>StockInData[Expiry]</f>
        <v>44739</v>
      </c>
      <c r="H415" s="76">
        <v>25</v>
      </c>
      <c r="I415" s="76">
        <f>SUMIFS(StockInData[Quantity],StockInData[Product ID],ProductMaster!$B415)-SUMIFS(StockOutData[Quantity],StockOutData[Product ID],ProductMaster!$B415)</f>
        <v>52</v>
      </c>
      <c r="J415" s="80">
        <f>SUMIFS(StockInData[Value],StockInData[Product ID],ProductMaster!$B415)-SUMIFS(StockOutData[Value],StockOutData[Product ID],ProductMaster!$B415)</f>
        <v>130</v>
      </c>
    </row>
    <row r="416" spans="1:10" x14ac:dyDescent="0.25">
      <c r="A416" s="75">
        <v>415</v>
      </c>
      <c r="B416" s="76" t="s">
        <v>849</v>
      </c>
      <c r="C416" s="77" t="s">
        <v>850</v>
      </c>
      <c r="D416" s="76" t="s">
        <v>869</v>
      </c>
      <c r="E416" s="76" t="s">
        <v>870</v>
      </c>
      <c r="F416" s="78">
        <v>10</v>
      </c>
      <c r="G416" s="79">
        <f>StockInData[Expiry]</f>
        <v>44741</v>
      </c>
      <c r="H416" s="76">
        <v>25</v>
      </c>
      <c r="I416" s="76">
        <f>SUMIFS(StockInData[Quantity],StockInData[Product ID],ProductMaster!$B416)-SUMIFS(StockOutData[Quantity],StockOutData[Product ID],ProductMaster!$B416)</f>
        <v>69</v>
      </c>
      <c r="J416" s="80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75">
        <v>416</v>
      </c>
      <c r="B417" s="76" t="s">
        <v>851</v>
      </c>
      <c r="C417" s="77" t="s">
        <v>852</v>
      </c>
      <c r="D417" s="76" t="s">
        <v>869</v>
      </c>
      <c r="E417" s="76" t="s">
        <v>870</v>
      </c>
      <c r="F417" s="78">
        <v>10</v>
      </c>
      <c r="G417" s="79">
        <f>StockInData[Expiry]</f>
        <v>44743</v>
      </c>
      <c r="H417" s="76">
        <v>25</v>
      </c>
      <c r="I417" s="76">
        <f>SUMIFS(StockInData[Quantity],StockInData[Product ID],ProductMaster!$B417)-SUMIFS(StockOutData[Quantity],StockOutData[Product ID],ProductMaster!$B417)</f>
        <v>77</v>
      </c>
      <c r="J417" s="80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75">
        <v>417</v>
      </c>
      <c r="B418" s="76" t="s">
        <v>853</v>
      </c>
      <c r="C418" s="77" t="s">
        <v>854</v>
      </c>
      <c r="D418" s="76" t="s">
        <v>869</v>
      </c>
      <c r="E418" s="76" t="s">
        <v>870</v>
      </c>
      <c r="F418" s="78">
        <v>10</v>
      </c>
      <c r="G418" s="79">
        <f>StockInData[Expiry]</f>
        <v>44745</v>
      </c>
      <c r="H418" s="76">
        <v>25</v>
      </c>
      <c r="I418" s="76">
        <f>SUMIFS(StockInData[Quantity],StockInData[Product ID],ProductMaster!$B418)-SUMIFS(StockOutData[Quantity],StockOutData[Product ID],ProductMaster!$B418)</f>
        <v>84</v>
      </c>
      <c r="J418" s="80">
        <f>SUMIFS(StockInData[Value],StockInData[Product ID],ProductMaster!$B418)-SUMIFS(StockOutData[Value],StockOutData[Product ID],ProductMaster!$B418)</f>
        <v>210</v>
      </c>
    </row>
    <row r="419" spans="1:10" x14ac:dyDescent="0.25">
      <c r="A419" s="75">
        <v>418</v>
      </c>
      <c r="B419" s="76" t="s">
        <v>855</v>
      </c>
      <c r="C419" s="77" t="s">
        <v>856</v>
      </c>
      <c r="D419" s="76" t="s">
        <v>869</v>
      </c>
      <c r="E419" s="76" t="s">
        <v>870</v>
      </c>
      <c r="F419" s="78">
        <v>10</v>
      </c>
      <c r="G419" s="79">
        <f>StockInData[Expiry]</f>
        <v>44747</v>
      </c>
      <c r="H419" s="76">
        <v>25</v>
      </c>
      <c r="I419" s="76">
        <f>SUMIFS(StockInData[Quantity],StockInData[Product ID],ProductMaster!$B419)-SUMIFS(StockOutData[Quantity],StockOutData[Product ID],ProductMaster!$B419)</f>
        <v>83</v>
      </c>
      <c r="J419" s="80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75">
        <v>419</v>
      </c>
      <c r="B420" s="76" t="s">
        <v>857</v>
      </c>
      <c r="C420" s="77" t="s">
        <v>858</v>
      </c>
      <c r="D420" s="76" t="s">
        <v>869</v>
      </c>
      <c r="E420" s="76" t="s">
        <v>870</v>
      </c>
      <c r="F420" s="78">
        <v>10</v>
      </c>
      <c r="G420" s="79">
        <f>StockInData[Expiry]</f>
        <v>44749</v>
      </c>
      <c r="H420" s="76">
        <v>25</v>
      </c>
      <c r="I420" s="76">
        <f>SUMIFS(StockInData[Quantity],StockInData[Product ID],ProductMaster!$B420)-SUMIFS(StockOutData[Quantity],StockOutData[Product ID],ProductMaster!$B420)</f>
        <v>48</v>
      </c>
      <c r="J420" s="80">
        <f>SUMIFS(StockInData[Value],StockInData[Product ID],ProductMaster!$B420)-SUMIFS(StockOutData[Value],StockOutData[Product ID],ProductMaster!$B420)</f>
        <v>120</v>
      </c>
    </row>
    <row r="421" spans="1:10" x14ac:dyDescent="0.25">
      <c r="A421" s="75">
        <v>420</v>
      </c>
      <c r="B421" s="76" t="s">
        <v>859</v>
      </c>
      <c r="C421" s="77" t="s">
        <v>860</v>
      </c>
      <c r="D421" s="76" t="s">
        <v>869</v>
      </c>
      <c r="E421" s="76" t="s">
        <v>870</v>
      </c>
      <c r="F421" s="78">
        <v>10</v>
      </c>
      <c r="G421" s="79">
        <f>StockInData[Expiry]</f>
        <v>44751</v>
      </c>
      <c r="H421" s="76">
        <v>25</v>
      </c>
      <c r="I421" s="76">
        <f>SUMIFS(StockInData[Quantity],StockInData[Product ID],ProductMaster!$B421)-SUMIFS(StockOutData[Quantity],StockOutData[Product ID],ProductMaster!$B421)</f>
        <v>50</v>
      </c>
      <c r="J421" s="80">
        <f>SUMIFS(StockInData[Value],StockInData[Product ID],ProductMaster!$B421)-SUMIFS(StockOutData[Value],StockOutData[Product ID],ProductMaster!$B421)</f>
        <v>125</v>
      </c>
    </row>
    <row r="422" spans="1:10" x14ac:dyDescent="0.25">
      <c r="A422" s="75">
        <v>421</v>
      </c>
      <c r="B422" s="76" t="s">
        <v>861</v>
      </c>
      <c r="C422" s="77" t="s">
        <v>862</v>
      </c>
      <c r="D422" s="76" t="s">
        <v>869</v>
      </c>
      <c r="E422" s="76" t="s">
        <v>870</v>
      </c>
      <c r="F422" s="78">
        <v>10</v>
      </c>
      <c r="G422" s="79">
        <f>StockInData[Expiry]</f>
        <v>44753</v>
      </c>
      <c r="H422" s="76">
        <v>25</v>
      </c>
      <c r="I422" s="76">
        <f>SUMIFS(StockInData[Quantity],StockInData[Product ID],ProductMaster!$B422)-SUMIFS(StockOutData[Quantity],StockOutData[Product ID],ProductMaster!$B422)</f>
        <v>20</v>
      </c>
      <c r="J422" s="80">
        <f>SUMIFS(StockInData[Value],StockInData[Product ID],ProductMaster!$B422)-SUMIFS(StockOutData[Value],StockOutData[Product ID],ProductMaster!$B422)</f>
        <v>50</v>
      </c>
    </row>
    <row r="423" spans="1:10" x14ac:dyDescent="0.25">
      <c r="A423" s="75">
        <v>422</v>
      </c>
      <c r="B423" s="76" t="s">
        <v>863</v>
      </c>
      <c r="C423" s="77" t="s">
        <v>864</v>
      </c>
      <c r="D423" s="76" t="s">
        <v>869</v>
      </c>
      <c r="E423" s="76" t="s">
        <v>870</v>
      </c>
      <c r="F423" s="78">
        <v>10</v>
      </c>
      <c r="G423" s="79">
        <f>StockInData[Expiry]</f>
        <v>44755</v>
      </c>
      <c r="H423" s="76">
        <v>25</v>
      </c>
      <c r="I423" s="76">
        <f>SUMIFS(StockInData[Quantity],StockInData[Product ID],ProductMaster!$B423)-SUMIFS(StockOutData[Quantity],StockOutData[Product ID],ProductMaster!$B423)</f>
        <v>15</v>
      </c>
      <c r="J423" s="80">
        <f>SUMIFS(StockInData[Value],StockInData[Product ID],ProductMaster!$B423)-SUMIFS(StockOutData[Value],StockOutData[Product ID],ProductMaster!$B423)</f>
        <v>37.5</v>
      </c>
    </row>
    <row r="424" spans="1:10" x14ac:dyDescent="0.25">
      <c r="A424" s="75">
        <v>423</v>
      </c>
      <c r="B424" s="76" t="s">
        <v>865</v>
      </c>
      <c r="C424" s="77" t="s">
        <v>866</v>
      </c>
      <c r="D424" s="76" t="s">
        <v>869</v>
      </c>
      <c r="E424" s="76" t="s">
        <v>870</v>
      </c>
      <c r="F424" s="78">
        <v>10</v>
      </c>
      <c r="G424" s="79">
        <f>StockInData[Expiry]</f>
        <v>44757</v>
      </c>
      <c r="H424" s="76">
        <v>25</v>
      </c>
      <c r="I424" s="76">
        <f>SUMIFS(StockInData[Quantity],StockInData[Product ID],ProductMaster!$B424)-SUMIFS(StockOutData[Quantity],StockOutData[Product ID],ProductMaster!$B424)</f>
        <v>10</v>
      </c>
      <c r="J424" s="80">
        <f>SUMIFS(StockInData[Value],StockInData[Product ID],ProductMaster!$B424)-SUMIFS(StockOutData[Value],StockOutData[Product ID],ProductMaster!$B424)</f>
        <v>25</v>
      </c>
    </row>
    <row r="425" spans="1:10" x14ac:dyDescent="0.25">
      <c r="A425" s="75">
        <v>424</v>
      </c>
      <c r="B425" s="76" t="s">
        <v>867</v>
      </c>
      <c r="C425" s="77" t="s">
        <v>868</v>
      </c>
      <c r="D425" s="76" t="s">
        <v>869</v>
      </c>
      <c r="E425" s="76" t="s">
        <v>870</v>
      </c>
      <c r="F425" s="78">
        <v>10</v>
      </c>
      <c r="G425" s="79">
        <f>StockInData[Expiry]</f>
        <v>44759</v>
      </c>
      <c r="H425" s="76">
        <v>25</v>
      </c>
      <c r="I425" s="76">
        <f>SUMIFS(StockInData[Quantity],StockInData[Product ID],ProductMaster!$B425)-SUMIFS(StockOutData[Quantity],StockOutData[Product ID],ProductMaster!$B425)</f>
        <v>9</v>
      </c>
      <c r="J425" s="80">
        <f>SUMIFS(StockInData[Value],StockInData[Product ID],ProductMaster!$B425)-SUMIFS(StockOutData[Value],StockOutData[Product ID],ProductMaster!$B425)</f>
        <v>22.5</v>
      </c>
    </row>
    <row r="426" spans="1:10" x14ac:dyDescent="0.25">
      <c r="A426" s="82">
        <v>425</v>
      </c>
      <c r="B426" s="83" t="s">
        <v>943</v>
      </c>
      <c r="C426" s="84" t="s">
        <v>945</v>
      </c>
      <c r="D426" s="83" t="s">
        <v>869</v>
      </c>
      <c r="E426" s="83" t="s">
        <v>946</v>
      </c>
      <c r="F426" s="85">
        <v>20</v>
      </c>
      <c r="G426" s="86">
        <f>StockInData[Expiry]</f>
        <v>44761</v>
      </c>
      <c r="H426" s="83">
        <v>25</v>
      </c>
      <c r="I426" s="76">
        <f>SUMIFS(StockInData[Quantity],StockInData[Product ID],ProductMaster!$B426)-SUMIFS(StockOutData[Quantity],StockOutData[Product ID],ProductMaster!$B426)</f>
        <v>55</v>
      </c>
      <c r="J426" s="80">
        <f>SUMIFS(StockInData[Value],StockInData[Product ID],ProductMaster!$B426)-SUMIFS(StockOutData[Value],StockOutData[Product ID],ProductMaster!$B426)</f>
        <v>137.5</v>
      </c>
    </row>
  </sheetData>
  <sheetProtection password="CC72" sheet="1" objects="1" scenarios="1"/>
  <sortState ref="A2:J426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9" sqref="B9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105" t="s">
        <v>0</v>
      </c>
      <c r="B5" s="46">
        <f>INDEX(ProductMaster!A:A,COUNT(ProductMaster!A:A)+1)+1</f>
        <v>426</v>
      </c>
      <c r="C5" s="16"/>
    </row>
    <row r="6" spans="1:3" ht="21.95" customHeight="1" x14ac:dyDescent="0.25">
      <c r="A6" s="105" t="s">
        <v>948</v>
      </c>
      <c r="B6" s="42"/>
      <c r="C6" s="16"/>
    </row>
    <row r="7" spans="1:3" ht="21.95" customHeight="1" x14ac:dyDescent="0.25">
      <c r="A7" s="105" t="s">
        <v>3</v>
      </c>
      <c r="B7" s="42"/>
      <c r="C7" s="16"/>
    </row>
    <row r="8" spans="1:3" ht="21.95" customHeight="1" x14ac:dyDescent="0.25">
      <c r="A8" s="105" t="s">
        <v>4</v>
      </c>
      <c r="B8" s="35"/>
      <c r="C8" s="16"/>
    </row>
    <row r="9" spans="1:3" ht="21.95" customHeight="1" x14ac:dyDescent="0.25">
      <c r="A9" s="105" t="s">
        <v>5</v>
      </c>
      <c r="B9" s="35"/>
      <c r="C9" s="16"/>
    </row>
    <row r="10" spans="1:3" ht="21.95" customHeight="1" x14ac:dyDescent="0.25">
      <c r="A10" s="105" t="s">
        <v>10</v>
      </c>
      <c r="B10" s="43"/>
      <c r="C10" s="16"/>
    </row>
    <row r="11" spans="1:3" ht="21.95" customHeight="1" x14ac:dyDescent="0.25">
      <c r="A11" s="105" t="s">
        <v>881</v>
      </c>
      <c r="B11" s="44"/>
      <c r="C11" s="16"/>
    </row>
    <row r="12" spans="1:3" ht="21.95" customHeight="1" thickBot="1" x14ac:dyDescent="0.3">
      <c r="A12" s="106" t="s">
        <v>8</v>
      </c>
      <c r="B12" s="45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105" t="s">
        <v>978</v>
      </c>
      <c r="B5" s="122"/>
      <c r="C5" s="16"/>
    </row>
    <row r="6" spans="1:3" ht="30.75" customHeight="1" thickBot="1" x14ac:dyDescent="0.3">
      <c r="A6" s="119" t="s">
        <v>979</v>
      </c>
      <c r="B6" s="12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zoomScaleNormal="100" workbookViewId="0">
      <selection activeCell="B5" sqref="B5: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976</v>
      </c>
      <c r="B5" s="120"/>
      <c r="C5" s="16"/>
    </row>
    <row r="6" spans="1:3" ht="30.75" customHeight="1" thickBot="1" x14ac:dyDescent="0.3">
      <c r="A6" s="24" t="s">
        <v>977</v>
      </c>
      <c r="B6" s="12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ExpiryReport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ExpiryReport!Print_Area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ExpiryReport!Print_Titles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2019-12-07T21:32:38Z</cp:lastPrinted>
  <dcterms:created xsi:type="dcterms:W3CDTF">2016-08-05T04:56:17Z</dcterms:created>
  <dcterms:modified xsi:type="dcterms:W3CDTF">2019-12-07T22:01:06Z</dcterms:modified>
  <cp:contentStatus/>
</cp:coreProperties>
</file>