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7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353" r:id="rId8"/>
    <sheet name="SOA_972380" sheetId="352" r:id="rId9"/>
    <sheet name="SOA_971904" sheetId="351" r:id="rId10"/>
    <sheet name="SOA_970215" sheetId="350" r:id="rId11"/>
    <sheet name="SOA_967924" sheetId="349" r:id="rId12"/>
    <sheet name="SOA_965810" sheetId="348" r:id="rId13"/>
    <sheet name="SOA_964857" sheetId="347" r:id="rId14"/>
    <sheet name="SOA_961130" sheetId="346" r:id="rId15"/>
    <sheet name="SOA_959523" sheetId="345" r:id="rId16"/>
    <sheet name="SOA_956513" sheetId="344" r:id="rId17"/>
    <sheet name="SOA_949817" sheetId="343" r:id="rId18"/>
    <sheet name="SOA_939476" sheetId="342" r:id="rId19"/>
    <sheet name="SOA_921178" sheetId="341" r:id="rId20"/>
    <sheet name="SOA_920907" sheetId="340" r:id="rId21"/>
    <sheet name="SOA_919737" sheetId="339" r:id="rId22"/>
    <sheet name="SOA_919718" sheetId="338" r:id="rId23"/>
    <sheet name="SOA_919099" sheetId="337" r:id="rId24"/>
    <sheet name="SOA_918725" sheetId="336" r:id="rId25"/>
    <sheet name="SOA_918536" sheetId="335" r:id="rId26"/>
    <sheet name="SOA_917021" sheetId="334" r:id="rId27"/>
    <sheet name="SOA_916775" sheetId="333" r:id="rId28"/>
    <sheet name="SOA_916703" sheetId="332" r:id="rId29"/>
    <sheet name="SOA_916417" sheetId="331" r:id="rId30"/>
    <sheet name="SOA_916414" sheetId="330" r:id="rId31"/>
    <sheet name="SOA_897863" sheetId="329" r:id="rId32"/>
    <sheet name="SOA_886014" sheetId="328" r:id="rId33"/>
    <sheet name="SOA_518226" sheetId="327" r:id="rId34"/>
    <sheet name="SOA_518178" sheetId="326" r:id="rId35"/>
    <sheet name="SOA_506038" sheetId="325" r:id="rId36"/>
    <sheet name="SOA_499098" sheetId="324" r:id="rId37"/>
    <sheet name="SOA_498798" sheetId="323" r:id="rId38"/>
    <sheet name="SOA_498783" sheetId="322" r:id="rId39"/>
    <sheet name="SOA_482734" sheetId="321" r:id="rId40"/>
    <sheet name="SOA_476544" sheetId="320" r:id="rId41"/>
    <sheet name="SOA_450082" sheetId="319" r:id="rId42"/>
    <sheet name="SOA_450000" sheetId="318" r:id="rId43"/>
    <sheet name="SOA_427840" sheetId="317" r:id="rId44"/>
    <sheet name="SOA_427329" sheetId="316" r:id="rId45"/>
    <sheet name="SOA_424053" sheetId="315" r:id="rId46"/>
    <sheet name="SOA_401828" sheetId="314" r:id="rId47"/>
    <sheet name="SOA_400634" sheetId="313" r:id="rId48"/>
    <sheet name="SOA_399157" sheetId="312" r:id="rId49"/>
    <sheet name="SOA_391220" sheetId="311" r:id="rId50"/>
    <sheet name="SOA_387516" sheetId="310" r:id="rId51"/>
    <sheet name="SOA_380945" sheetId="309" r:id="rId52"/>
    <sheet name="SOA_375336" sheetId="308" r:id="rId53"/>
    <sheet name="SOA_366061" sheetId="307" r:id="rId54"/>
    <sheet name="SOA_362302" sheetId="306" r:id="rId55"/>
    <sheet name="SOA_356423" sheetId="305" r:id="rId56"/>
  </sheets>
  <definedNames>
    <definedName name="_xlnm._FilterDatabase" localSheetId="3" hidden="1">SAP!$A$1:$W$560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53" l="1"/>
  <c r="I17" i="353"/>
  <c r="L16" i="353"/>
  <c r="M16" i="353" s="1"/>
  <c r="N16" i="353" s="1"/>
  <c r="L15" i="353"/>
  <c r="M15" i="353" s="1"/>
  <c r="G23" i="353" s="1"/>
  <c r="B15" i="353"/>
  <c r="B16" i="353" s="1"/>
  <c r="N7" i="353"/>
  <c r="I22" i="352"/>
  <c r="I21" i="352"/>
  <c r="L20" i="352"/>
  <c r="L19" i="352"/>
  <c r="L18" i="352"/>
  <c r="L17" i="352"/>
  <c r="L16" i="352"/>
  <c r="L15" i="352"/>
  <c r="B15" i="352"/>
  <c r="B16" i="352" s="1"/>
  <c r="B17" i="352" s="1"/>
  <c r="B18" i="352" s="1"/>
  <c r="B19" i="352" s="1"/>
  <c r="B20" i="352" s="1"/>
  <c r="N7" i="352"/>
  <c r="I18" i="351"/>
  <c r="I17" i="351"/>
  <c r="L16" i="351"/>
  <c r="L15" i="351"/>
  <c r="M15" i="351" s="1"/>
  <c r="B15" i="351"/>
  <c r="B16" i="351" s="1"/>
  <c r="N7" i="351"/>
  <c r="I20" i="350"/>
  <c r="I19" i="350"/>
  <c r="L18" i="350"/>
  <c r="L17" i="350"/>
  <c r="M17" i="350" s="1"/>
  <c r="N17" i="350" s="1"/>
  <c r="L16" i="350"/>
  <c r="L15" i="350"/>
  <c r="M15" i="350" s="1"/>
  <c r="N15" i="350" s="1"/>
  <c r="B15" i="350"/>
  <c r="B16" i="350" s="1"/>
  <c r="B17" i="350" s="1"/>
  <c r="B18" i="350" s="1"/>
  <c r="N7" i="350"/>
  <c r="M16" i="350" s="1"/>
  <c r="N16" i="350" s="1"/>
  <c r="I20" i="349"/>
  <c r="I19" i="349"/>
  <c r="L18" i="349"/>
  <c r="M18" i="349" s="1"/>
  <c r="N18" i="349" s="1"/>
  <c r="L17" i="349"/>
  <c r="M17" i="349" s="1"/>
  <c r="N17" i="349" s="1"/>
  <c r="L16" i="349"/>
  <c r="M16" i="349" s="1"/>
  <c r="N16" i="349" s="1"/>
  <c r="L15" i="349"/>
  <c r="M15" i="349" s="1"/>
  <c r="B15" i="349"/>
  <c r="B16" i="349" s="1"/>
  <c r="B17" i="349" s="1"/>
  <c r="B18" i="349" s="1"/>
  <c r="N7" i="349"/>
  <c r="I17" i="348"/>
  <c r="I16" i="348"/>
  <c r="L15" i="348"/>
  <c r="M15" i="348" s="1"/>
  <c r="B15" i="348"/>
  <c r="N7" i="348"/>
  <c r="I18" i="347"/>
  <c r="I17" i="347"/>
  <c r="L16" i="347"/>
  <c r="M16" i="347" s="1"/>
  <c r="N16" i="347" s="1"/>
  <c r="M15" i="347"/>
  <c r="L15" i="347"/>
  <c r="B15" i="347"/>
  <c r="B16" i="347" s="1"/>
  <c r="N7" i="347"/>
  <c r="I20" i="346"/>
  <c r="I19" i="346"/>
  <c r="L18" i="346"/>
  <c r="M17" i="346"/>
  <c r="N17" i="346" s="1"/>
  <c r="L17" i="346"/>
  <c r="L16" i="346"/>
  <c r="M16" i="346" s="1"/>
  <c r="N16" i="346" s="1"/>
  <c r="L15" i="346"/>
  <c r="B15" i="346"/>
  <c r="B16" i="346" s="1"/>
  <c r="B17" i="346" s="1"/>
  <c r="B18" i="346" s="1"/>
  <c r="N7" i="346"/>
  <c r="M18" i="346" s="1"/>
  <c r="N18" i="346" s="1"/>
  <c r="I17" i="345"/>
  <c r="I18" i="345" s="1"/>
  <c r="I16" i="345"/>
  <c r="M15" i="345"/>
  <c r="G22" i="345" s="1"/>
  <c r="L15" i="345"/>
  <c r="B15" i="345"/>
  <c r="N7" i="345"/>
  <c r="I17" i="344"/>
  <c r="I16" i="344"/>
  <c r="L15" i="344"/>
  <c r="B15" i="344"/>
  <c r="N7" i="344"/>
  <c r="I17" i="343"/>
  <c r="I16" i="343"/>
  <c r="L15" i="343"/>
  <c r="M15" i="343" s="1"/>
  <c r="B15" i="343"/>
  <c r="N7" i="343"/>
  <c r="I19" i="342"/>
  <c r="I18" i="342"/>
  <c r="L17" i="342"/>
  <c r="M17" i="342" s="1"/>
  <c r="N17" i="342" s="1"/>
  <c r="L16" i="342"/>
  <c r="L15" i="342"/>
  <c r="M15" i="342" s="1"/>
  <c r="B15" i="342"/>
  <c r="B16" i="342" s="1"/>
  <c r="B17" i="342" s="1"/>
  <c r="N7" i="342"/>
  <c r="M16" i="342" s="1"/>
  <c r="N16" i="342" s="1"/>
  <c r="I20" i="341"/>
  <c r="I19" i="341"/>
  <c r="M18" i="341"/>
  <c r="N18" i="341" s="1"/>
  <c r="L18" i="341"/>
  <c r="L17" i="341"/>
  <c r="M17" i="341" s="1"/>
  <c r="N17" i="341" s="1"/>
  <c r="M16" i="341"/>
  <c r="N16" i="341" s="1"/>
  <c r="L16" i="341"/>
  <c r="L15" i="341"/>
  <c r="M15" i="341" s="1"/>
  <c r="B15" i="341"/>
  <c r="B16" i="341" s="1"/>
  <c r="B17" i="341" s="1"/>
  <c r="B18" i="341" s="1"/>
  <c r="N7" i="341"/>
  <c r="I17" i="340"/>
  <c r="I16" i="340"/>
  <c r="L15" i="340"/>
  <c r="B15" i="340"/>
  <c r="N7" i="340"/>
  <c r="I17" i="339"/>
  <c r="I16" i="339"/>
  <c r="L15" i="339"/>
  <c r="B15" i="339"/>
  <c r="N7" i="339"/>
  <c r="I17" i="338"/>
  <c r="I16" i="338"/>
  <c r="M15" i="338"/>
  <c r="G22" i="338" s="1"/>
  <c r="L15" i="338"/>
  <c r="B15" i="338"/>
  <c r="N7" i="338"/>
  <c r="I17" i="337"/>
  <c r="I16" i="337"/>
  <c r="L15" i="337"/>
  <c r="M15" i="337" s="1"/>
  <c r="B15" i="337"/>
  <c r="N7" i="337"/>
  <c r="I17" i="336"/>
  <c r="I16" i="336"/>
  <c r="L15" i="336"/>
  <c r="B15" i="336"/>
  <c r="N7" i="336"/>
  <c r="M15" i="336" s="1"/>
  <c r="G22" i="336" s="1"/>
  <c r="I17" i="335"/>
  <c r="I18" i="335" s="1"/>
  <c r="I16" i="335"/>
  <c r="L15" i="335"/>
  <c r="B15" i="335"/>
  <c r="N7" i="335"/>
  <c r="I17" i="334"/>
  <c r="I16" i="334"/>
  <c r="M15" i="334"/>
  <c r="G22" i="334" s="1"/>
  <c r="L15" i="334"/>
  <c r="B15" i="334"/>
  <c r="N7" i="334"/>
  <c r="I17" i="333"/>
  <c r="I16" i="333"/>
  <c r="L15" i="333"/>
  <c r="M15" i="333" s="1"/>
  <c r="G22" i="333" s="1"/>
  <c r="B15" i="333"/>
  <c r="N7" i="333"/>
  <c r="I17" i="332"/>
  <c r="I16" i="332"/>
  <c r="L15" i="332"/>
  <c r="M15" i="332" s="1"/>
  <c r="B15" i="332"/>
  <c r="N7" i="332"/>
  <c r="I17" i="331"/>
  <c r="I16" i="331"/>
  <c r="L15" i="331"/>
  <c r="B15" i="331"/>
  <c r="N7" i="331"/>
  <c r="I17" i="330"/>
  <c r="I16" i="330"/>
  <c r="L15" i="330"/>
  <c r="B15" i="330"/>
  <c r="N7" i="330"/>
  <c r="I21" i="329"/>
  <c r="I20" i="329"/>
  <c r="M19" i="329"/>
  <c r="N19" i="329" s="1"/>
  <c r="L19" i="329"/>
  <c r="L18" i="329"/>
  <c r="M17" i="329"/>
  <c r="N17" i="329" s="1"/>
  <c r="L17" i="329"/>
  <c r="L16" i="329"/>
  <c r="M16" i="329" s="1"/>
  <c r="N16" i="329" s="1"/>
  <c r="L15" i="329"/>
  <c r="M15" i="329" s="1"/>
  <c r="N15" i="329" s="1"/>
  <c r="B15" i="329"/>
  <c r="B16" i="329" s="1"/>
  <c r="B17" i="329" s="1"/>
  <c r="B18" i="329" s="1"/>
  <c r="B19" i="329" s="1"/>
  <c r="N7" i="329"/>
  <c r="I17" i="328"/>
  <c r="I16" i="328"/>
  <c r="M15" i="328"/>
  <c r="G22" i="328" s="1"/>
  <c r="L15" i="328"/>
  <c r="B15" i="328"/>
  <c r="N7" i="328"/>
  <c r="I18" i="327"/>
  <c r="I17" i="327"/>
  <c r="L16" i="327"/>
  <c r="L15" i="327"/>
  <c r="M15" i="327" s="1"/>
  <c r="B15" i="327"/>
  <c r="B16" i="327" s="1"/>
  <c r="N7" i="327"/>
  <c r="I20" i="326"/>
  <c r="I19" i="326"/>
  <c r="L18" i="326"/>
  <c r="L17" i="326"/>
  <c r="L16" i="326"/>
  <c r="L15" i="326"/>
  <c r="B15" i="326"/>
  <c r="B16" i="326" s="1"/>
  <c r="B17" i="326" s="1"/>
  <c r="B18" i="326" s="1"/>
  <c r="N7" i="326"/>
  <c r="I17" i="325"/>
  <c r="I16" i="325"/>
  <c r="M15" i="325"/>
  <c r="G22" i="325" s="1"/>
  <c r="L15" i="325"/>
  <c r="B15" i="325"/>
  <c r="N7" i="325"/>
  <c r="I17" i="324"/>
  <c r="I18" i="324" s="1"/>
  <c r="I16" i="324"/>
  <c r="L15" i="324"/>
  <c r="M15" i="324" s="1"/>
  <c r="G22" i="324" s="1"/>
  <c r="B15" i="324"/>
  <c r="N7" i="324"/>
  <c r="I18" i="323"/>
  <c r="I19" i="323" s="1"/>
  <c r="I17" i="323"/>
  <c r="L16" i="323"/>
  <c r="L15" i="323"/>
  <c r="M15" i="323" s="1"/>
  <c r="B15" i="323"/>
  <c r="B16" i="323" s="1"/>
  <c r="N7" i="323"/>
  <c r="I22" i="322"/>
  <c r="I21" i="322"/>
  <c r="L20" i="322"/>
  <c r="M20" i="322" s="1"/>
  <c r="N20" i="322" s="1"/>
  <c r="M19" i="322"/>
  <c r="N19" i="322" s="1"/>
  <c r="L19" i="322"/>
  <c r="L18" i="322"/>
  <c r="M18" i="322" s="1"/>
  <c r="N18" i="322" s="1"/>
  <c r="L17" i="322"/>
  <c r="M17" i="322" s="1"/>
  <c r="N17" i="322" s="1"/>
  <c r="L16" i="322"/>
  <c r="M16" i="322" s="1"/>
  <c r="N16" i="322" s="1"/>
  <c r="M15" i="322"/>
  <c r="N15" i="322" s="1"/>
  <c r="L15" i="322"/>
  <c r="B15" i="322"/>
  <c r="B16" i="322" s="1"/>
  <c r="B17" i="322" s="1"/>
  <c r="B18" i="322" s="1"/>
  <c r="B19" i="322" s="1"/>
  <c r="B20" i="322" s="1"/>
  <c r="N7" i="322"/>
  <c r="I41" i="321"/>
  <c r="I40" i="321"/>
  <c r="L39" i="321"/>
  <c r="M39" i="321" s="1"/>
  <c r="N39" i="321" s="1"/>
  <c r="L38" i="321"/>
  <c r="L37" i="321"/>
  <c r="M37" i="321" s="1"/>
  <c r="N37" i="321" s="1"/>
  <c r="L36" i="321"/>
  <c r="L35" i="321"/>
  <c r="L34" i="321"/>
  <c r="M34" i="321" s="1"/>
  <c r="N34" i="321" s="1"/>
  <c r="L33" i="321"/>
  <c r="L32" i="321"/>
  <c r="M32" i="321" s="1"/>
  <c r="N32" i="321" s="1"/>
  <c r="L31" i="321"/>
  <c r="L30" i="321"/>
  <c r="M30" i="321" s="1"/>
  <c r="N30" i="321" s="1"/>
  <c r="L29" i="321"/>
  <c r="L28" i="321"/>
  <c r="M28" i="321" s="1"/>
  <c r="N28" i="321" s="1"/>
  <c r="L27" i="321"/>
  <c r="L26" i="321"/>
  <c r="L25" i="321"/>
  <c r="L24" i="321"/>
  <c r="M24" i="321" s="1"/>
  <c r="N24" i="321" s="1"/>
  <c r="L23" i="321"/>
  <c r="M23" i="321" s="1"/>
  <c r="N23" i="321" s="1"/>
  <c r="L22" i="321"/>
  <c r="M22" i="321" s="1"/>
  <c r="N22" i="321" s="1"/>
  <c r="L21" i="321"/>
  <c r="L20" i="321"/>
  <c r="M20" i="321" s="1"/>
  <c r="N20" i="321" s="1"/>
  <c r="L19" i="321"/>
  <c r="L18" i="321"/>
  <c r="L17" i="321"/>
  <c r="L16" i="321"/>
  <c r="M16" i="321" s="1"/>
  <c r="N16" i="321" s="1"/>
  <c r="L15" i="321"/>
  <c r="M15" i="321" s="1"/>
  <c r="B15" i="321"/>
  <c r="B16" i="321" s="1"/>
  <c r="B17" i="321" s="1"/>
  <c r="B18" i="321" s="1"/>
  <c r="B19" i="321" s="1"/>
  <c r="B20" i="321" s="1"/>
  <c r="B21" i="321" s="1"/>
  <c r="B22" i="321" s="1"/>
  <c r="B23" i="321" s="1"/>
  <c r="B24" i="321" s="1"/>
  <c r="B25" i="321" s="1"/>
  <c r="B26" i="321" s="1"/>
  <c r="B27" i="321" s="1"/>
  <c r="B28" i="321" s="1"/>
  <c r="B29" i="321" s="1"/>
  <c r="B30" i="321" s="1"/>
  <c r="B31" i="321" s="1"/>
  <c r="B32" i="321" s="1"/>
  <c r="B33" i="321" s="1"/>
  <c r="B34" i="321" s="1"/>
  <c r="B35" i="321" s="1"/>
  <c r="B36" i="321" s="1"/>
  <c r="B37" i="321" s="1"/>
  <c r="B38" i="321" s="1"/>
  <c r="B39" i="321" s="1"/>
  <c r="N7" i="321"/>
  <c r="M36" i="321" s="1"/>
  <c r="N36" i="321" s="1"/>
  <c r="I18" i="320"/>
  <c r="I17" i="320"/>
  <c r="L16" i="320"/>
  <c r="M16" i="320" s="1"/>
  <c r="N16" i="320" s="1"/>
  <c r="L15" i="320"/>
  <c r="B15" i="320"/>
  <c r="B16" i="320" s="1"/>
  <c r="N7" i="320"/>
  <c r="I22" i="319"/>
  <c r="I21" i="319"/>
  <c r="L20" i="319"/>
  <c r="M20" i="319" s="1"/>
  <c r="N20" i="319" s="1"/>
  <c r="L19" i="319"/>
  <c r="M19" i="319" s="1"/>
  <c r="N19" i="319" s="1"/>
  <c r="L18" i="319"/>
  <c r="M18" i="319" s="1"/>
  <c r="N18" i="319" s="1"/>
  <c r="L17" i="319"/>
  <c r="M17" i="319" s="1"/>
  <c r="N17" i="319" s="1"/>
  <c r="L16" i="319"/>
  <c r="M16" i="319" s="1"/>
  <c r="N16" i="319" s="1"/>
  <c r="L15" i="319"/>
  <c r="M15" i="319" s="1"/>
  <c r="N15" i="319" s="1"/>
  <c r="B15" i="319"/>
  <c r="B16" i="319" s="1"/>
  <c r="B17" i="319" s="1"/>
  <c r="B18" i="319" s="1"/>
  <c r="B19" i="319" s="1"/>
  <c r="B20" i="319" s="1"/>
  <c r="N7" i="319"/>
  <c r="I18" i="318"/>
  <c r="I17" i="318"/>
  <c r="L16" i="318"/>
  <c r="L15" i="318"/>
  <c r="B15" i="318"/>
  <c r="B16" i="318" s="1"/>
  <c r="N7" i="318"/>
  <c r="M16" i="318" s="1"/>
  <c r="N16" i="318" s="1"/>
  <c r="I20" i="317"/>
  <c r="I19" i="317"/>
  <c r="L18" i="317"/>
  <c r="L17" i="317"/>
  <c r="M17" i="317" s="1"/>
  <c r="N17" i="317" s="1"/>
  <c r="L16" i="317"/>
  <c r="M16" i="317" s="1"/>
  <c r="N16" i="317" s="1"/>
  <c r="L15" i="317"/>
  <c r="M15" i="317" s="1"/>
  <c r="N15" i="317" s="1"/>
  <c r="B15" i="317"/>
  <c r="B16" i="317" s="1"/>
  <c r="B17" i="317" s="1"/>
  <c r="B18" i="317" s="1"/>
  <c r="N7" i="317"/>
  <c r="M18" i="317" s="1"/>
  <c r="N18" i="317" s="1"/>
  <c r="I18" i="316"/>
  <c r="I17" i="316"/>
  <c r="L16" i="316"/>
  <c r="M16" i="316" s="1"/>
  <c r="N16" i="316" s="1"/>
  <c r="L15" i="316"/>
  <c r="M15" i="316" s="1"/>
  <c r="B15" i="316"/>
  <c r="B16" i="316" s="1"/>
  <c r="N7" i="316"/>
  <c r="I17" i="315"/>
  <c r="I16" i="315"/>
  <c r="L15" i="315"/>
  <c r="M15" i="315" s="1"/>
  <c r="B15" i="315"/>
  <c r="N7" i="315"/>
  <c r="I24" i="314"/>
  <c r="I23" i="314"/>
  <c r="L22" i="314"/>
  <c r="L21" i="314"/>
  <c r="L20" i="314"/>
  <c r="L19" i="314"/>
  <c r="L18" i="314"/>
  <c r="L17" i="314"/>
  <c r="L16" i="314"/>
  <c r="L15" i="314"/>
  <c r="B15" i="314"/>
  <c r="B16" i="314" s="1"/>
  <c r="B17" i="314" s="1"/>
  <c r="B18" i="314" s="1"/>
  <c r="B19" i="314" s="1"/>
  <c r="B20" i="314" s="1"/>
  <c r="B21" i="314" s="1"/>
  <c r="B22" i="314" s="1"/>
  <c r="N7" i="314"/>
  <c r="M22" i="314" s="1"/>
  <c r="N22" i="314" s="1"/>
  <c r="I17" i="313"/>
  <c r="I18" i="313" s="1"/>
  <c r="I16" i="313"/>
  <c r="L15" i="313"/>
  <c r="M15" i="313" s="1"/>
  <c r="G22" i="313" s="1"/>
  <c r="B15" i="313"/>
  <c r="N7" i="313"/>
  <c r="I18" i="312"/>
  <c r="I17" i="312"/>
  <c r="M16" i="312"/>
  <c r="N16" i="312" s="1"/>
  <c r="L16" i="312"/>
  <c r="L15" i="312"/>
  <c r="M15" i="312" s="1"/>
  <c r="B15" i="312"/>
  <c r="B16" i="312" s="1"/>
  <c r="N7" i="312"/>
  <c r="I17" i="311"/>
  <c r="I16" i="311"/>
  <c r="L15" i="311"/>
  <c r="M15" i="311" s="1"/>
  <c r="B15" i="311"/>
  <c r="N7" i="311"/>
  <c r="I17" i="310"/>
  <c r="I16" i="310"/>
  <c r="L15" i="310"/>
  <c r="B15" i="310"/>
  <c r="N7" i="310"/>
  <c r="I22" i="309"/>
  <c r="I21" i="309"/>
  <c r="L20" i="309"/>
  <c r="M20" i="309" s="1"/>
  <c r="N20" i="309" s="1"/>
  <c r="L19" i="309"/>
  <c r="M19" i="309" s="1"/>
  <c r="N19" i="309" s="1"/>
  <c r="L18" i="309"/>
  <c r="M17" i="309"/>
  <c r="N17" i="309" s="1"/>
  <c r="L17" i="309"/>
  <c r="L16" i="309"/>
  <c r="M16" i="309" s="1"/>
  <c r="N16" i="309" s="1"/>
  <c r="L15" i="309"/>
  <c r="M15" i="309" s="1"/>
  <c r="N15" i="309" s="1"/>
  <c r="B15" i="309"/>
  <c r="B16" i="309" s="1"/>
  <c r="B17" i="309" s="1"/>
  <c r="B18" i="309" s="1"/>
  <c r="B19" i="309" s="1"/>
  <c r="B20" i="309" s="1"/>
  <c r="N7" i="309"/>
  <c r="M18" i="309" s="1"/>
  <c r="N18" i="309" s="1"/>
  <c r="I19" i="308"/>
  <c r="I18" i="308"/>
  <c r="L17" i="308"/>
  <c r="M17" i="308" s="1"/>
  <c r="N17" i="308" s="1"/>
  <c r="L16" i="308"/>
  <c r="M16" i="308" s="1"/>
  <c r="N16" i="308" s="1"/>
  <c r="L15" i="308"/>
  <c r="M15" i="308" s="1"/>
  <c r="B15" i="308"/>
  <c r="B16" i="308" s="1"/>
  <c r="B17" i="308" s="1"/>
  <c r="N7" i="308"/>
  <c r="I20" i="307"/>
  <c r="I19" i="307"/>
  <c r="L18" i="307"/>
  <c r="L17" i="307"/>
  <c r="M17" i="307" s="1"/>
  <c r="N17" i="307" s="1"/>
  <c r="L16" i="307"/>
  <c r="M16" i="307" s="1"/>
  <c r="N16" i="307" s="1"/>
  <c r="L15" i="307"/>
  <c r="B15" i="307"/>
  <c r="B16" i="307" s="1"/>
  <c r="B17" i="307" s="1"/>
  <c r="B18" i="307" s="1"/>
  <c r="N7" i="307"/>
  <c r="M15" i="307" s="1"/>
  <c r="N15" i="307" s="1"/>
  <c r="I17" i="306"/>
  <c r="I16" i="306"/>
  <c r="L15" i="306"/>
  <c r="M15" i="306" s="1"/>
  <c r="F22" i="306" s="1"/>
  <c r="B15" i="306"/>
  <c r="N7" i="306"/>
  <c r="I27" i="305"/>
  <c r="I26" i="305"/>
  <c r="M25" i="305"/>
  <c r="N25" i="305" s="1"/>
  <c r="L25" i="305"/>
  <c r="L24" i="305"/>
  <c r="M24" i="305" s="1"/>
  <c r="N24" i="305" s="1"/>
  <c r="M23" i="305"/>
  <c r="N23" i="305" s="1"/>
  <c r="L23" i="305"/>
  <c r="L22" i="305"/>
  <c r="M22" i="305" s="1"/>
  <c r="N22" i="305" s="1"/>
  <c r="M21" i="305"/>
  <c r="N21" i="305" s="1"/>
  <c r="L21" i="305"/>
  <c r="L20" i="305"/>
  <c r="M20" i="305" s="1"/>
  <c r="N20" i="305" s="1"/>
  <c r="M19" i="305"/>
  <c r="N19" i="305" s="1"/>
  <c r="L19" i="305"/>
  <c r="L18" i="305"/>
  <c r="M18" i="305" s="1"/>
  <c r="N18" i="305" s="1"/>
  <c r="L17" i="305"/>
  <c r="M17" i="305" s="1"/>
  <c r="N17" i="305" s="1"/>
  <c r="L16" i="305"/>
  <c r="M16" i="305" s="1"/>
  <c r="N16" i="305" s="1"/>
  <c r="M15" i="305"/>
  <c r="L15" i="305"/>
  <c r="B15" i="305"/>
  <c r="B16" i="305" s="1"/>
  <c r="B17" i="305" s="1"/>
  <c r="B18" i="305" s="1"/>
  <c r="B19" i="305" s="1"/>
  <c r="B20" i="305" s="1"/>
  <c r="B21" i="305" s="1"/>
  <c r="B22" i="305" s="1"/>
  <c r="B23" i="305" s="1"/>
  <c r="B24" i="305" s="1"/>
  <c r="B25" i="305" s="1"/>
  <c r="N7" i="305"/>
  <c r="I19" i="353" l="1"/>
  <c r="M19" i="352"/>
  <c r="N19" i="352" s="1"/>
  <c r="M15" i="352"/>
  <c r="M16" i="352"/>
  <c r="N16" i="352" s="1"/>
  <c r="M20" i="352"/>
  <c r="N20" i="352" s="1"/>
  <c r="M17" i="352"/>
  <c r="N17" i="352" s="1"/>
  <c r="M18" i="352"/>
  <c r="N18" i="352" s="1"/>
  <c r="I23" i="352"/>
  <c r="M16" i="351"/>
  <c r="N16" i="351" s="1"/>
  <c r="M18" i="350"/>
  <c r="N18" i="350" s="1"/>
  <c r="I21" i="350"/>
  <c r="I21" i="349"/>
  <c r="I18" i="348"/>
  <c r="G23" i="347"/>
  <c r="N15" i="347"/>
  <c r="M15" i="346"/>
  <c r="N15" i="346" s="1"/>
  <c r="M15" i="344"/>
  <c r="G24" i="342"/>
  <c r="N15" i="342"/>
  <c r="I21" i="341"/>
  <c r="I18" i="340"/>
  <c r="M15" i="340"/>
  <c r="N15" i="340" s="1"/>
  <c r="M15" i="339"/>
  <c r="N15" i="338"/>
  <c r="G22" i="337"/>
  <c r="N15" i="337"/>
  <c r="I18" i="336"/>
  <c r="M15" i="335"/>
  <c r="I18" i="334"/>
  <c r="M15" i="331"/>
  <c r="M15" i="330"/>
  <c r="M18" i="329"/>
  <c r="N18" i="329" s="1"/>
  <c r="M16" i="327"/>
  <c r="N16" i="327" s="1"/>
  <c r="M15" i="326"/>
  <c r="M16" i="326"/>
  <c r="N16" i="326" s="1"/>
  <c r="I21" i="326"/>
  <c r="M17" i="326"/>
  <c r="N17" i="326" s="1"/>
  <c r="M18" i="326"/>
  <c r="N18" i="326" s="1"/>
  <c r="N15" i="325"/>
  <c r="M16" i="323"/>
  <c r="N16" i="323" s="1"/>
  <c r="M18" i="321"/>
  <c r="N18" i="321" s="1"/>
  <c r="M21" i="321"/>
  <c r="N21" i="321" s="1"/>
  <c r="M31" i="321"/>
  <c r="N31" i="321" s="1"/>
  <c r="M35" i="321"/>
  <c r="N35" i="321" s="1"/>
  <c r="M25" i="321"/>
  <c r="N25" i="321" s="1"/>
  <c r="M29" i="321"/>
  <c r="N29" i="321" s="1"/>
  <c r="M26" i="321"/>
  <c r="N26" i="321" s="1"/>
  <c r="M27" i="321"/>
  <c r="N27" i="321" s="1"/>
  <c r="M17" i="321"/>
  <c r="N17" i="321" s="1"/>
  <c r="M19" i="321"/>
  <c r="N19" i="321" s="1"/>
  <c r="M33" i="321"/>
  <c r="N33" i="321" s="1"/>
  <c r="M38" i="321"/>
  <c r="N38" i="321" s="1"/>
  <c r="M15" i="320"/>
  <c r="I19" i="320"/>
  <c r="M15" i="318"/>
  <c r="I19" i="318"/>
  <c r="I18" i="315"/>
  <c r="M17" i="314"/>
  <c r="N17" i="314" s="1"/>
  <c r="M18" i="314"/>
  <c r="N18" i="314" s="1"/>
  <c r="M15" i="314"/>
  <c r="M19" i="314"/>
  <c r="N19" i="314" s="1"/>
  <c r="M21" i="314"/>
  <c r="N21" i="314" s="1"/>
  <c r="M16" i="314"/>
  <c r="N16" i="314" s="1"/>
  <c r="M20" i="314"/>
  <c r="N20" i="314" s="1"/>
  <c r="I19" i="312"/>
  <c r="I18" i="311"/>
  <c r="M15" i="310"/>
  <c r="I18" i="310"/>
  <c r="M18" i="307"/>
  <c r="N18" i="307" s="1"/>
  <c r="I18" i="306"/>
  <c r="I28" i="305"/>
  <c r="D23" i="353"/>
  <c r="N15" i="353"/>
  <c r="H23" i="353"/>
  <c r="G27" i="352"/>
  <c r="H27" i="352"/>
  <c r="N15" i="352"/>
  <c r="D27" i="352"/>
  <c r="I19" i="351"/>
  <c r="G23" i="351"/>
  <c r="N15" i="351"/>
  <c r="G25" i="350"/>
  <c r="G25" i="349"/>
  <c r="N15" i="349"/>
  <c r="G22" i="348"/>
  <c r="N15" i="348"/>
  <c r="I19" i="347"/>
  <c r="G25" i="346"/>
  <c r="E25" i="346"/>
  <c r="I21" i="346"/>
  <c r="H25" i="346"/>
  <c r="I25" i="346"/>
  <c r="D25" i="346"/>
  <c r="N15" i="345"/>
  <c r="I18" i="344"/>
  <c r="G22" i="344"/>
  <c r="N15" i="344"/>
  <c r="I18" i="343"/>
  <c r="G22" i="343"/>
  <c r="N15" i="343"/>
  <c r="I20" i="342"/>
  <c r="G25" i="341"/>
  <c r="N15" i="341"/>
  <c r="G22" i="340"/>
  <c r="I18" i="339"/>
  <c r="G22" i="339"/>
  <c r="N15" i="339"/>
  <c r="E22" i="338"/>
  <c r="I18" i="338"/>
  <c r="H22" i="338"/>
  <c r="K22" i="338" s="1"/>
  <c r="I22" i="338"/>
  <c r="D22" i="338"/>
  <c r="E22" i="337"/>
  <c r="I18" i="337"/>
  <c r="F22" i="337"/>
  <c r="H22" i="337"/>
  <c r="K22" i="337" s="1"/>
  <c r="D22" i="337"/>
  <c r="I22" i="337"/>
  <c r="N15" i="336"/>
  <c r="G22" i="335"/>
  <c r="D22" i="335"/>
  <c r="H22" i="335"/>
  <c r="N15" i="335"/>
  <c r="N15" i="334"/>
  <c r="I18" i="333"/>
  <c r="N15" i="333"/>
  <c r="I18" i="332"/>
  <c r="G22" i="332"/>
  <c r="N15" i="332"/>
  <c r="I18" i="331"/>
  <c r="G22" i="331"/>
  <c r="H22" i="331"/>
  <c r="N15" i="331"/>
  <c r="D22" i="331"/>
  <c r="I18" i="330"/>
  <c r="G22" i="330"/>
  <c r="N15" i="330"/>
  <c r="G26" i="329"/>
  <c r="I22" i="329"/>
  <c r="I18" i="328"/>
  <c r="N15" i="328"/>
  <c r="I19" i="327"/>
  <c r="G23" i="327"/>
  <c r="N15" i="327"/>
  <c r="G25" i="326"/>
  <c r="N15" i="326"/>
  <c r="I18" i="325"/>
  <c r="N15" i="324"/>
  <c r="G23" i="323"/>
  <c r="N15" i="323"/>
  <c r="I23" i="322"/>
  <c r="G27" i="322"/>
  <c r="G46" i="321"/>
  <c r="N15" i="321"/>
  <c r="I42" i="321"/>
  <c r="G23" i="320"/>
  <c r="H23" i="320"/>
  <c r="N15" i="320"/>
  <c r="D23" i="320"/>
  <c r="G27" i="319"/>
  <c r="I23" i="319"/>
  <c r="G23" i="318"/>
  <c r="H23" i="318"/>
  <c r="N15" i="318"/>
  <c r="D23" i="318"/>
  <c r="G25" i="317"/>
  <c r="I21" i="317"/>
  <c r="G23" i="316"/>
  <c r="I19" i="316"/>
  <c r="N15" i="316"/>
  <c r="G22" i="315"/>
  <c r="N15" i="315"/>
  <c r="I25" i="314"/>
  <c r="G29" i="314"/>
  <c r="E29" i="314"/>
  <c r="N15" i="314"/>
  <c r="D29" i="314"/>
  <c r="I29" i="314"/>
  <c r="H29" i="314"/>
  <c r="E22" i="313"/>
  <c r="N15" i="313"/>
  <c r="H22" i="313"/>
  <c r="I22" i="313"/>
  <c r="D22" i="313"/>
  <c r="G23" i="312"/>
  <c r="N15" i="312"/>
  <c r="G22" i="311"/>
  <c r="N15" i="311"/>
  <c r="G22" i="310"/>
  <c r="N15" i="310"/>
  <c r="G27" i="309"/>
  <c r="I23" i="309"/>
  <c r="I20" i="308"/>
  <c r="G24" i="308"/>
  <c r="H24" i="308"/>
  <c r="N15" i="308"/>
  <c r="D24" i="308"/>
  <c r="G25" i="307"/>
  <c r="I21" i="307"/>
  <c r="N15" i="306"/>
  <c r="G32" i="305"/>
  <c r="N15" i="305"/>
  <c r="E23" i="353"/>
  <c r="I23" i="353"/>
  <c r="K23" i="353" s="1"/>
  <c r="F23" i="353"/>
  <c r="E27" i="352"/>
  <c r="I27" i="352"/>
  <c r="K27" i="352" s="1"/>
  <c r="F27" i="352"/>
  <c r="D23" i="351"/>
  <c r="H23" i="351"/>
  <c r="E23" i="351"/>
  <c r="I23" i="351"/>
  <c r="F23" i="351"/>
  <c r="D25" i="350"/>
  <c r="H25" i="350"/>
  <c r="E25" i="350"/>
  <c r="I25" i="350"/>
  <c r="F25" i="350"/>
  <c r="D25" i="349"/>
  <c r="H25" i="349"/>
  <c r="E25" i="349"/>
  <c r="I25" i="349"/>
  <c r="F25" i="349"/>
  <c r="D22" i="348"/>
  <c r="H22" i="348"/>
  <c r="E22" i="348"/>
  <c r="I22" i="348"/>
  <c r="F22" i="348"/>
  <c r="D23" i="347"/>
  <c r="H23" i="347"/>
  <c r="E23" i="347"/>
  <c r="I23" i="347"/>
  <c r="F23" i="347"/>
  <c r="F25" i="346"/>
  <c r="D22" i="345"/>
  <c r="H22" i="345"/>
  <c r="K22" i="345" s="1"/>
  <c r="E22" i="345"/>
  <c r="I22" i="345"/>
  <c r="F22" i="345"/>
  <c r="D22" i="344"/>
  <c r="H22" i="344"/>
  <c r="E22" i="344"/>
  <c r="I22" i="344"/>
  <c r="F22" i="344"/>
  <c r="D22" i="343"/>
  <c r="H22" i="343"/>
  <c r="E22" i="343"/>
  <c r="I22" i="343"/>
  <c r="F22" i="343"/>
  <c r="D24" i="342"/>
  <c r="H24" i="342"/>
  <c r="K24" i="342" s="1"/>
  <c r="E24" i="342"/>
  <c r="I24" i="342"/>
  <c r="F24" i="342"/>
  <c r="D25" i="341"/>
  <c r="H25" i="341"/>
  <c r="E25" i="341"/>
  <c r="I25" i="341"/>
  <c r="F25" i="341"/>
  <c r="D22" i="340"/>
  <c r="H22" i="340"/>
  <c r="E22" i="340"/>
  <c r="I22" i="340"/>
  <c r="F22" i="340"/>
  <c r="D22" i="339"/>
  <c r="H22" i="339"/>
  <c r="K22" i="339" s="1"/>
  <c r="E22" i="339"/>
  <c r="I22" i="339"/>
  <c r="F22" i="339"/>
  <c r="F22" i="338"/>
  <c r="D22" i="336"/>
  <c r="H22" i="336"/>
  <c r="K22" i="336" s="1"/>
  <c r="E22" i="336"/>
  <c r="I22" i="336"/>
  <c r="F22" i="336"/>
  <c r="E22" i="335"/>
  <c r="I22" i="335"/>
  <c r="K22" i="335" s="1"/>
  <c r="F22" i="335"/>
  <c r="D22" i="334"/>
  <c r="H22" i="334"/>
  <c r="K22" i="334" s="1"/>
  <c r="E22" i="334"/>
  <c r="I22" i="334"/>
  <c r="F22" i="334"/>
  <c r="D22" i="333"/>
  <c r="H22" i="333"/>
  <c r="K22" i="333" s="1"/>
  <c r="E22" i="333"/>
  <c r="I22" i="333"/>
  <c r="F22" i="333"/>
  <c r="D22" i="332"/>
  <c r="H22" i="332"/>
  <c r="E22" i="332"/>
  <c r="I22" i="332"/>
  <c r="F22" i="332"/>
  <c r="E22" i="331"/>
  <c r="J22" i="331" s="1"/>
  <c r="I22" i="331"/>
  <c r="K22" i="331" s="1"/>
  <c r="F22" i="331"/>
  <c r="D22" i="330"/>
  <c r="H22" i="330"/>
  <c r="K22" i="330" s="1"/>
  <c r="E22" i="330"/>
  <c r="I22" i="330"/>
  <c r="F22" i="330"/>
  <c r="D26" i="329"/>
  <c r="H26" i="329"/>
  <c r="E26" i="329"/>
  <c r="I26" i="329"/>
  <c r="F26" i="329"/>
  <c r="D22" i="328"/>
  <c r="H22" i="328"/>
  <c r="E22" i="328"/>
  <c r="I22" i="328"/>
  <c r="F22" i="328"/>
  <c r="D23" i="327"/>
  <c r="H23" i="327"/>
  <c r="E23" i="327"/>
  <c r="I23" i="327"/>
  <c r="F23" i="327"/>
  <c r="D25" i="326"/>
  <c r="H25" i="326"/>
  <c r="E25" i="326"/>
  <c r="I25" i="326"/>
  <c r="F25" i="326"/>
  <c r="D22" i="325"/>
  <c r="H22" i="325"/>
  <c r="E22" i="325"/>
  <c r="I22" i="325"/>
  <c r="F22" i="325"/>
  <c r="D22" i="324"/>
  <c r="H22" i="324"/>
  <c r="K22" i="324" s="1"/>
  <c r="E22" i="324"/>
  <c r="I22" i="324"/>
  <c r="F22" i="324"/>
  <c r="D23" i="323"/>
  <c r="H23" i="323"/>
  <c r="K23" i="323" s="1"/>
  <c r="E23" i="323"/>
  <c r="I23" i="323"/>
  <c r="F23" i="323"/>
  <c r="D27" i="322"/>
  <c r="H27" i="322"/>
  <c r="E27" i="322"/>
  <c r="I27" i="322"/>
  <c r="F27" i="322"/>
  <c r="D46" i="321"/>
  <c r="H46" i="321"/>
  <c r="E46" i="321"/>
  <c r="I46" i="321"/>
  <c r="F46" i="321"/>
  <c r="E23" i="320"/>
  <c r="I23" i="320"/>
  <c r="K23" i="320" s="1"/>
  <c r="F23" i="320"/>
  <c r="D27" i="319"/>
  <c r="H27" i="319"/>
  <c r="E27" i="319"/>
  <c r="I27" i="319"/>
  <c r="F27" i="319"/>
  <c r="E23" i="318"/>
  <c r="I23" i="318"/>
  <c r="K23" i="318" s="1"/>
  <c r="F23" i="318"/>
  <c r="D25" i="317"/>
  <c r="H25" i="317"/>
  <c r="E25" i="317"/>
  <c r="I25" i="317"/>
  <c r="F25" i="317"/>
  <c r="D23" i="316"/>
  <c r="H23" i="316"/>
  <c r="K23" i="316" s="1"/>
  <c r="E23" i="316"/>
  <c r="I23" i="316"/>
  <c r="F23" i="316"/>
  <c r="D22" i="315"/>
  <c r="H22" i="315"/>
  <c r="E22" i="315"/>
  <c r="I22" i="315"/>
  <c r="F22" i="315"/>
  <c r="F29" i="314"/>
  <c r="F22" i="313"/>
  <c r="D23" i="312"/>
  <c r="H23" i="312"/>
  <c r="K23" i="312" s="1"/>
  <c r="E23" i="312"/>
  <c r="I23" i="312"/>
  <c r="F23" i="312"/>
  <c r="D22" i="311"/>
  <c r="H22" i="311"/>
  <c r="E22" i="311"/>
  <c r="I22" i="311"/>
  <c r="F22" i="311"/>
  <c r="D22" i="310"/>
  <c r="H22" i="310"/>
  <c r="E22" i="310"/>
  <c r="I22" i="310"/>
  <c r="F22" i="310"/>
  <c r="D27" i="309"/>
  <c r="H27" i="309"/>
  <c r="E27" i="309"/>
  <c r="I27" i="309"/>
  <c r="F27" i="309"/>
  <c r="E24" i="308"/>
  <c r="I24" i="308"/>
  <c r="F24" i="308"/>
  <c r="D25" i="307"/>
  <c r="H25" i="307"/>
  <c r="E25" i="307"/>
  <c r="I25" i="307"/>
  <c r="F25" i="307"/>
  <c r="G22" i="306"/>
  <c r="D22" i="306"/>
  <c r="H22" i="306"/>
  <c r="E22" i="306"/>
  <c r="I22" i="306"/>
  <c r="D32" i="305"/>
  <c r="H32" i="305"/>
  <c r="E32" i="305"/>
  <c r="I32" i="305"/>
  <c r="F32" i="305"/>
  <c r="B15" i="7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J23" i="353" l="1"/>
  <c r="K23" i="351"/>
  <c r="J25" i="346"/>
  <c r="K22" i="343"/>
  <c r="J22" i="337"/>
  <c r="K22" i="332"/>
  <c r="K22" i="325"/>
  <c r="J23" i="320"/>
  <c r="K24" i="308"/>
  <c r="J27" i="352"/>
  <c r="K25" i="350"/>
  <c r="K25" i="349"/>
  <c r="K23" i="347"/>
  <c r="K25" i="346"/>
  <c r="K22" i="344"/>
  <c r="K25" i="341"/>
  <c r="J22" i="338"/>
  <c r="J22" i="335"/>
  <c r="K26" i="329"/>
  <c r="K25" i="326"/>
  <c r="K27" i="322"/>
  <c r="K46" i="321"/>
  <c r="K27" i="319"/>
  <c r="J23" i="318"/>
  <c r="K25" i="317"/>
  <c r="K22" i="315"/>
  <c r="K29" i="314"/>
  <c r="J29" i="314"/>
  <c r="J22" i="313"/>
  <c r="K22" i="313"/>
  <c r="K22" i="311"/>
  <c r="K22" i="310"/>
  <c r="K27" i="309"/>
  <c r="J24" i="308"/>
  <c r="K25" i="307"/>
  <c r="K22" i="306"/>
  <c r="K32" i="305"/>
  <c r="J23" i="351"/>
  <c r="J25" i="350"/>
  <c r="J25" i="349"/>
  <c r="K22" i="348"/>
  <c r="J22" i="348"/>
  <c r="J23" i="347"/>
  <c r="J22" i="345"/>
  <c r="J22" i="344"/>
  <c r="J22" i="343"/>
  <c r="J24" i="342"/>
  <c r="J25" i="341"/>
  <c r="K22" i="340"/>
  <c r="J22" i="340"/>
  <c r="J22" i="339"/>
  <c r="J22" i="336"/>
  <c r="J22" i="334"/>
  <c r="J22" i="333"/>
  <c r="J22" i="332"/>
  <c r="J22" i="330"/>
  <c r="J26" i="329"/>
  <c r="K22" i="328"/>
  <c r="J22" i="328"/>
  <c r="K23" i="327"/>
  <c r="J23" i="327"/>
  <c r="J25" i="326"/>
  <c r="J22" i="325"/>
  <c r="J22" i="324"/>
  <c r="J23" i="323"/>
  <c r="J27" i="322"/>
  <c r="J46" i="321"/>
  <c r="J27" i="319"/>
  <c r="J25" i="317"/>
  <c r="J23" i="316"/>
  <c r="J22" i="315"/>
  <c r="J23" i="312"/>
  <c r="J22" i="311"/>
  <c r="J22" i="310"/>
  <c r="J27" i="309"/>
  <c r="J25" i="307"/>
  <c r="J22" i="306"/>
  <c r="J32" i="305"/>
  <c r="L16" i="7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<sst xmlns="http://schemas.openxmlformats.org/spreadsheetml/2006/main" count="12533" uniqueCount="1935">
  <si>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</si>
  <si>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</si>
  <si>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</si>
  <si>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</si>
  <si>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</si>
  <si>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</si>
  <si>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</si>
  <si>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</si>
  <si>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</si>
  <si>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</si>
  <si>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</si>
  <si>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</si>
  <si>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</si>
  <si>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</si>
  <si>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</si>
  <si>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</si>
  <si>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</si>
  <si>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</si>
  <si>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</si>
  <si>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</si>
  <si>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</si>
  <si>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</si>
  <si>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</si>
  <si>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</si>
  <si>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</si>
  <si>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</si>
  <si>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</si>
  <si>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</si>
  <si>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</si>
  <si>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</si>
  <si>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</si>
  <si>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</si>
  <si>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</si>
  <si>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</si>
  <si>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</si>
  <si>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</si>
  <si>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</si>
  <si>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</si>
  <si>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</si>
  <si>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</si>
  <si>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</si>
  <si>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</si>
  <si>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</si>
  <si>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</si>
  <si>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</si>
  <si>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</si>
  <si>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</si>
  <si>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</si>
  <si>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</si>
  <si>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</si>
  <si>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</si>
  <si>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</si>
  <si>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</si>
  <si>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</si>
  <si>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</si>
  <si>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</si>
  <si>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</si>
  <si>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</si>
  <si>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</si>
  <si>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</si>
  <si>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</si>
  <si>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</si>
  <si>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</si>
  <si>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</si>
  <si>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</si>
  <si>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</si>
  <si>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</si>
  <si>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</si>
  <si>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</si>
  <si>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</si>
  <si>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</si>
  <si>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</si>
  <si>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</si>
  <si>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</si>
  <si>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</si>
  <si>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</si>
  <si>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</si>
  <si>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</si>
  <si>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</si>
  <si>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</si>
  <si>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</si>
  <si>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</si>
  <si>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</si>
  <si>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</si>
  <si>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</si>
  <si>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</si>
  <si>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</si>
  <si>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</si>
  <si>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</si>
  <si>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</si>
  <si>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</si>
  <si>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</si>
  <si>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</si>
  <si>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</si>
  <si>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</si>
  <si>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</si>
  <si>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</si>
  <si>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</si>
  <si>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</si>
  <si>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</si>
  <si>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</si>
  <si>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</si>
  <si>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</si>
  <si>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</si>
  <si>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</si>
  <si>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</si>
  <si>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</si>
  <si>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</si>
  <si>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</si>
  <si>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</si>
  <si>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</si>
  <si>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</si>
  <si>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</si>
  <si>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</si>
  <si>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</si>
  <si>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</si>
  <si>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</si>
  <si>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</si>
  <si>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</si>
  <si>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</si>
  <si>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</si>
  <si>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</si>
  <si>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</si>
  <si>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</si>
  <si>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</si>
  <si>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</si>
  <si>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</si>
  <si>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</si>
  <si>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</si>
  <si>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</si>
  <si>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</si>
  <si>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</si>
  <si>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</si>
  <si>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</si>
  <si>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</si>
  <si>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</si>
  <si>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</si>
  <si>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</si>
  <si>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</si>
  <si>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</si>
  <si>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</si>
  <si>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</si>
  <si>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</si>
  <si>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</si>
  <si>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</si>
  <si>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</si>
  <si>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</si>
  <si>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</si>
  <si>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</si>
  <si>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</si>
  <si>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</si>
  <si>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</si>
  <si>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</si>
  <si>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</si>
  <si>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</si>
  <si>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</si>
  <si>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</si>
  <si>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</si>
  <si>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</si>
  <si>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</si>
  <si>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</si>
  <si>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</si>
  <si>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</si>
  <si>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</si>
  <si>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</si>
  <si>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</si>
  <si>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</si>
  <si>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</si>
  <si>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</si>
  <si>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</si>
  <si>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</si>
  <si>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</si>
  <si>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</si>
  <si>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</si>
  <si>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</si>
  <si>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</si>
  <si>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</si>
  <si>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</si>
  <si>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</si>
  <si>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</si>
  <si>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</si>
  <si>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</si>
  <si>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</si>
  <si>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</si>
  <si>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</si>
  <si>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</si>
  <si>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</si>
  <si>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</si>
  <si>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</si>
  <si>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</si>
  <si>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</si>
  <si>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</si>
  <si>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</si>
  <si>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</si>
  <si>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</si>
  <si>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</si>
  <si>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</si>
  <si>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</si>
  <si>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</si>
  <si>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</si>
  <si>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</si>
  <si>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</si>
  <si>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</si>
  <si>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</si>
  <si>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</si>
  <si>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</si>
  <si>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</si>
  <si>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</si>
  <si>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</si>
  <si>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</si>
  <si>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</si>
  <si>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</si>
  <si>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</si>
  <si>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</si>
  <si>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</si>
  <si>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</si>
  <si>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</si>
  <si>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</si>
  <si>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</si>
  <si>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</si>
  <si>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</si>
  <si>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</si>
  <si>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</si>
  <si>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</si>
  <si>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</si>
  <si>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</si>
  <si>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</si>
  <si>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</si>
  <si>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</si>
  <si>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</si>
  <si>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</si>
  <si>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</si>
  <si>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</si>
  <si>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</si>
  <si>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</si>
  <si>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</si>
  <si>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</si>
  <si>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</si>
  <si>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</si>
  <si>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</si>
  <si>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</si>
  <si>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</si>
  <si>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</si>
  <si>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</si>
  <si>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</si>
  <si>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</si>
  <si>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</si>
  <si>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</si>
  <si>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</si>
  <si>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</si>
  <si>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</si>
  <si>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</si>
  <si>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</si>
  <si>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</si>
  <si>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</si>
  <si>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</si>
  <si>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</si>
  <si>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</si>
  <si>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</si>
  <si>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</si>
  <si>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</si>
  <si>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</si>
  <si>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</si>
  <si>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</si>
  <si>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</si>
  <si>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</si>
  <si>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</si>
  <si>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</si>
  <si>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</si>
  <si>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</si>
  <si>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</si>
  <si>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</si>
  <si>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</si>
  <si>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</si>
  <si>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</si>
  <si>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</si>
  <si>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</si>
  <si>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</si>
  <si>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</si>
  <si>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</si>
  <si>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</si>
  <si>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</si>
  <si>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</si>
  <si>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</si>
  <si>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</si>
  <si>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</si>
  <si>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</si>
  <si>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</si>
  <si>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</si>
  <si>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</si>
  <si>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</si>
  <si>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</si>
  <si>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</si>
  <si>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</si>
  <si>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</si>
  <si>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</si>
  <si>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</si>
  <si>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</si>
  <si>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</si>
  <si>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</si>
  <si>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</si>
  <si>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</si>
  <si>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</si>
  <si>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</si>
  <si>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</si>
  <si>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</si>
  <si>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</si>
  <si>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</si>
  <si>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</si>
  <si>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</si>
  <si>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</si>
  <si>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</si>
  <si>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</si>
  <si>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</si>
  <si>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</si>
  <si>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</si>
  <si>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</si>
  <si>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</si>
  <si>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</si>
  <si>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</si>
  <si>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</si>
  <si>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</si>
  <si>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</si>
  <si>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</si>
  <si>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</si>
  <si>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</si>
  <si>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</si>
  <si>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</si>
  <si>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</si>
  <si>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</si>
  <si>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</si>
  <si>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</si>
  <si>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</si>
  <si>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</si>
  <si>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</si>
  <si>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</si>
  <si>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</si>
  <si>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</si>
  <si>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</si>
  <si>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</si>
  <si>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</si>
  <si>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</si>
  <si>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</si>
  <si>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</si>
  <si>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</si>
  <si>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</si>
  <si>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</si>
  <si>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</si>
  <si>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</si>
  <si>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</si>
  <si>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</si>
  <si>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</si>
  <si>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</si>
  <si>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</si>
  <si>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</si>
  <si>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</si>
  <si>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</si>
  <si>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</si>
  <si>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</si>
  <si>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</si>
  <si>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</si>
  <si>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</si>
  <si>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</si>
  <si>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</si>
  <si>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</si>
  <si>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</si>
  <si>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</si>
  <si>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</si>
  <si>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</si>
  <si>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</si>
  <si>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</si>
  <si>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</si>
  <si>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</si>
  <si>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</si>
  <si>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</si>
  <si>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</si>
  <si>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</si>
  <si>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</si>
  <si>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</si>
  <si>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</si>
  <si>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</si>
  <si>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</si>
  <si>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</si>
  <si>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</si>
  <si>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</si>
  <si>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</si>
  <si>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</si>
  <si>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</si>
  <si>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</si>
  <si>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</si>
  <si>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</si>
  <si>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</si>
  <si>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</si>
  <si>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</si>
  <si>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</si>
  <si>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</si>
  <si>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</si>
  <si>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</si>
  <si>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</si>
  <si>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</si>
  <si>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</si>
  <si>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</si>
  <si>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</si>
  <si>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</si>
  <si>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</si>
  <si>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</si>
  <si>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</si>
  <si>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</si>
  <si>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</si>
  <si>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</si>
  <si>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</si>
  <si>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</si>
  <si>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</si>
  <si>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</si>
  <si>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</si>
  <si>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</si>
  <si>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</si>
  <si>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</si>
  <si>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</si>
  <si>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</si>
  <si>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</si>
  <si>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</si>
  <si>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</si>
  <si>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</si>
  <si>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</si>
  <si>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</si>
  <si>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</si>
  <si>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</si>
  <si>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</si>
  <si>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</si>
  <si>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</si>
  <si>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</si>
  <si>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</si>
  <si>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</si>
  <si>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</si>
  <si>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</si>
  <si>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</si>
  <si>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</si>
  <si>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</si>
  <si>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</si>
  <si>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</si>
  <si>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</si>
  <si>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</si>
  <si>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</si>
  <si>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</si>
  <si>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</si>
  <si>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</si>
  <si>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</si>
  <si>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</si>
  <si>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</si>
  <si>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</si>
  <si>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</si>
  <si>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</si>
  <si>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</si>
  <si>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</si>
  <si>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</si>
  <si>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</si>
  <si>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</si>
  <si>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</si>
  <si>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</si>
  <si>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</si>
  <si>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</si>
  <si>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</si>
  <si>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</si>
  <si>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</si>
  <si>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</si>
  <si>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</si>
  <si>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</si>
  <si>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</si>
  <si>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</si>
  <si>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</si>
  <si>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</si>
  <si>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</si>
  <si>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</si>
  <si>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</si>
  <si>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</si>
  <si>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</si>
  <si>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</si>
  <si>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</si>
  <si>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</si>
  <si>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</si>
  <si>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</si>
  <si>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</si>
  <si>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</si>
  <si>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</si>
  <si>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</si>
  <si>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</si>
  <si>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</si>
  <si>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</si>
  <si>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</si>
  <si>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</si>
  <si>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</si>
  <si>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</si>
  <si>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</si>
  <si>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</si>
  <si>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</si>
  <si>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</si>
  <si>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</si>
  <si>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</si>
  <si>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</si>
  <si>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</si>
  <si>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</si>
  <si>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</si>
  <si>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</si>
  <si>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</si>
  <si>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</si>
  <si>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</si>
  <si>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</si>
  <si>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</si>
  <si>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</si>
  <si>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</si>
  <si>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</si>
  <si>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</si>
  <si>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</si>
  <si>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</si>
  <si>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</si>
  <si>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</si>
  <si>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</si>
  <si>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</si>
  <si>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</si>
  <si>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</si>
  <si>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</si>
  <si>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</si>
  <si>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</si>
  <si>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</si>
  <si>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</si>
  <si>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</si>
  <si>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</si>
  <si>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</si>
  <si>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</si>
  <si>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</si>
  <si>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</si>
  <si>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</si>
  <si>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</si>
  <si>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</si>
  <si>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</si>
  <si>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</si>
  <si>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</si>
  <si>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</si>
  <si>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</si>
  <si>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</si>
  <si>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</si>
  <si>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</si>
  <si>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</si>
  <si>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</si>
  <si>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</si>
  <si>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</si>
  <si>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</si>
  <si>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</si>
  <si>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</si>
  <si>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</si>
  <si>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</si>
  <si>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</si>
  <si>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</si>
  <si>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</si>
  <si>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</si>
  <si>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</si>
  <si>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</si>
  <si>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</si>
  <si>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</si>
  <si>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</si>
  <si>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</si>
  <si>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</si>
  <si>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</si>
  <si>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</si>
  <si>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</si>
  <si>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</si>
  <si>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</si>
  <si>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</si>
  <si>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</si>
  <si>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</si>
  <si>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</si>
  <si>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</si>
  <si>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</si>
  <si>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</si>
  <si>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</si>
  <si>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</si>
  <si>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</si>
  <si>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</si>
  <si>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</si>
  <si>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</si>
  <si>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</si>
  <si>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</si>
  <si>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</si>
  <si>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</si>
  <si>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</si>
  <si>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</si>
  <si>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</si>
  <si>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</si>
  <si>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</si>
  <si>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</si>
  <si>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</si>
  <si>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</si>
  <si>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</si>
  <si>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</si>
  <si>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</si>
  <si>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</si>
  <si>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</si>
  <si>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</si>
  <si>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</si>
  <si>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</si>
  <si>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</si>
  <si>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</si>
  <si>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</si>
  <si>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</si>
  <si>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</si>
  <si>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</si>
  <si>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</si>
  <si>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</si>
  <si>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</si>
  <si>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</si>
  <si>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</si>
  <si>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</si>
  <si>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</si>
  <si>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</si>
  <si>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</si>
  <si>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</si>
  <si>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</si>
  <si>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</si>
  <si>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</si>
  <si>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</si>
  <si>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</si>
  <si>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</si>
  <si>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</si>
  <si>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</si>
  <si>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</si>
  <si>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</si>
  <si>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</si>
  <si>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</si>
  <si>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</si>
  <si>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</si>
  <si>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</si>
  <si>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</si>
  <si>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</si>
  <si>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</si>
  <si>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</si>
  <si>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</si>
  <si>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</si>
  <si>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</si>
  <si>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</si>
  <si>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</si>
  <si>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</si>
  <si>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</si>
  <si>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</si>
  <si>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</si>
  <si>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</si>
  <si>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</si>
  <si>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</si>
  <si>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</si>
  <si>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</si>
  <si>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</si>
  <si>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</si>
  <si>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</si>
  <si>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</si>
  <si>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</si>
  <si>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</si>
  <si>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</si>
  <si>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</si>
  <si>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</si>
  <si>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</si>
  <si>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</si>
  <si>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</si>
  <si>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</si>
  <si>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</si>
  <si>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</si>
  <si>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</si>
  <si>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</si>
  <si>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</si>
  <si>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</si>
  <si>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</si>
  <si>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</si>
  <si>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</si>
  <si>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</si>
  <si>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</si>
  <si>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</si>
  <si>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</si>
  <si>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</si>
  <si>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</si>
  <si>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</si>
  <si>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</si>
  <si>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</si>
  <si>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</si>
  <si>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</si>
  <si>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</si>
  <si>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</si>
  <si>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</si>
  <si>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</si>
  <si>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</si>
  <si>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</si>
  <si>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</si>
  <si>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</si>
  <si>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</si>
  <si>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</si>
  <si>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</si>
  <si>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</si>
  <si>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</si>
  <si>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</si>
  <si>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</si>
  <si>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</si>
  <si>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</si>
  <si>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</si>
  <si>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</si>
  <si>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</si>
  <si>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</si>
  <si>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</si>
  <si>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</si>
  <si>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</si>
  <si>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</si>
  <si>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</si>
  <si>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</si>
  <si>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</si>
  <si>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</si>
  <si>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</si>
  <si>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</si>
  <si>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</si>
  <si>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</si>
  <si>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</si>
  <si>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</si>
  <si>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</si>
  <si>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</si>
  <si>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</si>
  <si>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</si>
  <si>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</si>
  <si>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</si>
  <si>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</si>
  <si>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</si>
  <si>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</si>
  <si>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</si>
  <si>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</si>
  <si>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</si>
  <si>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</si>
  <si>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</si>
  <si>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</si>
  <si>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</si>
  <si>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</si>
  <si>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</si>
  <si>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</si>
  <si>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</si>
  <si>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</si>
  <si>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</si>
  <si>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</si>
  <si>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</si>
  <si>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</si>
  <si>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</si>
  <si>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</si>
  <si>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</si>
  <si>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</si>
  <si>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</si>
  <si>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</si>
  <si>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</si>
  <si>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</si>
  <si>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</si>
  <si>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</si>
  <si>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</si>
  <si>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</si>
  <si>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</si>
  <si>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</si>
  <si>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</si>
  <si>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</si>
  <si>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</si>
  <si>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</si>
  <si>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</si>
  <si>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</si>
  <si>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</si>
  <si>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</si>
  <si>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</si>
  <si>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</si>
  <si>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</si>
  <si>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</si>
  <si>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</si>
  <si>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</si>
  <si>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</si>
  <si>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</si>
  <si>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</si>
  <si>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</si>
  <si>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</si>
  <si>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</si>
  <si>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</si>
  <si>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</si>
  <si>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</si>
  <si>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</si>
  <si>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</si>
  <si>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</si>
  <si>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</si>
  <si>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</si>
  <si>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</si>
  <si>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</si>
  <si>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</si>
  <si>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</si>
  <si>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</si>
  <si>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</si>
  <si>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</si>
  <si>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</si>
  <si>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</si>
  <si>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</si>
  <si>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</si>
  <si>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</si>
  <si>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</si>
  <si>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</si>
  <si>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</si>
  <si>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</si>
  <si>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</si>
  <si>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</si>
  <si>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</si>
  <si>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</si>
  <si>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</si>
  <si>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</si>
  <si>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</si>
  <si>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</si>
  <si>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</si>
  <si>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</si>
  <si>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</si>
  <si>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</si>
  <si>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</si>
  <si>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</si>
  <si>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</si>
  <si>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</si>
  <si>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</si>
  <si>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</si>
  <si>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</si>
  <si>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</si>
  <si>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</si>
  <si>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</si>
  <si>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</si>
  <si>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</si>
  <si>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</si>
  <si>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</si>
  <si>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</si>
  <si>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</si>
  <si>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</si>
  <si>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</si>
  <si>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</si>
  <si>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</si>
  <si>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</si>
  <si>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</si>
  <si>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</si>
  <si>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</si>
  <si>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</si>
  <si>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</si>
  <si>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</si>
  <si>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</si>
  <si>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</si>
  <si>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</si>
  <si>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</si>
  <si>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</si>
  <si>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</si>
  <si>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</si>
  <si>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</si>
  <si>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</si>
  <si>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</si>
  <si>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</si>
  <si>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</si>
  <si>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</si>
  <si>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</si>
  <si>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</si>
  <si>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</si>
  <si>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</si>
  <si>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</si>
  <si>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</si>
  <si>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</si>
  <si>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</si>
  <si>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</si>
  <si>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</si>
  <si>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</si>
  <si>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</si>
  <si>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</si>
  <si>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</si>
  <si>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</si>
  <si>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</si>
  <si>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</si>
  <si>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</si>
  <si>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</si>
  <si>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</si>
  <si>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</si>
  <si>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</si>
  <si>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</si>
  <si>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</si>
  <si>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</si>
  <si>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</si>
  <si>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</si>
  <si>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</si>
  <si>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</si>
  <si>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</si>
  <si>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</si>
  <si>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</si>
  <si>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</si>
  <si>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</si>
  <si>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</si>
  <si>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</si>
  <si>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</si>
  <si>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</si>
  <si>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</si>
  <si>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</si>
  <si>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</si>
  <si>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</si>
  <si>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</si>
  <si>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</si>
  <si>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</si>
  <si>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</si>
  <si>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</si>
  <si>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</si>
  <si>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</si>
  <si>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</si>
  <si>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</si>
  <si>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</si>
  <si>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</si>
  <si>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</si>
  <si>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</si>
  <si>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</si>
  <si>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</si>
  <si>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</si>
  <si>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</si>
  <si>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</si>
  <si>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</si>
  <si>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</si>
  <si>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</si>
  <si>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</si>
  <si>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</si>
  <si>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</si>
  <si>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</si>
  <si>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</si>
  <si>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</si>
  <si>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</si>
  <si>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</si>
  <si>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</si>
  <si>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</si>
  <si>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</si>
  <si>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</si>
  <si>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</si>
  <si>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</si>
  <si>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</si>
  <si>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</si>
  <si>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</si>
  <si>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</si>
  <si>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</si>
  <si>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</si>
  <si>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</si>
  <si>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</si>
  <si>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</si>
  <si>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</si>
  <si>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</si>
  <si>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</si>
  <si>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</si>
  <si>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</si>
  <si>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</si>
  <si>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</si>
  <si>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</si>
  <si>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</si>
  <si>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</si>
  <si>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</si>
  <si>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</si>
  <si>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</si>
  <si>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</si>
  <si>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</si>
  <si>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</si>
  <si>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</si>
  <si>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</si>
  <si>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</si>
  <si>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</si>
  <si>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</si>
  <si>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</si>
  <si>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</si>
  <si>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</si>
  <si>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</si>
  <si>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</si>
  <si>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</si>
  <si>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</si>
  <si>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</si>
  <si>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</si>
  <si>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</si>
  <si>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</si>
  <si>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</si>
  <si>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</si>
  <si>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</si>
  <si>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</si>
  <si>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</si>
  <si>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</si>
  <si>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</si>
  <si>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</si>
  <si>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</si>
  <si>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</si>
  <si>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</si>
  <si>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</si>
  <si>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</si>
  <si>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</si>
  <si>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</si>
  <si>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</si>
  <si>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</si>
  <si>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</si>
  <si>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</si>
  <si>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</si>
  <si>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</si>
  <si>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</si>
  <si>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</si>
  <si>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</si>
  <si>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</si>
  <si>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</si>
  <si>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</si>
  <si>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</si>
  <si>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</si>
  <si>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</si>
  <si>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</si>
  <si>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</si>
  <si>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</si>
  <si>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</si>
  <si>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</si>
  <si>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</si>
  <si>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</si>
  <si>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</si>
  <si>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</si>
  <si>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</si>
  <si>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</si>
  <si>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</si>
  <si>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</si>
  <si>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</si>
  <si>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</si>
  <si>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</si>
  <si>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</si>
  <si>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</si>
  <si>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</si>
  <si>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</si>
  <si>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</si>
  <si>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</si>
  <si>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</si>
  <si>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</si>
  <si>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</si>
  <si>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</si>
  <si>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</si>
  <si>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</si>
  <si>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</si>
  <si>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</si>
  <si>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</si>
  <si>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</si>
  <si>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</si>
  <si>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</si>
  <si>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</si>
  <si>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</si>
  <si>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</si>
  <si>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</si>
  <si>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</si>
  <si>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</si>
  <si>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</si>
  <si>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</si>
  <si>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</si>
  <si>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</si>
  <si>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</si>
  <si>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</si>
  <si>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</si>
  <si>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</si>
  <si>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</si>
  <si>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</si>
  <si>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</si>
  <si>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</si>
  <si>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</si>
  <si>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</si>
  <si>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</si>
  <si>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</si>
  <si>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</si>
  <si>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</si>
  <si>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</si>
  <si>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</si>
  <si>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</si>
  <si>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</si>
  <si>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</si>
  <si>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</si>
  <si>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</si>
  <si>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</si>
  <si>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</si>
  <si>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</si>
  <si>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</si>
  <si>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</si>
  <si>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</si>
  <si>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</si>
  <si>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</si>
  <si>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</si>
  <si>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</si>
  <si>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</si>
  <si>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</si>
  <si>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</si>
  <si>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</si>
  <si>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</si>
  <si>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</si>
  <si>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</si>
  <si>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</si>
  <si>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</si>
  <si>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</si>
  <si>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</si>
  <si>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</si>
  <si>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</si>
  <si>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</si>
  <si>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</si>
  <si>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</si>
  <si>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</si>
  <si>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</si>
  <si>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</si>
  <si>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</si>
  <si>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</si>
  <si>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</si>
  <si>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</si>
  <si>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</si>
  <si>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</si>
  <si>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</si>
  <si>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</si>
  <si>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</si>
  <si>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</si>
  <si>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</si>
  <si>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</si>
  <si>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</si>
  <si>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</si>
  <si>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</si>
  <si>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</si>
  <si>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</si>
  <si>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</si>
  <si>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</si>
  <si>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</si>
  <si>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</si>
  <si>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</si>
  <si>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</si>
  <si>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</si>
  <si>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</si>
  <si>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</si>
  <si>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</si>
  <si>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</si>
  <si>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</si>
  <si>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</si>
  <si>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</si>
  <si>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</si>
  <si>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</si>
  <si>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</si>
  <si>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</si>
  <si>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</si>
  <si>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</si>
  <si>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</si>
  <si>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</si>
  <si>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</si>
  <si>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</si>
  <si>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</si>
  <si>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</si>
  <si>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</si>
  <si>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</si>
  <si>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</si>
  <si>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</si>
  <si>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</si>
  <si>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</si>
  <si>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</si>
  <si>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</si>
  <si>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</si>
  <si>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</si>
  <si>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</si>
  <si>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</si>
  <si>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</si>
  <si>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</si>
  <si>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</si>
  <si>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</si>
  <si>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</si>
  <si>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</si>
  <si>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</si>
  <si>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</si>
  <si>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</si>
  <si>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</si>
  <si>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</si>
  <si>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</si>
  <si>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</si>
  <si>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</si>
  <si>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</si>
  <si>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</si>
  <si>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</si>
  <si>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</si>
  <si>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</si>
  <si>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</si>
  <si>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</si>
  <si>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</si>
  <si>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</si>
  <si>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</si>
  <si>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</si>
  <si>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</si>
  <si>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</si>
  <si>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</si>
  <si>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</si>
  <si>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</si>
  <si>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</si>
  <si>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</si>
  <si>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</si>
  <si>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</si>
  <si>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</si>
  <si>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</si>
  <si>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</si>
  <si>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</si>
  <si>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</si>
  <si>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</si>
  <si>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</si>
  <si>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</si>
  <si>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</si>
  <si>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</si>
  <si>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</si>
  <si>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</si>
  <si>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</si>
  <si>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</si>
  <si>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</si>
  <si>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</si>
  <si>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</si>
  <si>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</si>
  <si>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</si>
  <si>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</si>
  <si>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</si>
  <si>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</si>
  <si>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</si>
  <si>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</si>
  <si>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</si>
  <si>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</si>
  <si>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</si>
  <si>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</si>
  <si>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</si>
  <si>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</si>
  <si>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</si>
  <si>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</si>
  <si>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</si>
  <si>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</si>
  <si>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</si>
  <si>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</si>
  <si>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</si>
  <si>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</si>
  <si>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</si>
  <si>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</si>
  <si>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</si>
  <si>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</si>
  <si>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</si>
  <si>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</si>
  <si>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</si>
  <si>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</si>
  <si>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</si>
  <si>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</si>
  <si>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</si>
  <si>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</si>
  <si>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</si>
  <si>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</si>
  <si>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</si>
  <si>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</si>
  <si>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</si>
  <si>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</si>
  <si>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</si>
  <si>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</si>
  <si>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</si>
  <si>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</si>
  <si>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</si>
  <si>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</si>
  <si>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</si>
  <si>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</si>
  <si>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</si>
  <si>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</si>
  <si>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</si>
  <si>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</si>
  <si>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</si>
  <si>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</si>
  <si>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</si>
  <si>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</si>
  <si>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</si>
  <si>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</si>
  <si>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</si>
  <si>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</si>
  <si>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</si>
  <si>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</si>
  <si>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</si>
  <si>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</si>
  <si>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</si>
  <si>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</si>
  <si>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</si>
  <si>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</si>
  <si>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</si>
  <si>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</si>
  <si>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</si>
  <si>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</si>
  <si>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</si>
  <si>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</si>
  <si>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</si>
  <si>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</si>
  <si>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</si>
  <si>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</si>
  <si>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</si>
  <si>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</si>
  <si>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</si>
  <si>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</si>
  <si>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</si>
  <si>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</si>
  <si>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</si>
  <si>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</si>
  <si>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</si>
  <si>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</si>
  <si>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</si>
  <si>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</si>
  <si>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</si>
  <si>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</si>
  <si>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</si>
  <si>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</si>
  <si>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</si>
  <si>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</si>
  <si>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</si>
  <si>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</si>
  <si>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</si>
  <si>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</si>
  <si>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</si>
  <si>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</si>
  <si>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</si>
  <si>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</si>
  <si>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</si>
  <si>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</si>
  <si>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</si>
  <si>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</si>
  <si>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</si>
  <si>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</si>
  <si>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</si>
  <si>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</si>
  <si>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</si>
  <si>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</si>
  <si>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</si>
  <si>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</si>
  <si>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</si>
  <si>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</si>
  <si>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</si>
  <si>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</si>
  <si>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</si>
  <si>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</si>
  <si>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</si>
  <si>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</si>
  <si>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</si>
  <si>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</si>
  <si>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</si>
  <si>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</si>
  <si>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</si>
  <si>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</si>
  <si>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</si>
  <si>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</si>
  <si>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</si>
  <si>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</si>
  <si>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</si>
  <si>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</si>
  <si>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</si>
  <si>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</si>
  <si>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</si>
  <si>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</si>
  <si>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</si>
  <si>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</si>
  <si>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</si>
  <si>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</si>
  <si>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</si>
  <si>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</si>
  <si>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</si>
  <si>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</si>
  <si>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</si>
  <si>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</si>
  <si>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</si>
  <si>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</si>
  <si>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</si>
  <si>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</si>
  <si>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</si>
  <si>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</si>
  <si>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</si>
  <si>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</si>
  <si>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</si>
  <si>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</si>
  <si>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</si>
  <si>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</si>
  <si>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</si>
  <si>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</si>
  <si>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</si>
  <si>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</si>
  <si>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</si>
  <si>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</si>
  <si>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</si>
  <si>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</si>
  <si>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</si>
  <si>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</si>
  <si>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</si>
  <si>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</si>
  <si>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</si>
  <si>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</si>
  <si>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</si>
  <si>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</si>
  <si>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</si>
  <si>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</si>
  <si>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</si>
  <si>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</si>
  <si>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</si>
  <si>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</si>
  <si>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</si>
  <si>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</si>
  <si>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</si>
  <si>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</si>
  <si>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</si>
  <si>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</si>
  <si>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</si>
  <si>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</si>
  <si>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</si>
  <si>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</si>
  <si>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</si>
  <si>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</si>
  <si>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</si>
  <si>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</si>
  <si>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</si>
  <si>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</si>
  <si>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</si>
  <si>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</si>
  <si>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</si>
  <si>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</si>
  <si>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</si>
  <si>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</si>
  <si>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</si>
  <si>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</si>
  <si>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</si>
  <si>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</si>
  <si>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</si>
  <si>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</si>
  <si>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</si>
  <si>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</si>
  <si>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</si>
  <si>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</si>
  <si>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</si>
  <si>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</si>
  <si>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</si>
  <si>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</si>
  <si>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</si>
  <si>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</si>
  <si>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</si>
  <si>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</si>
  <si>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</si>
  <si>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</si>
  <si>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</si>
  <si>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</si>
  <si>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</si>
  <si>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</si>
  <si>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</si>
  <si>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</si>
  <si>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</si>
  <si>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</si>
  <si>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</si>
  <si>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</si>
  <si>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</si>
  <si>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</si>
  <si>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</si>
  <si>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</si>
  <si>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</si>
  <si>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</si>
  <si>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</si>
  <si>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</si>
  <si>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</si>
  <si>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</si>
  <si>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</si>
  <si>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</si>
  <si>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</si>
  <si>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</si>
  <si>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</si>
  <si>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</si>
  <si>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</si>
  <si>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</si>
  <si>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</si>
  <si>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</si>
  <si>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</si>
  <si>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</si>
  <si>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</si>
  <si>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</si>
  <si>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</si>
  <si>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</si>
  <si>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</si>
  <si>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</si>
  <si>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</si>
  <si>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</si>
  <si>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</si>
  <si>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</si>
  <si>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</si>
  <si>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</si>
  <si>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</si>
  <si>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</si>
  <si>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</si>
  <si>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</si>
  <si>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</si>
  <si>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</si>
  <si>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</si>
  <si>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</si>
  <si>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</si>
  <si>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</si>
  <si>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</si>
  <si>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</si>
  <si>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</si>
  <si>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</si>
  <si>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</si>
  <si>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</si>
  <si>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</si>
  <si>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</si>
  <si>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</si>
  <si>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</si>
  <si>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</si>
  <si>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</si>
  <si>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</si>
  <si>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</si>
  <si>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</si>
  <si>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</si>
  <si>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</si>
  <si>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</si>
  <si>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</si>
  <si>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</si>
  <si>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</si>
  <si>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</si>
  <si>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</si>
  <si>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</si>
  <si>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</si>
  <si>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</si>
  <si>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</si>
  <si>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</si>
  <si>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</si>
  <si>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</si>
  <si>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</si>
  <si>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</si>
  <si>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</si>
  <si>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</si>
  <si>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</si>
  <si>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</si>
  <si>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</si>
  <si>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</si>
  <si>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</si>
  <si>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</si>
  <si>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</si>
  <si>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</si>
  <si>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</si>
  <si>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</si>
  <si>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</si>
  <si>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</si>
  <si>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</si>
  <si>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</si>
  <si>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</si>
  <si>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</si>
  <si>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</si>
  <si>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</si>
  <si>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</si>
  <si>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</si>
  <si>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</si>
  <si>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</si>
  <si>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</si>
  <si>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</si>
  <si>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</si>
  <si>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</si>
  <si>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</si>
  <si>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</si>
  <si>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</si>
  <si>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</si>
  <si>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</si>
  <si>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</si>
  <si>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</si>
  <si>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</si>
  <si>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</si>
  <si>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</si>
  <si>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</si>
  <si>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</si>
  <si>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</si>
  <si>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</si>
  <si>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</si>
  <si>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</si>
  <si>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</si>
  <si>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</si>
  <si>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</si>
  <si>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</si>
  <si>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</si>
  <si>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</si>
  <si>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</si>
  <si>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</si>
  <si>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</si>
  <si>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</si>
  <si>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</si>
  <si>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</si>
  <si>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</si>
  <si>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</si>
  <si>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</si>
  <si>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</si>
  <si>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</si>
  <si>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</si>
  <si>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</si>
  <si>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</si>
  <si>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</si>
  <si>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</si>
  <si>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</si>
  <si>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</si>
  <si>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</si>
  <si>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</si>
  <si>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</si>
  <si>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</si>
  <si>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</si>
  <si>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</si>
  <si>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</si>
  <si>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</si>
  <si>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</si>
  <si>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</si>
  <si>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</si>
  <si>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</si>
  <si>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</si>
  <si>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</si>
  <si>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</si>
  <si>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</si>
  <si>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</si>
  <si>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</si>
  <si>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</si>
  <si>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</si>
  <si>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</si>
  <si>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</si>
  <si>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</si>
  <si>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</si>
  <si>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</si>
  <si>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</si>
  <si>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</si>
  <si>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</si>
  <si>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</si>
  <si>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</si>
  <si>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</si>
  <si>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</si>
  <si>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</si>
  <si>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</si>
  <si>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</si>
  <si>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</si>
  <si>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</si>
  <si>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</si>
  <si>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</si>
  <si>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</si>
  <si>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</si>
  <si>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</si>
  <si>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</si>
  <si>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</si>
  <si>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</si>
  <si>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</si>
  <si>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</si>
  <si>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</si>
  <si>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</si>
  <si>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</si>
  <si>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</si>
  <si>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</si>
  <si>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</si>
  <si>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</si>
  <si>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</si>
  <si>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</si>
  <si>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</si>
  <si>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</si>
  <si>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</si>
  <si>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</si>
  <si>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</si>
  <si>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</si>
  <si>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</si>
  <si>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</si>
  <si>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</si>
  <si>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</si>
  <si>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</si>
  <si>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</si>
  <si>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</si>
  <si>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</si>
  <si>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</si>
  <si>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</si>
  <si>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Cusomer_399157</t>
  </si>
  <si>
    <t>CITY_399157</t>
  </si>
  <si>
    <t>Cust Name: 399157</t>
  </si>
  <si>
    <t>Doctor: 399157</t>
  </si>
  <si>
    <t>Inv: 9006291364</t>
  </si>
  <si>
    <t>Inv: 9006291365</t>
  </si>
  <si>
    <t>Cusomer_400634</t>
  </si>
  <si>
    <t>CITY_400634</t>
  </si>
  <si>
    <t>Cust Name: 400634</t>
  </si>
  <si>
    <t>Doctor: 400634</t>
  </si>
  <si>
    <t>Inv: 9008270933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</si>
  <si>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</si>
  <si>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</si>
  <si>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</si>
  <si>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</si>
  <si>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</si>
  <si>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</si>
  <si>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</si>
  <si>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</si>
  <si>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</si>
  <si>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</si>
  <si>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</si>
  <si>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</si>
  <si>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Cust Name: 424053</t>
  </si>
  <si>
    <t>Doctor: 424053</t>
  </si>
  <si>
    <t>Inv: 9008057376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</si>
  <si>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</si>
  <si>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</si>
  <si>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</si>
  <si>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</si>
  <si>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</si>
  <si>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</si>
  <si>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</si>
  <si>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</si>
  <si>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</si>
  <si>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9007717855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</si>
  <si>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</si>
  <si>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</si>
  <si>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</si>
  <si>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</si>
  <si>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</si>
  <si>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</si>
  <si>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9006203199</t>
  </si>
  <si>
    <t>Inv: 9010955463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</si>
  <si>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</si>
  <si>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</si>
  <si>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</si>
  <si>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</si>
  <si>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</si>
  <si>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</si>
  <si>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</si>
  <si>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</si>
  <si>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</si>
  <si>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</si>
  <si>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</si>
  <si>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</si>
  <si>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</si>
  <si>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7000161851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</si>
  <si>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</si>
  <si>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</si>
  <si>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</si>
  <si>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</si>
  <si>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</si>
  <si>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</si>
  <si>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</si>
  <si>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</si>
  <si>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</si>
  <si>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</si>
  <si>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</si>
  <si>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</si>
  <si>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</si>
  <si>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</si>
  <si>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</si>
  <si>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</si>
  <si>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</si>
  <si>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</si>
  <si>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</si>
  <si>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</si>
  <si>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</si>
  <si>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</si>
  <si>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</si>
  <si>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</si>
  <si>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</si>
  <si>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</si>
  <si>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</si>
  <si>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</si>
  <si>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</si>
  <si>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</si>
  <si>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</si>
  <si>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</si>
  <si>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</si>
  <si>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</si>
  <si>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</si>
  <si>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</si>
  <si>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</si>
  <si>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</si>
  <si>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</si>
  <si>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</si>
  <si>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</si>
  <si>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</si>
  <si>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6000126940</t>
  </si>
  <si>
    <t>Inv: 6000126941</t>
  </si>
  <si>
    <t>Cusomer_499098</t>
  </si>
  <si>
    <t>CITY_499098</t>
  </si>
  <si>
    <t>Cust Name: 499098</t>
  </si>
  <si>
    <t>Doctor: 499098</t>
  </si>
  <si>
    <t>Inv: 100007919</t>
  </si>
  <si>
    <t>Cusomer_506038</t>
  </si>
  <si>
    <t>CITY_506038</t>
  </si>
  <si>
    <t>Cust Name: 506038</t>
  </si>
  <si>
    <t>Doctor: 506038</t>
  </si>
  <si>
    <t>Inv: 6000126947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</si>
  <si>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</si>
  <si>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</si>
  <si>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</si>
  <si>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</si>
  <si>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</si>
  <si>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</si>
  <si>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</si>
  <si>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</si>
  <si>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</si>
  <si>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</si>
  <si>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</si>
  <si>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9007055518</t>
  </si>
  <si>
    <t>Inv: 9007487111</t>
  </si>
  <si>
    <t>Cusomer_886014</t>
  </si>
  <si>
    <t>CITY_886014</t>
  </si>
  <si>
    <t>Cust Name: 886014</t>
  </si>
  <si>
    <t>Doctor: 886014</t>
  </si>
  <si>
    <t>Inv: 100005630</t>
  </si>
  <si>
    <t>Cusomer_897863</t>
  </si>
  <si>
    <t>CITY_897863</t>
  </si>
  <si>
    <t>Cust Name: 897863</t>
  </si>
  <si>
    <t>Doctor: 897863</t>
  </si>
  <si>
    <t>Inv: 9003582483</t>
  </si>
  <si>
    <t>Inv: 7000172555</t>
  </si>
  <si>
    <t>Inv: 7000172554</t>
  </si>
  <si>
    <t>Inv: 7000172556</t>
  </si>
  <si>
    <t>Cusomer_916414</t>
  </si>
  <si>
    <t>CITY_916414</t>
  </si>
  <si>
    <t>Cust Name: 916414</t>
  </si>
  <si>
    <t>Doctor: 916414</t>
  </si>
  <si>
    <t>Inv: 100000018</t>
  </si>
  <si>
    <t>Cusomer_916417</t>
  </si>
  <si>
    <t>CITY_916417</t>
  </si>
  <si>
    <t>Cust Name: 916417</t>
  </si>
  <si>
    <t>Doctor: 916417</t>
  </si>
  <si>
    <t>Inv: 100000019</t>
  </si>
  <si>
    <t>Cusomer_916703</t>
  </si>
  <si>
    <t>CITY_916703</t>
  </si>
  <si>
    <t>Cust Name: 916703</t>
  </si>
  <si>
    <t>Doctor: 916703</t>
  </si>
  <si>
    <t>Inv: 100000020</t>
  </si>
  <si>
    <t>Cusomer_916775</t>
  </si>
  <si>
    <t>CITY_916775</t>
  </si>
  <si>
    <t>Cust Name: 916775</t>
  </si>
  <si>
    <t>Doctor: 916775</t>
  </si>
  <si>
    <t>Inv: 100005695</t>
  </si>
  <si>
    <t>Cusomer_917021</t>
  </si>
  <si>
    <t>CITY_917021</t>
  </si>
  <si>
    <t>Cust Name: 917021</t>
  </si>
  <si>
    <t>Doctor: 917021</t>
  </si>
  <si>
    <t>Inv: 100000021</t>
  </si>
  <si>
    <t>Cusomer_918536</t>
  </si>
  <si>
    <t>CITY_918536</t>
  </si>
  <si>
    <t>Cust Name: 918536</t>
  </si>
  <si>
    <t>Doctor: 918536</t>
  </si>
  <si>
    <t>Inv: 7000043420</t>
  </si>
  <si>
    <t>Cusomer_918725</t>
  </si>
  <si>
    <t>CITY_918725</t>
  </si>
  <si>
    <t>Cust Name: 918725</t>
  </si>
  <si>
    <t>Doctor: 918725</t>
  </si>
  <si>
    <t>Inv: 100000028</t>
  </si>
  <si>
    <t>Cusomer_919099</t>
  </si>
  <si>
    <t>CITY_919099</t>
  </si>
  <si>
    <t>Cust Name: 919099</t>
  </si>
  <si>
    <t>Doctor: 919099</t>
  </si>
  <si>
    <t>Inv: 9007487142</t>
  </si>
  <si>
    <t>Cusomer_919718</t>
  </si>
  <si>
    <t>CITY_919718</t>
  </si>
  <si>
    <t>Cust Name: 919718</t>
  </si>
  <si>
    <t>Doctor: 919718</t>
  </si>
  <si>
    <t>Inv: 100000031</t>
  </si>
  <si>
    <t>Cusomer_919737</t>
  </si>
  <si>
    <t>CITY_919737</t>
  </si>
  <si>
    <t>Cust Name: 919737</t>
  </si>
  <si>
    <t>Doctor: 919737</t>
  </si>
  <si>
    <t>Inv: 100000032</t>
  </si>
  <si>
    <t>Cusomer_920907</t>
  </si>
  <si>
    <t>CITY_920907</t>
  </si>
  <si>
    <t>Cust Name: 920907</t>
  </si>
  <si>
    <t>Doctor: 920907</t>
  </si>
  <si>
    <t>Inv: 7000097970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</si>
  <si>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</si>
  <si>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</si>
  <si>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</si>
  <si>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</si>
  <si>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</si>
  <si>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</si>
  <si>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</si>
  <si>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</si>
  <si>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</si>
  <si>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</si>
  <si>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</si>
  <si>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</si>
  <si>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</si>
  <si>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</si>
  <si>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</si>
  <si>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</si>
  <si>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Cust Name: 949817</t>
  </si>
  <si>
    <t>Doctor: 949817</t>
  </si>
  <si>
    <t>Inv: 9006291535</t>
  </si>
  <si>
    <t>Cusomer_956513</t>
  </si>
  <si>
    <t>CITY_956513</t>
  </si>
  <si>
    <t>Cust Name: 956513</t>
  </si>
  <si>
    <t>Doctor: 956513</t>
  </si>
  <si>
    <t>Inv: 7000113742</t>
  </si>
  <si>
    <t>Cusomer_959523</t>
  </si>
  <si>
    <t>CITY_959523</t>
  </si>
  <si>
    <t>Cust Name: 959523</t>
  </si>
  <si>
    <t>Doctor: 959523</t>
  </si>
  <si>
    <t>Inv: 9007824069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</si>
  <si>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</si>
  <si>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</si>
  <si>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</si>
  <si>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</si>
  <si>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</si>
  <si>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</si>
  <si>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</si>
  <si>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</si>
  <si>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</si>
  <si>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</si>
  <si>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</si>
  <si>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6000112094</t>
  </si>
  <si>
    <t>Inv: 7000206660</t>
  </si>
  <si>
    <t>Cusomer_965810</t>
  </si>
  <si>
    <t>CITY_965810</t>
  </si>
  <si>
    <t>Cust Name: 965810</t>
  </si>
  <si>
    <t>Doctor: 965810</t>
  </si>
  <si>
    <t>Inv: 7000118664</t>
  </si>
  <si>
    <t>Cusomer_967924</t>
  </si>
  <si>
    <t>CITY_967924</t>
  </si>
  <si>
    <t>Cust Name: 967924</t>
  </si>
  <si>
    <t>Doctor: 967924</t>
  </si>
  <si>
    <t>Inv: 7000122499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</si>
  <si>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</si>
  <si>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</si>
  <si>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</si>
  <si>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</si>
  <si>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</si>
  <si>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</si>
  <si>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</si>
  <si>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</si>
  <si>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</si>
  <si>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</si>
  <si>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</si>
  <si>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</si>
  <si>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</si>
  <si>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</si>
  <si>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7000128654</t>
  </si>
  <si>
    <t>Inv: 7000199419</t>
  </si>
  <si>
    <t>Cusomer_972380</t>
  </si>
  <si>
    <t>CITY_972380</t>
  </si>
  <si>
    <t>Cust Name: 972380</t>
  </si>
  <si>
    <t>Doctor: 972380</t>
  </si>
  <si>
    <t>Inv: 7000162185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</si>
  <si>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</si>
  <si>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</si>
  <si>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</si>
  <si>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</si>
  <si>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</si>
  <si>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</si>
  <si>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</si>
  <si>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7000138292</t>
  </si>
  <si>
    <t>Inv: 7000211856</t>
  </si>
  <si>
    <t>Inv: 100006316</t>
  </si>
  <si>
    <t>Inv: 100008742</t>
  </si>
  <si>
    <t>Inv: 100009779</t>
  </si>
  <si>
    <t>Inv: 100000013</t>
  </si>
  <si>
    <t>Inv: 9010470699</t>
  </si>
  <si>
    <t>Inv: 9010621289</t>
  </si>
  <si>
    <t>ref: NA</t>
  </si>
  <si>
    <t>Inv: 100007044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</si>
</sst>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7" applyFont="1" applyAlignment="1">
      <alignment vertical="top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8" tableBorderDxfId="797">
  <tableColumns count="13">
    <tableColumn id="1" name="Val. No" dataDxfId="796"/>
    <tableColumn id="2" name="Account" dataDxfId="795"/>
    <tableColumn id="3" name="Customer " dataDxfId="794"/>
    <tableColumn id="4" name="Dr's Name " dataDxfId="793"/>
    <tableColumn id="5" name="Invoice reference" dataDxfId="792"/>
    <tableColumn id="6" name="Document Number" dataDxfId="791"/>
    <tableColumn id="7" name="Reference" dataDxfId="790"/>
    <tableColumn id="8" name="Amount SAR " dataDxfId="789"/>
    <tableColumn id="9" name="Document Date" dataDxfId="788"/>
    <tableColumn id="10" name="Net due date" dataDxfId="787"/>
    <tableColumn id="11" name="CT " dataDxfId="786">
      <calculatedColumnFormula>IF(Table1[[#This Row],[Account]]&lt;&gt;"",$N$8,"")</calculatedColumnFormula>
    </tableColumn>
    <tableColumn id="12" name="Aging " dataDxfId="785">
      <calculatedColumnFormula>IF(Table1[[#This Row],[Account]]&lt;&gt;"",J15+L15-$N$7,"")</calculatedColumnFormula>
    </tableColumn>
    <tableColumn id="13" name="Status " dataDxfId="784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50" name="Table151" displayName="Table151" ref="B14:N16" totalsRowShown="0" headerRowDxfId="782" tableBorderDxfId="781">
  <tableColumns count="13">
    <tableColumn id="1" name="Val. No" dataDxfId="780"/>
    <tableColumn id="2" name="Account" dataDxfId="779"/>
    <tableColumn id="3" name="Customer " dataDxfId="778"/>
    <tableColumn id="4" name="Dr's Name " dataDxfId="777"/>
    <tableColumn id="5" name="Invoice reference" dataDxfId="776"/>
    <tableColumn id="6" name="Document Number" dataDxfId="775"/>
    <tableColumn id="7" name="Reference" dataDxfId="774"/>
    <tableColumn id="8" name="Amount SAR " dataDxfId="773"/>
    <tableColumn id="9" name="Document Date" dataDxfId="772"/>
    <tableColumn id="10" name="Net due date" dataDxfId="771"/>
    <tableColumn id="11" name="CT " dataDxfId="770">
      <calculatedColumnFormula>IF(Table151[[#This Row],[Account]]&lt;&gt;"",$N$8,"")</calculatedColumnFormula>
    </tableColumn>
    <tableColumn id="12" name="Aging " dataDxfId="769">
      <calculatedColumnFormula>IF(Table151[[#This Row],[Account]]&lt;&gt;"",J15+L15-$N$7,"")</calculatedColumnFormula>
    </tableColumn>
    <tableColumn id="13" name="Status " dataDxfId="768">
      <calculatedColumnFormula>IF(Table151[[#This Row],[Account]]&lt;&gt;"",IF(Table151[[#This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9" name="Table150" displayName="Table150" ref="B14:N20" totalsRowShown="0" headerRowDxfId="766" tableBorderDxfId="765">
  <tableColumns count="13">
    <tableColumn id="1" name="Val. No" dataDxfId="764"/>
    <tableColumn id="2" name="Account" dataDxfId="763"/>
    <tableColumn id="3" name="Customer " dataDxfId="762"/>
    <tableColumn id="4" name="Dr's Name " dataDxfId="761"/>
    <tableColumn id="5" name="Invoice reference" dataDxfId="760"/>
    <tableColumn id="6" name="Document Number" dataDxfId="759"/>
    <tableColumn id="7" name="Reference" dataDxfId="758"/>
    <tableColumn id="8" name="Amount SAR " dataDxfId="757"/>
    <tableColumn id="9" name="Document Date" dataDxfId="756"/>
    <tableColumn id="10" name="Net due date" dataDxfId="755"/>
    <tableColumn id="11" name="CT " dataDxfId="754">
      <calculatedColumnFormula>IF(Table150[[#This Row],[Account]]&lt;&gt;"",$N$8,"")</calculatedColumnFormula>
    </tableColumn>
    <tableColumn id="12" name="Aging " dataDxfId="753">
      <calculatedColumnFormula>IF(Table150[[#This Row],[Account]]&lt;&gt;"",J15+L15-$N$7,"")</calculatedColumnFormula>
    </tableColumn>
    <tableColumn id="13" name="Status " dataDxfId="752">
      <calculatedColumnFormula>IF(Table150[[#This Row],[Account]]&lt;&gt;"",IF(Table150[[#This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48" name="Table149" displayName="Table149" ref="B14:N16" totalsRowShown="0" headerRowDxfId="750" tableBorderDxfId="749">
  <tableColumns count="13">
    <tableColumn id="1" name="Val. No" dataDxfId="748"/>
    <tableColumn id="2" name="Account" dataDxfId="747"/>
    <tableColumn id="3" name="Customer " dataDxfId="746"/>
    <tableColumn id="4" name="Dr's Name " dataDxfId="745"/>
    <tableColumn id="5" name="Invoice reference" dataDxfId="744"/>
    <tableColumn id="6" name="Document Number" dataDxfId="743"/>
    <tableColumn id="7" name="Reference" dataDxfId="742"/>
    <tableColumn id="8" name="Amount SAR " dataDxfId="741"/>
    <tableColumn id="9" name="Document Date" dataDxfId="740"/>
    <tableColumn id="10" name="Net due date" dataDxfId="739"/>
    <tableColumn id="11" name="CT " dataDxfId="738">
      <calculatedColumnFormula>IF(Table149[[#This Row],[Account]]&lt;&gt;"",$N$8,"")</calculatedColumnFormula>
    </tableColumn>
    <tableColumn id="12" name="Aging " dataDxfId="737">
      <calculatedColumnFormula>IF(Table149[[#This Row],[Account]]&lt;&gt;"",J15+L15-$N$7,"")</calculatedColumnFormula>
    </tableColumn>
    <tableColumn id="13" name="Status " dataDxfId="736">
      <calculatedColumnFormula>IF(Table149[[#This Row],[Account]]&lt;&gt;"",IF(Table149[[#This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47" name="Table148" displayName="Table148" ref="B14:N18" totalsRowShown="0" headerRowDxfId="734" tableBorderDxfId="733">
  <tableColumns count="13">
    <tableColumn id="1" name="Val. No" dataDxfId="732"/>
    <tableColumn id="2" name="Account" dataDxfId="731"/>
    <tableColumn id="3" name="Customer " dataDxfId="730"/>
    <tableColumn id="4" name="Dr's Name " dataDxfId="729"/>
    <tableColumn id="5" name="Invoice reference" dataDxfId="728"/>
    <tableColumn id="6" name="Document Number" dataDxfId="727"/>
    <tableColumn id="7" name="Reference" dataDxfId="726"/>
    <tableColumn id="8" name="Amount SAR " dataDxfId="725"/>
    <tableColumn id="9" name="Document Date" dataDxfId="724"/>
    <tableColumn id="10" name="Net due date" dataDxfId="723"/>
    <tableColumn id="11" name="CT " dataDxfId="722">
      <calculatedColumnFormula>IF(Table148[[#This Row],[Account]]&lt;&gt;"",$N$8,"")</calculatedColumnFormula>
    </tableColumn>
    <tableColumn id="12" name="Aging " dataDxfId="721">
      <calculatedColumnFormula>IF(Table148[[#This Row],[Account]]&lt;&gt;"",J15+L15-$N$7,"")</calculatedColumnFormula>
    </tableColumn>
    <tableColumn id="13" name="Status " dataDxfId="720">
      <calculatedColumnFormula>IF(Table148[[#This Row],[Account]]&lt;&gt;"",IF(Table148[[#This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46" name="Table147" displayName="Table147" ref="B14:N18" totalsRowShown="0" headerRowDxfId="718" tableBorderDxfId="717">
  <tableColumns count="13">
    <tableColumn id="1" name="Val. No" dataDxfId="716"/>
    <tableColumn id="2" name="Account" dataDxfId="715"/>
    <tableColumn id="3" name="Customer " dataDxfId="714"/>
    <tableColumn id="4" name="Dr's Name " dataDxfId="713"/>
    <tableColumn id="5" name="Invoice reference" dataDxfId="712"/>
    <tableColumn id="6" name="Document Number" dataDxfId="711"/>
    <tableColumn id="7" name="Reference" dataDxfId="710"/>
    <tableColumn id="8" name="Amount SAR " dataDxfId="709"/>
    <tableColumn id="9" name="Document Date" dataDxfId="708"/>
    <tableColumn id="10" name="Net due date" dataDxfId="707"/>
    <tableColumn id="11" name="CT " dataDxfId="706">
      <calculatedColumnFormula>IF(Table147[[#This Row],[Account]]&lt;&gt;"",$N$8,"")</calculatedColumnFormula>
    </tableColumn>
    <tableColumn id="12" name="Aging " dataDxfId="705">
      <calculatedColumnFormula>IF(Table147[[#This Row],[Account]]&lt;&gt;"",J15+L15-$N$7,"")</calculatedColumnFormula>
    </tableColumn>
    <tableColumn id="13" name="Status " dataDxfId="704">
      <calculatedColumnFormula>IF(Table147[[#This Row],[Account]]&lt;&gt;"",IF(Table147[[#This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45" name="Table146" displayName="Table146" ref="B14:N15" totalsRowShown="0" headerRowDxfId="702" tableBorderDxfId="701">
  <tableColumns count="13">
    <tableColumn id="1" name="Val. No" dataDxfId="700"/>
    <tableColumn id="2" name="Account" dataDxfId="699"/>
    <tableColumn id="3" name="Customer " dataDxfId="698"/>
    <tableColumn id="4" name="Dr's Name " dataDxfId="697"/>
    <tableColumn id="5" name="Invoice reference" dataDxfId="696"/>
    <tableColumn id="6" name="Document Number" dataDxfId="695"/>
    <tableColumn id="7" name="Reference" dataDxfId="694"/>
    <tableColumn id="8" name="Amount SAR " dataDxfId="693"/>
    <tableColumn id="9" name="Document Date" dataDxfId="692"/>
    <tableColumn id="10" name="Net due date" dataDxfId="691"/>
    <tableColumn id="11" name="CT " dataDxfId="690">
      <calculatedColumnFormula>IF(Table146[[#This Row],[Account]]&lt;&gt;"",$N$8,"")</calculatedColumnFormula>
    </tableColumn>
    <tableColumn id="12" name="Aging " dataDxfId="689">
      <calculatedColumnFormula>IF(Table146[[#This Row],[Account]]&lt;&gt;"",J15+L15-$N$7,"")</calculatedColumnFormula>
    </tableColumn>
    <tableColumn id="13" name="Status " dataDxfId="688">
      <calculatedColumnFormula>IF(Table146[[#This Row],[Account]]&lt;&gt;"",IF(Table146[[#This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44" name="Table145" displayName="Table145" ref="B14:N16" totalsRowShown="0" headerRowDxfId="686" tableBorderDxfId="685">
  <tableColumns count="13">
    <tableColumn id="1" name="Val. No" dataDxfId="684"/>
    <tableColumn id="2" name="Account" dataDxfId="683"/>
    <tableColumn id="3" name="Customer " dataDxfId="682"/>
    <tableColumn id="4" name="Dr's Name " dataDxfId="681"/>
    <tableColumn id="5" name="Invoice reference" dataDxfId="680"/>
    <tableColumn id="6" name="Document Number" dataDxfId="679"/>
    <tableColumn id="7" name="Reference" dataDxfId="678"/>
    <tableColumn id="8" name="Amount SAR " dataDxfId="677"/>
    <tableColumn id="9" name="Document Date" dataDxfId="676"/>
    <tableColumn id="10" name="Net due date" dataDxfId="675"/>
    <tableColumn id="11" name="CT " dataDxfId="674">
      <calculatedColumnFormula>IF(Table145[[#This Row],[Account]]&lt;&gt;"",$N$8,"")</calculatedColumnFormula>
    </tableColumn>
    <tableColumn id="12" name="Aging " dataDxfId="673">
      <calculatedColumnFormula>IF(Table145[[#This Row],[Account]]&lt;&gt;"",J15+L15-$N$7,"")</calculatedColumnFormula>
    </tableColumn>
    <tableColumn id="13" name="Status " dataDxfId="672">
      <calculatedColumnFormula>IF(Table145[[#This Row],[Account]]&lt;&gt;"",IF(Table145[[#This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43" name="Table144" displayName="Table144" ref="B14:N18" totalsRowShown="0" headerRowDxfId="670" tableBorderDxfId="669">
  <tableColumns count="13">
    <tableColumn id="1" name="Val. No" dataDxfId="668"/>
    <tableColumn id="2" name="Account" dataDxfId="667"/>
    <tableColumn id="3" name="Customer " dataDxfId="666"/>
    <tableColumn id="4" name="Dr's Name " dataDxfId="665"/>
    <tableColumn id="5" name="Invoice reference" dataDxfId="664"/>
    <tableColumn id="6" name="Document Number" dataDxfId="663"/>
    <tableColumn id="7" name="Reference" dataDxfId="662"/>
    <tableColumn id="8" name="Amount SAR " dataDxfId="661"/>
    <tableColumn id="9" name="Document Date" dataDxfId="660"/>
    <tableColumn id="10" name="Net due date" dataDxfId="659"/>
    <tableColumn id="11" name="CT " dataDxfId="658">
      <calculatedColumnFormula>IF(Table144[[#This Row],[Account]]&lt;&gt;"",$N$8,"")</calculatedColumnFormula>
    </tableColumn>
    <tableColumn id="12" name="Aging " dataDxfId="657">
      <calculatedColumnFormula>IF(Table144[[#This Row],[Account]]&lt;&gt;"",J15+L15-$N$7,"")</calculatedColumnFormula>
    </tableColumn>
    <tableColumn id="13" name="Status " dataDxfId="656">
      <calculatedColumnFormula>IF(Table144[[#This Row],[Account]]&lt;&gt;"",IF(Table144[[#This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42" name="Table143" displayName="Table143" ref="B14:N15" totalsRowShown="0" headerRowDxfId="654" tableBorderDxfId="653">
  <tableColumns count="13">
    <tableColumn id="1" name="Val. No" dataDxfId="652"/>
    <tableColumn id="2" name="Account" dataDxfId="651"/>
    <tableColumn id="3" name="Customer " dataDxfId="650"/>
    <tableColumn id="4" name="Dr's Name " dataDxfId="649"/>
    <tableColumn id="5" name="Invoice reference" dataDxfId="648"/>
    <tableColumn id="6" name="Document Number" dataDxfId="647"/>
    <tableColumn id="7" name="Reference" dataDxfId="646"/>
    <tableColumn id="8" name="Amount SAR " dataDxfId="645"/>
    <tableColumn id="9" name="Document Date" dataDxfId="644"/>
    <tableColumn id="10" name="Net due date" dataDxfId="643"/>
    <tableColumn id="11" name="CT " dataDxfId="642">
      <calculatedColumnFormula>IF(Table143[[#This Row],[Account]]&lt;&gt;"",$N$8,"")</calculatedColumnFormula>
    </tableColumn>
    <tableColumn id="12" name="Aging " dataDxfId="641">
      <calculatedColumnFormula>IF(Table143[[#This Row],[Account]]&lt;&gt;"",J15+L15-$N$7,"")</calculatedColumnFormula>
    </tableColumn>
    <tableColumn id="13" name="Status " dataDxfId="640">
      <calculatedColumnFormula>IF(Table143[[#This Row],[Account]]&lt;&gt;"",IF(Table143[[#This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41" name="Table142" displayName="Table142" ref="B14:N15" totalsRowShown="0" headerRowDxfId="638" tableBorderDxfId="637">
  <tableColumns count="13">
    <tableColumn id="1" name="Val. No" dataDxfId="636"/>
    <tableColumn id="2" name="Account" dataDxfId="635"/>
    <tableColumn id="3" name="Customer " dataDxfId="634"/>
    <tableColumn id="4" name="Dr's Name " dataDxfId="633"/>
    <tableColumn id="5" name="Invoice reference" dataDxfId="632"/>
    <tableColumn id="6" name="Document Number" dataDxfId="631"/>
    <tableColumn id="7" name="Reference" dataDxfId="630"/>
    <tableColumn id="8" name="Amount SAR " dataDxfId="629"/>
    <tableColumn id="9" name="Document Date" dataDxfId="628"/>
    <tableColumn id="10" name="Net due date" dataDxfId="627"/>
    <tableColumn id="11" name="CT " dataDxfId="626">
      <calculatedColumnFormula>IF(Table142[[#This Row],[Account]]&lt;&gt;"",$N$8,"")</calculatedColumnFormula>
    </tableColumn>
    <tableColumn id="12" name="Aging " dataDxfId="625">
      <calculatedColumnFormula>IF(Table142[[#This Row],[Account]]&lt;&gt;"",J15+L15-$N$7,"")</calculatedColumnFormula>
    </tableColumn>
    <tableColumn id="13" name="Status " dataDxfId="624">
      <calculatedColumnFormula>IF(Table142[[#This Row],[Account]]&lt;&gt;"",IF(Table142[[#This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40" name="Table141" displayName="Table141" ref="B14:N15" totalsRowShown="0" headerRowDxfId="622" tableBorderDxfId="621">
  <tableColumns count="13">
    <tableColumn id="1" name="Val. No" dataDxfId="620"/>
    <tableColumn id="2" name="Account" dataDxfId="619"/>
    <tableColumn id="3" name="Customer " dataDxfId="618"/>
    <tableColumn id="4" name="Dr's Name " dataDxfId="617"/>
    <tableColumn id="5" name="Invoice reference" dataDxfId="616"/>
    <tableColumn id="6" name="Document Number" dataDxfId="615"/>
    <tableColumn id="7" name="Reference" dataDxfId="614"/>
    <tableColumn id="8" name="Amount SAR " dataDxfId="613"/>
    <tableColumn id="9" name="Document Date" dataDxfId="612"/>
    <tableColumn id="10" name="Net due date" dataDxfId="611"/>
    <tableColumn id="11" name="CT " dataDxfId="610">
      <calculatedColumnFormula>IF(Table141[[#This Row],[Account]]&lt;&gt;"",$N$8,"")</calculatedColumnFormula>
    </tableColumn>
    <tableColumn id="12" name="Aging " dataDxfId="609">
      <calculatedColumnFormula>IF(Table141[[#This Row],[Account]]&lt;&gt;"",J15+L15-$N$7,"")</calculatedColumnFormula>
    </tableColumn>
    <tableColumn id="13" name="Status " dataDxfId="608">
      <calculatedColumnFormula>IF(Table141[[#This Row],[Account]]&lt;&gt;"",IF(Table141[[#This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39" name="Table140" displayName="Table140" ref="B14:N17" totalsRowShown="0" headerRowDxfId="606" tableBorderDxfId="605">
  <tableColumns count="13">
    <tableColumn id="1" name="Val. No" dataDxfId="604"/>
    <tableColumn id="2" name="Account" dataDxfId="603"/>
    <tableColumn id="3" name="Customer " dataDxfId="602"/>
    <tableColumn id="4" name="Dr's Name " dataDxfId="601"/>
    <tableColumn id="5" name="Invoice reference" dataDxfId="600"/>
    <tableColumn id="6" name="Document Number" dataDxfId="599"/>
    <tableColumn id="7" name="Reference" dataDxfId="598"/>
    <tableColumn id="8" name="Amount SAR " dataDxfId="597"/>
    <tableColumn id="9" name="Document Date" dataDxfId="596"/>
    <tableColumn id="10" name="Net due date" dataDxfId="595"/>
    <tableColumn id="11" name="CT " dataDxfId="594">
      <calculatedColumnFormula>IF(Table140[[#This Row],[Account]]&lt;&gt;"",$N$8,"")</calculatedColumnFormula>
    </tableColumn>
    <tableColumn id="12" name="Aging " dataDxfId="593">
      <calculatedColumnFormula>IF(Table140[[#This Row],[Account]]&lt;&gt;"",J15+L15-$N$7,"")</calculatedColumnFormula>
    </tableColumn>
    <tableColumn id="13" name="Status " dataDxfId="592">
      <calculatedColumnFormula>IF(Table140[[#This Row],[Account]]&lt;&gt;"",IF(Table140[[#This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38" name="Table139" displayName="Table139" ref="B14:N18" totalsRowShown="0" headerRowDxfId="590" tableBorderDxfId="589">
  <tableColumns count="13">
    <tableColumn id="1" name="Val. No" dataDxfId="588"/>
    <tableColumn id="2" name="Account" dataDxfId="587"/>
    <tableColumn id="3" name="Customer " dataDxfId="586"/>
    <tableColumn id="4" name="Dr's Name " dataDxfId="585"/>
    <tableColumn id="5" name="Invoice reference" dataDxfId="584"/>
    <tableColumn id="6" name="Document Number" dataDxfId="583"/>
    <tableColumn id="7" name="Reference" dataDxfId="582"/>
    <tableColumn id="8" name="Amount SAR " dataDxfId="581"/>
    <tableColumn id="9" name="Document Date" dataDxfId="580"/>
    <tableColumn id="10" name="Net due date" dataDxfId="579"/>
    <tableColumn id="11" name="CT " dataDxfId="578">
      <calculatedColumnFormula>IF(Table139[[#This Row],[Account]]&lt;&gt;"",$N$8,"")</calculatedColumnFormula>
    </tableColumn>
    <tableColumn id="12" name="Aging " dataDxfId="577">
      <calculatedColumnFormula>IF(Table139[[#This Row],[Account]]&lt;&gt;"",J15+L15-$N$7,"")</calculatedColumnFormula>
    </tableColumn>
    <tableColumn id="13" name="Status " dataDxfId="576">
      <calculatedColumnFormula>IF(Table139[[#This Row],[Account]]&lt;&gt;"",IF(Table139[[#This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37" name="Table138" displayName="Table138" ref="B14:N15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IF(Table138[[#This Row],[Account]]&lt;&gt;"",$N$8,"")</calculatedColumnFormula>
    </tableColumn>
    <tableColumn id="12" name="Aging " dataDxfId="561">
      <calculatedColumnFormula>IF(Table138[[#This Row],[Account]]&lt;&gt;"",J15+L15-$N$7,"")</calculatedColumnFormula>
    </tableColumn>
    <tableColumn id="13" name="Status " dataDxfId="560">
      <calculatedColumnFormula>IF(Table138[[#This Row],[Account]]&lt;&gt;"",IF(Table138[[#This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36" name="Table137" displayName="Table137" ref="B14:N15" totalsRowShown="0" headerRowDxfId="558" tableBorderDxfId="557">
  <tableColumns count="13">
    <tableColumn id="1" name="Val. No" dataDxfId="556"/>
    <tableColumn id="2" name="Account" dataDxfId="555"/>
    <tableColumn id="3" name="Customer " dataDxfId="554"/>
    <tableColumn id="4" name="Dr's Name " dataDxfId="553"/>
    <tableColumn id="5" name="Invoice reference" dataDxfId="552"/>
    <tableColumn id="6" name="Document Number" dataDxfId="551"/>
    <tableColumn id="7" name="Reference" dataDxfId="550"/>
    <tableColumn id="8" name="Amount SAR " dataDxfId="549"/>
    <tableColumn id="9" name="Document Date" dataDxfId="548"/>
    <tableColumn id="10" name="Net due date" dataDxfId="547"/>
    <tableColumn id="11" name="CT " dataDxfId="546">
      <calculatedColumnFormula>IF(Table137[[#This Row],[Account]]&lt;&gt;"",$N$8,"")</calculatedColumnFormula>
    </tableColumn>
    <tableColumn id="12" name="Aging " dataDxfId="545">
      <calculatedColumnFormula>IF(Table137[[#This Row],[Account]]&lt;&gt;"",J15+L15-$N$7,"")</calculatedColumnFormula>
    </tableColumn>
    <tableColumn id="13" name="Status " dataDxfId="544">
      <calculatedColumnFormula>IF(Table137[[#This Row],[Account]]&lt;&gt;"",IF(Table137[[#This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35" name="Table136" displayName="Table136" ref="B14:N15" totalsRowShown="0" headerRowDxfId="542" tableBorderDxfId="541">
  <tableColumns count="13">
    <tableColumn id="1" name="Val. No" dataDxfId="540"/>
    <tableColumn id="2" name="Account" dataDxfId="539"/>
    <tableColumn id="3" name="Customer " dataDxfId="538"/>
    <tableColumn id="4" name="Dr's Name " dataDxfId="537"/>
    <tableColumn id="5" name="Invoice reference" dataDxfId="536"/>
    <tableColumn id="6" name="Document Number" dataDxfId="535"/>
    <tableColumn id="7" name="Reference" dataDxfId="534"/>
    <tableColumn id="8" name="Amount SAR " dataDxfId="533"/>
    <tableColumn id="9" name="Document Date" dataDxfId="532"/>
    <tableColumn id="10" name="Net due date" dataDxfId="531"/>
    <tableColumn id="11" name="CT " dataDxfId="530">
      <calculatedColumnFormula>IF(Table136[[#This Row],[Account]]&lt;&gt;"",$N$8,"")</calculatedColumnFormula>
    </tableColumn>
    <tableColumn id="12" name="Aging " dataDxfId="529">
      <calculatedColumnFormula>IF(Table136[[#This Row],[Account]]&lt;&gt;"",J15+L15-$N$7,"")</calculatedColumnFormula>
    </tableColumn>
    <tableColumn id="13" name="Status " dataDxfId="528">
      <calculatedColumnFormula>IF(Table136[[#This Row],[Account]]&lt;&gt;"",IF(Table136[[#This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34" name="Table135" displayName="Table135" ref="B14:N15" totalsRowShown="0" headerRowDxfId="526" tableBorderDxfId="525">
  <tableColumns count="13">
    <tableColumn id="1" name="Val. No" dataDxfId="524"/>
    <tableColumn id="2" name="Account" dataDxfId="523"/>
    <tableColumn id="3" name="Customer " dataDxfId="522"/>
    <tableColumn id="4" name="Dr's Name " dataDxfId="521"/>
    <tableColumn id="5" name="Invoice reference" dataDxfId="520"/>
    <tableColumn id="6" name="Document Number" dataDxfId="519"/>
    <tableColumn id="7" name="Reference" dataDxfId="518"/>
    <tableColumn id="8" name="Amount SAR " dataDxfId="517"/>
    <tableColumn id="9" name="Document Date" dataDxfId="516"/>
    <tableColumn id="10" name="Net due date" dataDxfId="515"/>
    <tableColumn id="11" name="CT " dataDxfId="514">
      <calculatedColumnFormula>IF(Table135[[#This Row],[Account]]&lt;&gt;"",$N$8,"")</calculatedColumnFormula>
    </tableColumn>
    <tableColumn id="12" name="Aging " dataDxfId="513">
      <calculatedColumnFormula>IF(Table135[[#This Row],[Account]]&lt;&gt;"",J15+L15-$N$7,"")</calculatedColumnFormula>
    </tableColumn>
    <tableColumn id="13" name="Status " dataDxfId="512">
      <calculatedColumnFormula>IF(Table135[[#This Row],[Account]]&lt;&gt;"",IF(Table135[[#This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33" name="Table134" displayName="Table134" ref="B14:N15" totalsRowShown="0" headerRowDxfId="510" tableBorderDxfId="509">
  <tableColumns count="13">
    <tableColumn id="1" name="Val. No" dataDxfId="508"/>
    <tableColumn id="2" name="Account" dataDxfId="507"/>
    <tableColumn id="3" name="Customer " dataDxfId="506"/>
    <tableColumn id="4" name="Dr's Name " dataDxfId="505"/>
    <tableColumn id="5" name="Invoice reference" dataDxfId="504"/>
    <tableColumn id="6" name="Document Number" dataDxfId="503"/>
    <tableColumn id="7" name="Reference" dataDxfId="502"/>
    <tableColumn id="8" name="Amount SAR " dataDxfId="501"/>
    <tableColumn id="9" name="Document Date" dataDxfId="500"/>
    <tableColumn id="10" name="Net due date" dataDxfId="499"/>
    <tableColumn id="11" name="CT " dataDxfId="498">
      <calculatedColumnFormula>IF(Table134[[#This Row],[Account]]&lt;&gt;"",$N$8,"")</calculatedColumnFormula>
    </tableColumn>
    <tableColumn id="12" name="Aging " dataDxfId="497">
      <calculatedColumnFormula>IF(Table134[[#This Row],[Account]]&lt;&gt;"",J15+L15-$N$7,"")</calculatedColumnFormula>
    </tableColumn>
    <tableColumn id="13" name="Status " dataDxfId="496">
      <calculatedColumnFormula>IF(Table134[[#This Row],[Account]]&lt;&gt;"",IF(Table134[[#This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32" name="Table133" displayName="Table133" ref="B14:N15" totalsRowShown="0" headerRowDxfId="494" tableBorderDxfId="493">
  <tableColumns count="13">
    <tableColumn id="1" name="Val. No" dataDxfId="492"/>
    <tableColumn id="2" name="Account" dataDxfId="491"/>
    <tableColumn id="3" name="Customer " dataDxfId="490"/>
    <tableColumn id="4" name="Dr's Name " dataDxfId="489"/>
    <tableColumn id="5" name="Invoice reference" dataDxfId="488"/>
    <tableColumn id="6" name="Document Number" dataDxfId="487"/>
    <tableColumn id="7" name="Reference" dataDxfId="486"/>
    <tableColumn id="8" name="Amount SAR " dataDxfId="485"/>
    <tableColumn id="9" name="Document Date" dataDxfId="484"/>
    <tableColumn id="10" name="Net due date" dataDxfId="483"/>
    <tableColumn id="11" name="CT " dataDxfId="482">
      <calculatedColumnFormula>IF(Table133[[#This Row],[Account]]&lt;&gt;"",$N$8,"")</calculatedColumnFormula>
    </tableColumn>
    <tableColumn id="12" name="Aging " dataDxfId="481">
      <calculatedColumnFormula>IF(Table133[[#This Row],[Account]]&lt;&gt;"",J15+L15-$N$7,"")</calculatedColumnFormula>
    </tableColumn>
    <tableColumn id="13" name="Status " dataDxfId="480">
      <calculatedColumnFormula>IF(Table133[[#This Row],[Account]]&lt;&gt;"",IF(Table133[[#This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31" name="Table132" displayName="Table132" ref="B14:N15" totalsRowShown="0" headerRowDxfId="478" tableBorderDxfId="477">
  <tableColumns count="13">
    <tableColumn id="1" name="Val. No" dataDxfId="476"/>
    <tableColumn id="2" name="Account" dataDxfId="475"/>
    <tableColumn id="3" name="Customer " dataDxfId="474"/>
    <tableColumn id="4" name="Dr's Name " dataDxfId="473"/>
    <tableColumn id="5" name="Invoice reference" dataDxfId="472"/>
    <tableColumn id="6" name="Document Number" dataDxfId="471"/>
    <tableColumn id="7" name="Reference" dataDxfId="470"/>
    <tableColumn id="8" name="Amount SAR " dataDxfId="469"/>
    <tableColumn id="9" name="Document Date" dataDxfId="468"/>
    <tableColumn id="10" name="Net due date" dataDxfId="467"/>
    <tableColumn id="11" name="CT " dataDxfId="466">
      <calculatedColumnFormula>IF(Table132[[#This Row],[Account]]&lt;&gt;"",$N$8,"")</calculatedColumnFormula>
    </tableColumn>
    <tableColumn id="12" name="Aging " dataDxfId="465">
      <calculatedColumnFormula>IF(Table132[[#This Row],[Account]]&lt;&gt;"",J15+L15-$N$7,"")</calculatedColumnFormula>
    </tableColumn>
    <tableColumn id="13" name="Status " dataDxfId="464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30" name="Table131" displayName="Table131" ref="B14:N15" totalsRowShown="0" headerRowDxfId="462" tableBorderDxfId="461">
  <tableColumns count="13">
    <tableColumn id="1" name="Val. No" dataDxfId="460"/>
    <tableColumn id="2" name="Account" dataDxfId="459"/>
    <tableColumn id="3" name="Customer " dataDxfId="458"/>
    <tableColumn id="4" name="Dr's Name " dataDxfId="457"/>
    <tableColumn id="5" name="Invoice reference" dataDxfId="456"/>
    <tableColumn id="6" name="Document Number" dataDxfId="455"/>
    <tableColumn id="7" name="Reference" dataDxfId="454"/>
    <tableColumn id="8" name="Amount SAR " dataDxfId="453"/>
    <tableColumn id="9" name="Document Date" dataDxfId="452"/>
    <tableColumn id="10" name="Net due date" dataDxfId="451"/>
    <tableColumn id="11" name="CT " dataDxfId="450">
      <calculatedColumnFormula>IF(Table131[[#This Row],[Account]]&lt;&gt;"",$N$8,"")</calculatedColumnFormula>
    </tableColumn>
    <tableColumn id="12" name="Aging " dataDxfId="449">
      <calculatedColumnFormula>IF(Table131[[#This Row],[Account]]&lt;&gt;"",J15+L15-$N$7,"")</calculatedColumnFormula>
    </tableColumn>
    <tableColumn id="13" name="Status " dataDxfId="448">
      <calculatedColumnFormula>IF(Table131[[#This Row],[Account]]&lt;&gt;"",IF(Table131[[#This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29" name="Table130" displayName="Table130" ref="B14:N15" totalsRowShown="0" headerRowDxfId="446" tableBorderDxfId="445">
  <tableColumns count="13">
    <tableColumn id="1" name="Val. No" dataDxfId="444"/>
    <tableColumn id="2" name="Account" dataDxfId="443"/>
    <tableColumn id="3" name="Customer " dataDxfId="442"/>
    <tableColumn id="4" name="Dr's Name " dataDxfId="441"/>
    <tableColumn id="5" name="Invoice reference" dataDxfId="440"/>
    <tableColumn id="6" name="Document Number" dataDxfId="439"/>
    <tableColumn id="7" name="Reference" dataDxfId="438"/>
    <tableColumn id="8" name="Amount SAR " dataDxfId="437"/>
    <tableColumn id="9" name="Document Date" dataDxfId="436"/>
    <tableColumn id="10" name="Net due date" dataDxfId="435"/>
    <tableColumn id="11" name="CT " dataDxfId="434">
      <calculatedColumnFormula>IF(Table130[[#This Row],[Account]]&lt;&gt;"",$N$8,"")</calculatedColumnFormula>
    </tableColumn>
    <tableColumn id="12" name="Aging " dataDxfId="433">
      <calculatedColumnFormula>IF(Table130[[#This Row],[Account]]&lt;&gt;"",J15+L15-$N$7,"")</calculatedColumnFormula>
    </tableColumn>
    <tableColumn id="13" name="Status " dataDxfId="432">
      <calculatedColumnFormula>IF(Table130[[#This Row],[Account]]&lt;&gt;"",IF(Table130[[#This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28" name="Table129" displayName="Table129" ref="B14:N15" totalsRowShown="0" headerRowDxfId="430" tableBorderDxfId="429">
  <tableColumns count="13">
    <tableColumn id="1" name="Val. No" dataDxfId="428"/>
    <tableColumn id="2" name="Account" dataDxfId="427"/>
    <tableColumn id="3" name="Customer " dataDxfId="426"/>
    <tableColumn id="4" name="Dr's Name " dataDxfId="425"/>
    <tableColumn id="5" name="Invoice reference" dataDxfId="424"/>
    <tableColumn id="6" name="Document Number" dataDxfId="423"/>
    <tableColumn id="7" name="Reference" dataDxfId="422"/>
    <tableColumn id="8" name="Amount SAR " dataDxfId="421"/>
    <tableColumn id="9" name="Document Date" dataDxfId="420"/>
    <tableColumn id="10" name="Net due date" dataDxfId="419"/>
    <tableColumn id="11" name="CT " dataDxfId="418">
      <calculatedColumnFormula>IF(Table129[[#This Row],[Account]]&lt;&gt;"",$N$8,"")</calculatedColumnFormula>
    </tableColumn>
    <tableColumn id="12" name="Aging " dataDxfId="417">
      <calculatedColumnFormula>IF(Table129[[#This Row],[Account]]&lt;&gt;"",J15+L15-$N$7,"")</calculatedColumnFormula>
    </tableColumn>
    <tableColumn id="13" name="Status " dataDxfId="416">
      <calculatedColumnFormula>IF(Table129[[#This Row],[Account]]&lt;&gt;"",IF(Table129[[#This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27" name="Table128" displayName="Table128" ref="B14:N15" totalsRowShown="0" headerRowDxfId="414" tableBorderDxfId="413">
  <tableColumns count="13">
    <tableColumn id="1" name="Val. No" dataDxfId="412"/>
    <tableColumn id="2" name="Account" dataDxfId="411"/>
    <tableColumn id="3" name="Customer " dataDxfId="410"/>
    <tableColumn id="4" name="Dr's Name " dataDxfId="409"/>
    <tableColumn id="5" name="Invoice reference" dataDxfId="408"/>
    <tableColumn id="6" name="Document Number" dataDxfId="407"/>
    <tableColumn id="7" name="Reference" dataDxfId="406"/>
    <tableColumn id="8" name="Amount SAR " dataDxfId="405"/>
    <tableColumn id="9" name="Document Date" dataDxfId="404"/>
    <tableColumn id="10" name="Net due date" dataDxfId="403"/>
    <tableColumn id="11" name="CT " dataDxfId="402">
      <calculatedColumnFormula>IF(Table128[[#This Row],[Account]]&lt;&gt;"",$N$8,"")</calculatedColumnFormula>
    </tableColumn>
    <tableColumn id="12" name="Aging " dataDxfId="401">
      <calculatedColumnFormula>IF(Table128[[#This Row],[Account]]&lt;&gt;"",J15+L15-$N$7,"")</calculatedColumnFormula>
    </tableColumn>
    <tableColumn id="13" name="Status " dataDxfId="400">
      <calculatedColumnFormula>IF(Table128[[#This Row],[Account]]&lt;&gt;"",IF(Table128[[#This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26" name="Table127" displayName="Table127" ref="B14:N19" totalsRowShown="0" headerRowDxfId="398" tableBorderDxfId="397">
  <tableColumns count="13">
    <tableColumn id="1" name="Val. No" dataDxfId="396"/>
    <tableColumn id="2" name="Account" dataDxfId="395"/>
    <tableColumn id="3" name="Customer " dataDxfId="394"/>
    <tableColumn id="4" name="Dr's Name " dataDxfId="393"/>
    <tableColumn id="5" name="Invoice reference" dataDxfId="392"/>
    <tableColumn id="6" name="Document Number" dataDxfId="391"/>
    <tableColumn id="7" name="Reference" dataDxfId="390"/>
    <tableColumn id="8" name="Amount SAR " dataDxfId="389"/>
    <tableColumn id="9" name="Document Date" dataDxfId="388"/>
    <tableColumn id="10" name="Net due date" dataDxfId="387"/>
    <tableColumn id="11" name="CT " dataDxfId="386">
      <calculatedColumnFormula>IF(Table127[[#This Row],[Account]]&lt;&gt;"",$N$8,"")</calculatedColumnFormula>
    </tableColumn>
    <tableColumn id="12" name="Aging " dataDxfId="385">
      <calculatedColumnFormula>IF(Table127[[#This Row],[Account]]&lt;&gt;"",J15+L15-$N$7,"")</calculatedColumnFormula>
    </tableColumn>
    <tableColumn id="13" name="Status " dataDxfId="384">
      <calculatedColumnFormula>IF(Table127[[#This Row],[Account]]&lt;&gt;"",IF(Table127[[#This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25" name="Table126" displayName="Table126" ref="B14:N15" totalsRowShown="0" headerRowDxfId="382" tableBorderDxfId="381">
  <tableColumns count="13">
    <tableColumn id="1" name="Val. No" dataDxfId="380"/>
    <tableColumn id="2" name="Account" dataDxfId="379"/>
    <tableColumn id="3" name="Customer " dataDxfId="378"/>
    <tableColumn id="4" name="Dr's Name " dataDxfId="377"/>
    <tableColumn id="5" name="Invoice reference" dataDxfId="376"/>
    <tableColumn id="6" name="Document Number" dataDxfId="375"/>
    <tableColumn id="7" name="Reference" dataDxfId="374"/>
    <tableColumn id="8" name="Amount SAR " dataDxfId="373"/>
    <tableColumn id="9" name="Document Date" dataDxfId="372"/>
    <tableColumn id="10" name="Net due date" dataDxfId="371"/>
    <tableColumn id="11" name="CT " dataDxfId="370">
      <calculatedColumnFormula>IF(Table126[[#This Row],[Account]]&lt;&gt;"",$N$8,"")</calculatedColumnFormula>
    </tableColumn>
    <tableColumn id="12" name="Aging " dataDxfId="369">
      <calculatedColumnFormula>IF(Table126[[#This Row],[Account]]&lt;&gt;"",J15+L15-$N$7,"")</calculatedColumnFormula>
    </tableColumn>
    <tableColumn id="13" name="Status " dataDxfId="368">
      <calculatedColumnFormula>IF(Table126[[#This Row],[Account]]&lt;&gt;"",IF(Table126[[#This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24" name="Table125" displayName="Table125" ref="B14:N16" totalsRowShown="0" headerRowDxfId="366" tableBorderDxfId="365">
  <tableColumns count="13">
    <tableColumn id="1" name="Val. No" dataDxfId="364"/>
    <tableColumn id="2" name="Account" dataDxfId="363"/>
    <tableColumn id="3" name="Customer " dataDxfId="362"/>
    <tableColumn id="4" name="Dr's Name " dataDxfId="361"/>
    <tableColumn id="5" name="Invoice reference" dataDxfId="360"/>
    <tableColumn id="6" name="Document Number" dataDxfId="359"/>
    <tableColumn id="7" name="Reference" dataDxfId="358"/>
    <tableColumn id="8" name="Amount SAR " dataDxfId="357"/>
    <tableColumn id="9" name="Document Date" dataDxfId="356"/>
    <tableColumn id="10" name="Net due date" dataDxfId="355"/>
    <tableColumn id="11" name="CT " dataDxfId="354">
      <calculatedColumnFormula>IF(Table125[[#This Row],[Account]]&lt;&gt;"",$N$8,"")</calculatedColumnFormula>
    </tableColumn>
    <tableColumn id="12" name="Aging " dataDxfId="353">
      <calculatedColumnFormula>IF(Table125[[#This Row],[Account]]&lt;&gt;"",J15+L15-$N$7,"")</calculatedColumnFormula>
    </tableColumn>
    <tableColumn id="13" name="Status " dataDxfId="352">
      <calculatedColumnFormula>IF(Table125[[#This Row],[Account]]&lt;&gt;"",IF(Table125[[#This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23" name="Table124" displayName="Table124" ref="B14:N18" totalsRowShown="0" headerRowDxfId="350" tableBorderDxfId="349">
  <tableColumns count="13">
    <tableColumn id="1" name="Val. No" dataDxfId="348"/>
    <tableColumn id="2" name="Account" dataDxfId="347"/>
    <tableColumn id="3" name="Customer " dataDxfId="346"/>
    <tableColumn id="4" name="Dr's Name " dataDxfId="345"/>
    <tableColumn id="5" name="Invoice reference" dataDxfId="344"/>
    <tableColumn id="6" name="Document Number" dataDxfId="343"/>
    <tableColumn id="7" name="Reference" dataDxfId="342"/>
    <tableColumn id="8" name="Amount SAR " dataDxfId="341"/>
    <tableColumn id="9" name="Document Date" dataDxfId="340"/>
    <tableColumn id="10" name="Net due date" dataDxfId="339"/>
    <tableColumn id="11" name="CT " dataDxfId="338">
      <calculatedColumnFormula>IF(Table124[[#This Row],[Account]]&lt;&gt;"",$N$8,"")</calculatedColumnFormula>
    </tableColumn>
    <tableColumn id="12" name="Aging " dataDxfId="337">
      <calculatedColumnFormula>IF(Table124[[#This Row],[Account]]&lt;&gt;"",J15+L15-$N$7,"")</calculatedColumnFormula>
    </tableColumn>
    <tableColumn id="13" name="Status " dataDxfId="336">
      <calculatedColumnFormula>IF(Table124[[#This Row],[Account]]&lt;&gt;"",IF(Table124[[#This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22" name="Table123" displayName="Table123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IF(Table123[[#This Row],[Account]]&lt;&gt;"",$N$8,"")</calculatedColumnFormula>
    </tableColumn>
    <tableColumn id="12" name="Aging " dataDxfId="321">
      <calculatedColumnFormula>IF(Table123[[#This Row],[Account]]&lt;&gt;"",J15+L15-$N$7,"")</calculatedColumnFormula>
    </tableColumn>
    <tableColumn id="13" name="Status " dataDxfId="320">
      <calculatedColumnFormula>IF(Table123[[#This Row],[Account]]&lt;&gt;"",IF(Table123[[#This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21" name="Table122" displayName="Table122" ref="B14:N15" totalsRowShown="0" headerRowDxfId="318" tableBorderDxfId="317">
  <tableColumns count="13">
    <tableColumn id="1" name="Val. No" dataDxfId="316"/>
    <tableColumn id="2" name="Account" dataDxfId="315"/>
    <tableColumn id="3" name="Customer " dataDxfId="314"/>
    <tableColumn id="4" name="Dr's Name " dataDxfId="313"/>
    <tableColumn id="5" name="Invoice reference" dataDxfId="312"/>
    <tableColumn id="6" name="Document Number" dataDxfId="311"/>
    <tableColumn id="7" name="Reference" dataDxfId="310"/>
    <tableColumn id="8" name="Amount SAR " dataDxfId="309"/>
    <tableColumn id="9" name="Document Date" dataDxfId="308"/>
    <tableColumn id="10" name="Net due date" dataDxfId="307"/>
    <tableColumn id="11" name="CT " dataDxfId="306">
      <calculatedColumnFormula>IF(Table122[[#This Row],[Account]]&lt;&gt;"",$N$8,"")</calculatedColumnFormula>
    </tableColumn>
    <tableColumn id="12" name="Aging " dataDxfId="305">
      <calculatedColumnFormula>IF(Table122[[#This Row],[Account]]&lt;&gt;"",J15+L15-$N$7,"")</calculatedColumnFormula>
    </tableColumn>
    <tableColumn id="13" name="Status " dataDxfId="304">
      <calculatedColumnFormula>IF(Table122[[#This Row],[Account]]&lt;&gt;"",IF(Table122[[#This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20" name="Table121" displayName="Table121" ref="B14:N16" totalsRowShown="0" headerRowDxfId="302" tableBorderDxfId="301">
  <tableColumns count="13">
    <tableColumn id="1" name="Val. No" dataDxfId="300"/>
    <tableColumn id="2" name="Account" dataDxfId="299"/>
    <tableColumn id="3" name="Customer " dataDxfId="298"/>
    <tableColumn id="4" name="Dr's Name " dataDxfId="297"/>
    <tableColumn id="5" name="Invoice reference" dataDxfId="296"/>
    <tableColumn id="6" name="Document Number" dataDxfId="295"/>
    <tableColumn id="7" name="Reference" dataDxfId="294"/>
    <tableColumn id="8" name="Amount SAR " dataDxfId="293"/>
    <tableColumn id="9" name="Document Date" dataDxfId="292"/>
    <tableColumn id="10" name="Net due date" dataDxfId="291"/>
    <tableColumn id="11" name="CT " dataDxfId="290">
      <calculatedColumnFormula>IF(Table121[[#This Row],[Account]]&lt;&gt;"",$N$8,"")</calculatedColumnFormula>
    </tableColumn>
    <tableColumn id="12" name="Aging " dataDxfId="289">
      <calculatedColumnFormula>IF(Table121[[#This Row],[Account]]&lt;&gt;"",J15+L15-$N$7,"")</calculatedColumnFormula>
    </tableColumn>
    <tableColumn id="13" name="Status " dataDxfId="288">
      <calculatedColumnFormula>IF(Table121[[#This Row],[Account]]&lt;&gt;"",IF(Table121[[#This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9" name="Table120" displayName="Table120" ref="B14:N20" totalsRowShown="0" headerRowDxfId="286" tableBorderDxfId="285">
  <tableColumns count="13">
    <tableColumn id="1" name="Val. No" dataDxfId="284"/>
    <tableColumn id="2" name="Account" dataDxfId="283"/>
    <tableColumn id="3" name="Customer " dataDxfId="282"/>
    <tableColumn id="4" name="Dr's Name " dataDxfId="281"/>
    <tableColumn id="5" name="Invoice reference" dataDxfId="280"/>
    <tableColumn id="6" name="Document Number" dataDxfId="279"/>
    <tableColumn id="7" name="Reference" dataDxfId="278"/>
    <tableColumn id="8" name="Amount SAR " dataDxfId="277"/>
    <tableColumn id="9" name="Document Date" dataDxfId="276"/>
    <tableColumn id="10" name="Net due date" dataDxfId="275"/>
    <tableColumn id="11" name="CT " dataDxfId="274">
      <calculatedColumnFormula>IF(Table120[[#This Row],[Account]]&lt;&gt;"",$N$8,"")</calculatedColumnFormula>
    </tableColumn>
    <tableColumn id="12" name="Aging " dataDxfId="273">
      <calculatedColumnFormula>IF(Table120[[#This Row],[Account]]&lt;&gt;"",J15+L15-$N$7,"")</calculatedColumnFormula>
    </tableColumn>
    <tableColumn id="13" name="Status " dataDxfId="272">
      <calculatedColumnFormula>IF(Table120[[#This Row],[Account]]&lt;&gt;"",IF(Table120[[#This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8" name="Table119" displayName="Table119" ref="B14:N39" totalsRowShown="0" headerRowDxfId="270" tableBorderDxfId="269">
  <tableColumns count="13">
    <tableColumn id="1" name="Val. No" dataDxfId="268"/>
    <tableColumn id="2" name="Account" dataDxfId="267"/>
    <tableColumn id="3" name="Customer " dataDxfId="266"/>
    <tableColumn id="4" name="Dr's Name " dataDxfId="265"/>
    <tableColumn id="5" name="Invoice reference" dataDxfId="264"/>
    <tableColumn id="6" name="Document Number" dataDxfId="263"/>
    <tableColumn id="7" name="Reference" dataDxfId="262"/>
    <tableColumn id="8" name="Amount SAR " dataDxfId="261"/>
    <tableColumn id="9" name="Document Date" dataDxfId="260"/>
    <tableColumn id="10" name="Net due date" dataDxfId="259"/>
    <tableColumn id="11" name="CT " dataDxfId="258">
      <calculatedColumnFormula>IF(Table119[[#This Row],[Account]]&lt;&gt;"",$N$8,"")</calculatedColumnFormula>
    </tableColumn>
    <tableColumn id="12" name="Aging " dataDxfId="257">
      <calculatedColumnFormula>IF(Table119[[#This Row],[Account]]&lt;&gt;"",J15+L15-$N$7,"")</calculatedColumnFormula>
    </tableColumn>
    <tableColumn id="13" name="Status " dataDxfId="256">
      <calculatedColumnFormula>IF(Table119[[#This Row],[Account]]&lt;&gt;"",IF(Table119[[#This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7" name="Table118" displayName="Table118" ref="B14:N16" totalsRowShown="0" headerRowDxfId="254" tableBorderDxfId="253">
  <tableColumns count="13">
    <tableColumn id="1" name="Val. No" dataDxfId="252"/>
    <tableColumn id="2" name="Account" dataDxfId="251"/>
    <tableColumn id="3" name="Customer " dataDxfId="250"/>
    <tableColumn id="4" name="Dr's Name " dataDxfId="249"/>
    <tableColumn id="5" name="Invoice reference" dataDxfId="248"/>
    <tableColumn id="6" name="Document Number" dataDxfId="247"/>
    <tableColumn id="7" name="Reference" dataDxfId="246"/>
    <tableColumn id="8" name="Amount SAR " dataDxfId="245"/>
    <tableColumn id="9" name="Document Date" dataDxfId="244"/>
    <tableColumn id="10" name="Net due date" dataDxfId="243"/>
    <tableColumn id="11" name="CT " dataDxfId="242">
      <calculatedColumnFormula>IF(Table118[[#This Row],[Account]]&lt;&gt;"",$N$8,"")</calculatedColumnFormula>
    </tableColumn>
    <tableColumn id="12" name="Aging " dataDxfId="241">
      <calculatedColumnFormula>IF(Table118[[#This Row],[Account]]&lt;&gt;"",J15+L15-$N$7,"")</calculatedColumnFormula>
    </tableColumn>
    <tableColumn id="13" name="Status " dataDxfId="240">
      <calculatedColumnFormula>IF(Table118[[#This Row],[Account]]&lt;&gt;"",IF(Table118[[#This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6" name="Table117" displayName="Table117" ref="B14:N20" totalsRowShown="0" headerRowDxfId="238" tableBorderDxfId="237">
  <tableColumns count="13">
    <tableColumn id="1" name="Val. No" dataDxfId="236"/>
    <tableColumn id="2" name="Account" dataDxfId="235"/>
    <tableColumn id="3" name="Customer " dataDxfId="234"/>
    <tableColumn id="4" name="Dr's Name " dataDxfId="233"/>
    <tableColumn id="5" name="Invoice reference" dataDxfId="232"/>
    <tableColumn id="6" name="Document Number" dataDxfId="231"/>
    <tableColumn id="7" name="Reference" dataDxfId="230"/>
    <tableColumn id="8" name="Amount SAR " dataDxfId="229"/>
    <tableColumn id="9" name="Document Date" dataDxfId="228"/>
    <tableColumn id="10" name="Net due date" dataDxfId="227"/>
    <tableColumn id="11" name="CT " dataDxfId="226">
      <calculatedColumnFormula>IF(Table117[[#This Row],[Account]]&lt;&gt;"",$N$8,"")</calculatedColumnFormula>
    </tableColumn>
    <tableColumn id="12" name="Aging " dataDxfId="225">
      <calculatedColumnFormula>IF(Table117[[#This Row],[Account]]&lt;&gt;"",J15+L15-$N$7,"")</calculatedColumnFormula>
    </tableColumn>
    <tableColumn id="13" name="Status " dataDxfId="224">
      <calculatedColumnFormula>IF(Table117[[#This Row],[Account]]&lt;&gt;"",IF(Table117[[#This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5" name="Table116" displayName="Table116" ref="B14:N16" totalsRowShown="0" headerRowDxfId="222" tableBorderDxfId="221">
  <tableColumns count="13">
    <tableColumn id="1" name="Val. No" dataDxfId="220"/>
    <tableColumn id="2" name="Account" dataDxfId="219"/>
    <tableColumn id="3" name="Customer " dataDxfId="218"/>
    <tableColumn id="4" name="Dr's Name " dataDxfId="217"/>
    <tableColumn id="5" name="Invoice reference" dataDxfId="216"/>
    <tableColumn id="6" name="Document Number" dataDxfId="215"/>
    <tableColumn id="7" name="Reference" dataDxfId="214"/>
    <tableColumn id="8" name="Amount SAR " dataDxfId="213"/>
    <tableColumn id="9" name="Document Date" dataDxfId="212"/>
    <tableColumn id="10" name="Net due date" dataDxfId="211"/>
    <tableColumn id="11" name="CT " dataDxfId="210">
      <calculatedColumnFormula>IF(Table116[[#This Row],[Account]]&lt;&gt;"",$N$8,"")</calculatedColumnFormula>
    </tableColumn>
    <tableColumn id="12" name="Aging " dataDxfId="209">
      <calculatedColumnFormula>IF(Table116[[#This Row],[Account]]&lt;&gt;"",J15+L15-$N$7,"")</calculatedColumnFormula>
    </tableColumn>
    <tableColumn id="13" name="Status " dataDxfId="208">
      <calculatedColumnFormula>IF(Table116[[#This Row],[Account]]&lt;&gt;"",IF(Table116[[#This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4" name="Table115" displayName="Table115" ref="B14:N18" totalsRowShown="0" headerRowDxfId="206" tableBorderDxfId="205">
  <tableColumns count="13">
    <tableColumn id="1" name="Val. No" dataDxfId="204"/>
    <tableColumn id="2" name="Account" dataDxfId="203"/>
    <tableColumn id="3" name="Customer " dataDxfId="202"/>
    <tableColumn id="4" name="Dr's Name " dataDxfId="201"/>
    <tableColumn id="5" name="Invoice reference" dataDxfId="200"/>
    <tableColumn id="6" name="Document Number" dataDxfId="199"/>
    <tableColumn id="7" name="Reference" dataDxfId="198"/>
    <tableColumn id="8" name="Amount SAR " dataDxfId="197"/>
    <tableColumn id="9" name="Document Date" dataDxfId="196"/>
    <tableColumn id="10" name="Net due date" dataDxfId="195"/>
    <tableColumn id="11" name="CT " dataDxfId="194">
      <calculatedColumnFormula>IF(Table115[[#This Row],[Account]]&lt;&gt;"",$N$8,"")</calculatedColumnFormula>
    </tableColumn>
    <tableColumn id="12" name="Aging " dataDxfId="193">
      <calculatedColumnFormula>IF(Table115[[#This Row],[Account]]&lt;&gt;"",J15+L15-$N$7,"")</calculatedColumnFormula>
    </tableColumn>
    <tableColumn id="13" name="Status " dataDxfId="192">
      <calculatedColumnFormula>IF(Table115[[#This Row],[Account]]&lt;&gt;"",IF(Table115[[#This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3" name="Table114" displayName="Table114" ref="B14:N16" totalsRowShown="0" headerRowDxfId="190" tableBorderDxfId="189">
  <tableColumns count="13">
    <tableColumn id="1" name="Val. No" dataDxfId="188"/>
    <tableColumn id="2" name="Account" dataDxfId="187"/>
    <tableColumn id="3" name="Customer " dataDxfId="186"/>
    <tableColumn id="4" name="Dr's Name " dataDxfId="185"/>
    <tableColumn id="5" name="Invoice reference" dataDxfId="184"/>
    <tableColumn id="6" name="Document Number" dataDxfId="183"/>
    <tableColumn id="7" name="Reference" dataDxfId="182"/>
    <tableColumn id="8" name="Amount SAR " dataDxfId="181"/>
    <tableColumn id="9" name="Document Date" dataDxfId="180"/>
    <tableColumn id="10" name="Net due date" dataDxfId="179"/>
    <tableColumn id="11" name="CT " dataDxfId="178">
      <calculatedColumnFormula>IF(Table114[[#This Row],[Account]]&lt;&gt;"",$N$8,"")</calculatedColumnFormula>
    </tableColumn>
    <tableColumn id="12" name="Aging " dataDxfId="177">
      <calculatedColumnFormula>IF(Table114[[#This Row],[Account]]&lt;&gt;"",J15+L15-$N$7,"")</calculatedColumnFormula>
    </tableColumn>
    <tableColumn id="13" name="Status " dataDxfId="176">
      <calculatedColumnFormula>IF(Table114[[#This Row],[Account]]&lt;&gt;"",IF(Table114[[#This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2" name="Table113" displayName="Table113" ref="B14:N15" totalsRowShown="0" headerRowDxfId="174" tableBorderDxfId="173">
  <tableColumns count="13">
    <tableColumn id="1" name="Val. No" dataDxfId="172"/>
    <tableColumn id="2" name="Account" dataDxfId="171"/>
    <tableColumn id="3" name="Customer " dataDxfId="170"/>
    <tableColumn id="4" name="Dr's Name " dataDxfId="169"/>
    <tableColumn id="5" name="Invoice reference" dataDxfId="168"/>
    <tableColumn id="6" name="Document Number" dataDxfId="167"/>
    <tableColumn id="7" name="Reference" dataDxfId="166"/>
    <tableColumn id="8" name="Amount SAR " dataDxfId="165"/>
    <tableColumn id="9" name="Document Date" dataDxfId="164"/>
    <tableColumn id="10" name="Net due date" dataDxfId="163"/>
    <tableColumn id="11" name="CT " dataDxfId="162">
      <calculatedColumnFormula>IF(Table113[[#This Row],[Account]]&lt;&gt;"",$N$8,"")</calculatedColumnFormula>
    </tableColumn>
    <tableColumn id="12" name="Aging " dataDxfId="161">
      <calculatedColumnFormula>IF(Table113[[#This Row],[Account]]&lt;&gt;"",J15+L15-$N$7,"")</calculatedColumnFormula>
    </tableColumn>
    <tableColumn id="13" name="Status " dataDxfId="160">
      <calculatedColumnFormula>IF(Table113[[#This Row],[Account]]&lt;&gt;"",IF(Table113[[#This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1" name="Table112" displayName="Table112" ref="B14:N22" totalsRowShown="0" headerRowDxfId="158" tableBorderDxfId="157">
  <tableColumns count="13">
    <tableColumn id="1" name="Val. No" dataDxfId="156"/>
    <tableColumn id="2" name="Account" dataDxfId="155"/>
    <tableColumn id="3" name="Customer " dataDxfId="154"/>
    <tableColumn id="4" name="Dr's Name " dataDxfId="153"/>
    <tableColumn id="5" name="Invoice reference" dataDxfId="152"/>
    <tableColumn id="6" name="Document Number" dataDxfId="151"/>
    <tableColumn id="7" name="Reference" dataDxfId="150"/>
    <tableColumn id="8" name="Amount SAR " dataDxfId="149"/>
    <tableColumn id="9" name="Document Date" dataDxfId="148"/>
    <tableColumn id="10" name="Net due date" dataDxfId="147"/>
    <tableColumn id="11" name="CT " dataDxfId="146">
      <calculatedColumnFormula>IF(Table112[[#This Row],[Account]]&lt;&gt;"",$N$8,"")</calculatedColumnFormula>
    </tableColumn>
    <tableColumn id="12" name="Aging " dataDxfId="145">
      <calculatedColumnFormula>IF(Table112[[#This Row],[Account]]&lt;&gt;"",J15+L15-$N$7,"")</calculatedColumnFormula>
    </tableColumn>
    <tableColumn id="13" name="Status " dataDxfId="144">
      <calculatedColumnFormula>IF(Table112[[#This Row],[Account]]&lt;&gt;"",IF(Table112[[#This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" name="Table111" displayName="Table111" ref="B14:N15" totalsRowShown="0" headerRowDxfId="142" tableBorderDxfId="141">
  <tableColumns count="13">
    <tableColumn id="1" name="Val. No" dataDxfId="140"/>
    <tableColumn id="2" name="Account" dataDxfId="139"/>
    <tableColumn id="3" name="Customer " dataDxfId="138"/>
    <tableColumn id="4" name="Dr's Name " dataDxfId="137"/>
    <tableColumn id="5" name="Invoice reference" dataDxfId="136"/>
    <tableColumn id="6" name="Document Number" dataDxfId="135"/>
    <tableColumn id="7" name="Reference" dataDxfId="134"/>
    <tableColumn id="8" name="Amount SAR " dataDxfId="133"/>
    <tableColumn id="9" name="Document Date" dataDxfId="132"/>
    <tableColumn id="10" name="Net due date" dataDxfId="131"/>
    <tableColumn id="11" name="CT " dataDxfId="130">
      <calculatedColumnFormula>IF(Table111[[#This Row],[Account]]&lt;&gt;"",$N$8,"")</calculatedColumnFormula>
    </tableColumn>
    <tableColumn id="12" name="Aging " dataDxfId="129">
      <calculatedColumnFormula>IF(Table111[[#This Row],[Account]]&lt;&gt;"",J15+L15-$N$7,"")</calculatedColumnFormula>
    </tableColumn>
    <tableColumn id="13" name="Status " dataDxfId="128">
      <calculatedColumnFormula>IF(Table111[[#This Row],[Account]]&lt;&gt;"",IF(Table111[[#This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9" name="Table110" displayName="Table110" ref="B14:N16" totalsRowShown="0" headerRowDxfId="126" tableBorderDxfId="125">
  <tableColumns count="13">
    <tableColumn id="1" name="Val. No" dataDxfId="124"/>
    <tableColumn id="2" name="Account" dataDxfId="123"/>
    <tableColumn id="3" name="Customer " dataDxfId="122"/>
    <tableColumn id="4" name="Dr's Name " dataDxfId="121"/>
    <tableColumn id="5" name="Invoice reference" dataDxfId="120"/>
    <tableColumn id="6" name="Document Number" dataDxfId="119"/>
    <tableColumn id="7" name="Reference" dataDxfId="118"/>
    <tableColumn id="8" name="Amount SAR " dataDxfId="117"/>
    <tableColumn id="9" name="Document Date" dataDxfId="116"/>
    <tableColumn id="10" name="Net due date" dataDxfId="115"/>
    <tableColumn id="11" name="CT " dataDxfId="114">
      <calculatedColumnFormula>IF(Table110[[#This Row],[Account]]&lt;&gt;"",$N$8,"")</calculatedColumnFormula>
    </tableColumn>
    <tableColumn id="12" name="Aging " dataDxfId="113">
      <calculatedColumnFormula>IF(Table110[[#This Row],[Account]]&lt;&gt;"",J15+L15-$N$7,"")</calculatedColumnFormula>
    </tableColumn>
    <tableColumn id="13" name="Status " dataDxfId="112">
      <calculatedColumnFormula>IF(Table110[[#This Row],[Account]]&lt;&gt;"",IF(Table110[[#This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8" name="Table19" displayName="Table19" ref="B14:N15" totalsRowShown="0" headerRowDxfId="110" tableBorderDxfId="109">
  <tableColumns count="13">
    <tableColumn id="1" name="Val. No" dataDxfId="108"/>
    <tableColumn id="2" name="Account" dataDxfId="107"/>
    <tableColumn id="3" name="Customer " dataDxfId="106"/>
    <tableColumn id="4" name="Dr's Name " dataDxfId="105"/>
    <tableColumn id="5" name="Invoice reference" dataDxfId="104"/>
    <tableColumn id="6" name="Document Number" dataDxfId="103"/>
    <tableColumn id="7" name="Reference" dataDxfId="102"/>
    <tableColumn id="8" name="Amount SAR " dataDxfId="101"/>
    <tableColumn id="9" name="Document Date" dataDxfId="100"/>
    <tableColumn id="10" name="Net due date" dataDxfId="99"/>
    <tableColumn id="11" name="CT " dataDxfId="98">
      <calculatedColumnFormula>IF(Table19[[#This Row],[Account]]&lt;&gt;"",$N$8,"")</calculatedColumnFormula>
    </tableColumn>
    <tableColumn id="12" name="Aging " dataDxfId="97">
      <calculatedColumnFormula>IF(Table19[[#This Row],[Account]]&lt;&gt;"",J15+L15-$N$7,"")</calculatedColumnFormula>
    </tableColumn>
    <tableColumn id="13" name="Status " dataDxfId="96">
      <calculatedColumnFormula>IF(Table19[[#This Row],[Account]]&lt;&gt;"",IF(Table19[[#This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7" name="Table18" displayName="Table18" ref="B14:N15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IF(Table18[[#This Row],[Account]]&lt;&gt;"",$N$8,"")</calculatedColumnFormula>
    </tableColumn>
    <tableColumn id="12" name="Aging " dataDxfId="81">
      <calculatedColumnFormula>IF(Table18[[#This Row],[Account]]&lt;&gt;"",J15+L15-$N$7,"")</calculatedColumnFormula>
    </tableColumn>
    <tableColumn id="13" name="Status " dataDxfId="80">
      <calculatedColumnFormula>IF(Table18[[#This Row],[Account]]&lt;&gt;"",IF(Table18[[#This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6" name="Table17" displayName="Table17" ref="B14:N20" totalsRowShown="0" headerRowDxfId="78" tableBorderDxfId="77">
  <tableColumns count="13">
    <tableColumn id="1" name="Val. No" dataDxfId="76"/>
    <tableColumn id="2" name="Account" dataDxfId="75"/>
    <tableColumn id="3" name="Customer " dataDxfId="74"/>
    <tableColumn id="4" name="Dr's Name " dataDxfId="73"/>
    <tableColumn id="5" name="Invoice reference" dataDxfId="72"/>
    <tableColumn id="6" name="Document Number" dataDxfId="71"/>
    <tableColumn id="7" name="Reference" dataDxfId="70"/>
    <tableColumn id="8" name="Amount SAR " dataDxfId="69"/>
    <tableColumn id="9" name="Document Date" dataDxfId="68"/>
    <tableColumn id="10" name="Net due date" dataDxfId="67"/>
    <tableColumn id="11" name="CT " dataDxfId="66">
      <calculatedColumnFormula>IF(Table17[[#This Row],[Account]]&lt;&gt;"",$N$8,"")</calculatedColumnFormula>
    </tableColumn>
    <tableColumn id="12" name="Aging " dataDxfId="65">
      <calculatedColumnFormula>IF(Table17[[#This Row],[Account]]&lt;&gt;"",J15+L15-$N$7,"")</calculatedColumnFormula>
    </tableColumn>
    <tableColumn id="13" name="Status " dataDxfId="64">
      <calculatedColumnFormula>IF(Table17[[#This Row],[Account]]&lt;&gt;"",IF(Table17[[#This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5" name="Table16" displayName="Table16" ref="B14:N17" totalsRowShown="0" headerRowDxfId="62" tableBorderDxfId="61">
  <tableColumns count="13">
    <tableColumn id="1" name="Val. No" dataDxfId="60"/>
    <tableColumn id="2" name="Account" dataDxfId="59"/>
    <tableColumn id="3" name="Customer " dataDxfId="58"/>
    <tableColumn id="4" name="Dr's Name " dataDxfId="57"/>
    <tableColumn id="5" name="Invoice reference" dataDxfId="56"/>
    <tableColumn id="6" name="Document Number" dataDxfId="55"/>
    <tableColumn id="7" name="Reference" dataDxfId="54"/>
    <tableColumn id="8" name="Amount SAR " dataDxfId="53"/>
    <tableColumn id="9" name="Document Date" dataDxfId="52"/>
    <tableColumn id="10" name="Net due date" dataDxfId="51"/>
    <tableColumn id="11" name="CT " dataDxfId="50">
      <calculatedColumnFormula>IF(Table16[[#This Row],[Account]]&lt;&gt;"",$N$8,"")</calculatedColumnFormula>
    </tableColumn>
    <tableColumn id="12" name="Aging " dataDxfId="49">
      <calculatedColumnFormula>IF(Table16[[#This Row],[Account]]&lt;&gt;"",J15+L15-$N$7,"")</calculatedColumnFormula>
    </tableColumn>
    <tableColumn id="13" name="Status " dataDxfId="48">
      <calculatedColumnFormula>IF(Table16[[#This Row],[Account]]&lt;&gt;"",IF(Table16[[#This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4" name="Table15" displayName="Table15" ref="B14:N18" totalsRowShown="0" headerRowDxfId="46" tableBorderDxfId="45">
  <tableColumns count="13">
    <tableColumn id="1" name="Val. No" dataDxfId="44"/>
    <tableColumn id="2" name="Account" dataDxfId="43"/>
    <tableColumn id="3" name="Customer " dataDxfId="42"/>
    <tableColumn id="4" name="Dr's Name " dataDxfId="41"/>
    <tableColumn id="5" name="Invoice reference" dataDxfId="40"/>
    <tableColumn id="6" name="Document Number" dataDxfId="39"/>
    <tableColumn id="7" name="Reference" dataDxfId="38"/>
    <tableColumn id="8" name="Amount SAR " dataDxfId="37"/>
    <tableColumn id="9" name="Document Date" dataDxfId="36"/>
    <tableColumn id="10" name="Net due date" dataDxfId="35"/>
    <tableColumn id="11" name="CT " dataDxfId="34">
      <calculatedColumnFormula>IF(Table15[[#This Row],[Account]]&lt;&gt;"",$N$8,"")</calculatedColumnFormula>
    </tableColumn>
    <tableColumn id="12" name="Aging " dataDxfId="33">
      <calculatedColumnFormula>IF(Table15[[#This Row],[Account]]&lt;&gt;"",J15+L15-$N$7,"")</calculatedColumnFormula>
    </tableColumn>
    <tableColumn id="13" name="Status " dataDxfId="32">
      <calculatedColumnFormula>IF(Table15[[#This Row],[Account]]&lt;&gt;"",IF(Table15[[#This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3" name="Table14" displayName="Table14" ref="B14:N15" totalsRowShown="0" headerRowDxfId="30" tableBorderDxfId="29">
  <tableColumns count="13">
    <tableColumn id="1" name="Val. No" dataDxfId="28"/>
    <tableColumn id="2" name="Account" dataDxfId="27"/>
    <tableColumn id="3" name="Customer " dataDxfId="26"/>
    <tableColumn id="4" name="Dr's Name " dataDxfId="25"/>
    <tableColumn id="5" name="Invoice reference" dataDxfId="24"/>
    <tableColumn id="6" name="Document Number" dataDxfId="23"/>
    <tableColumn id="7" name="Reference" dataDxfId="22"/>
    <tableColumn id="8" name="Amount SAR " dataDxfId="21"/>
    <tableColumn id="9" name="Document Date" dataDxfId="20"/>
    <tableColumn id="10" name="Net due date" dataDxfId="19"/>
    <tableColumn id="11" name="CT " dataDxfId="18">
      <calculatedColumnFormula>IF(Table14[[#This Row],[Account]]&lt;&gt;"",$N$8,"")</calculatedColumnFormula>
    </tableColumn>
    <tableColumn id="12" name="Aging " dataDxfId="17">
      <calculatedColumnFormula>IF(Table14[[#This Row],[Account]]&lt;&gt;"",J15+L15-$N$7,"")</calculatedColumnFormula>
    </tableColumn>
    <tableColumn id="13" name="Status " dataDxfId="16">
      <calculatedColumnFormula>IF(Table14[[#This Row],[Account]]&lt;&gt;"",IF(Table14[[#This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2" name="Table13" displayName="Table13" ref="B14:N25" totalsRowShown="0" headerRowDxfId="14" tableBorderDxfId="13">
  <tableColumns count="13">
    <tableColumn id="1" name="Val. No" dataDxfId="12"/>
    <tableColumn id="2" name="Account" dataDxfId="11"/>
    <tableColumn id="3" name="Customer " dataDxfId="10"/>
    <tableColumn id="4" name="Dr's Name " dataDxfId="9"/>
    <tableColumn id="5" name="Invoice reference" dataDxfId="8"/>
    <tableColumn id="6" name="Document Number" dataDxfId="7"/>
    <tableColumn id="7" name="Reference" dataDxfId="6"/>
    <tableColumn id="8" name="Amount SAR " dataDxfId="5"/>
    <tableColumn id="9" name="Document Date" dataDxfId="4"/>
    <tableColumn id="10" name="Net due date" dataDxfId="3"/>
    <tableColumn id="11" name="CT " dataDxfId="2">
      <calculatedColumnFormula>IF(Table13[[#This Row],[Account]]&lt;&gt;"",$N$8,"")</calculatedColumnFormula>
    </tableColumn>
    <tableColumn id="12" name="Aging " dataDxfId="1">
      <calculatedColumnFormula>IF(Table13[[#This Row],[Account]]&lt;&gt;"",J15+L15-$N$7,"")</calculatedColumnFormula>
    </tableColumn>
    <tableColumn id="13" name="Status " dataDxfId="0">
      <calculatedColumnFormula>IF(Table13[[#This Row],[Account]]&lt;&gt;"",IF(Table13[[#This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43171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H1" workbookViewId="0">
      <selection activeCell="M20" sqref="M20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109" t="s">
        <v>1933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1933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1933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1933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1933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1933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1933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1933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1933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1933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1933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1933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1933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1933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1933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1933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1933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1933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1933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1933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1933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1933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1933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1933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1933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1933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1933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1933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1933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1933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1933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1933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1933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1933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1933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1933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1933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1933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1933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1933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1933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1933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1933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1933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1933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1933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1933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1933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1933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1933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1933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1933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1933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1933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1933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1933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1933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1933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1933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1933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1933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1933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1933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1933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1933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1933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1933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1933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1933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1933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1933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1933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1933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1933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1933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1933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1933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1933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1933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1933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1933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1933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42" sqref="E42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4" t="s">
        <v>5</v>
      </c>
      <c r="C9" s="115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355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363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363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377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377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391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432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440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454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454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481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483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6" t="s">
        <v>23</v>
      </c>
      <c r="C33" s="116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6"/>
      <c r="C34" s="117"/>
      <c r="D34" s="39">
        <f>SUMIFS(I15:I27,M15:M27,"&gt;="&amp;0)</f>
        <v>64074.600000000006</v>
      </c>
      <c r="E34" s="40">
        <f>SUMIFS(I15:I27,M15:M27,"&gt;="&amp;-30,M15:M27,"&lt;="&amp;-1)</f>
        <v>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64074.600000000006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6" t="s">
        <v>23</v>
      </c>
      <c r="C119" s="116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6"/>
      <c r="C120" s="117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7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tabSelected="1" workbookViewId="0">
      <selection activeCell="D15" sqref="D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1921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1922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973625</v>
      </c>
      <c r="D15" s="15" t="s">
        <v>1923</v>
      </c>
      <c r="E15" s="15" t="s">
        <v>1924</v>
      </c>
      <c r="F15" s="14" t="s">
        <v>1925</v>
      </c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>
        <f>IF(Table151[[#This Row],[Account]]&lt;&gt;"",$N$8,"")</f>
        <v>0</v>
      </c>
      <c r="M15" s="105">
        <f>IF(Table151[[#This Row],[Account]]&lt;&gt;"",J15+L15-$N$7,"")</f>
        <v>51</v>
      </c>
      <c r="N15" s="74" t="str">
        <f>IF(Table151[[#This Row],[Account]]&lt;&gt;"",IF(Table151[[#This Row],[Aging ]]&lt;0,"OVERDUE","OK"),"")</f>
        <v>OK</v>
      </c>
    </row>
    <row r="16" spans="2:14" ht="15.75" thickBot="1" x14ac:dyDescent="0.3">
      <c r="B16" s="107">
        <f ca="1">IFERROR(IF(Table151[[#This Row],[Account]]&lt;&gt;"",OFFSET(B16,-1,0)+1,""),1)</f>
        <v>2</v>
      </c>
      <c r="C16" s="20">
        <v>973625</v>
      </c>
      <c r="D16" s="21" t="s">
        <v>1923</v>
      </c>
      <c r="E16" s="21" t="s">
        <v>1924</v>
      </c>
      <c r="F16" s="20" t="s">
        <v>1926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IF(Table151[[#This Row],[Account]]&lt;&gt;"",$N$8,"")</f>
        <v>0</v>
      </c>
      <c r="M16" s="24">
        <f>IF(Table151[[#This Row],[Account]]&lt;&gt;"",J16+L16-$N$7,"")</f>
        <v>256</v>
      </c>
      <c r="N16" s="25" t="str">
        <f>IF(Table151[[#This Row],[Account]]&lt;&gt;"",IF(Table151[[#This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7292.25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7292.25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972380</v>
      </c>
      <c r="D15" s="15" t="s">
        <v>1915</v>
      </c>
      <c r="E15" s="15" t="s">
        <v>1916</v>
      </c>
      <c r="F15" s="14" t="s">
        <v>1917</v>
      </c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>
        <f>IF(Table150[[#This Row],[Account]]&lt;&gt;"",$N$8,"")</f>
        <v>0</v>
      </c>
      <c r="M15" s="105">
        <f>IF(Table150[[#This Row],[Account]]&lt;&gt;"",J15+L15-$N$7,"")</f>
        <v>115</v>
      </c>
      <c r="N15" s="74" t="str">
        <f>IF(Table150[[#This Row],[Account]]&lt;&gt;"",IF(Table150[[#This Row],[Aging ]]&lt;0,"OVERDUE","OK"),"")</f>
        <v>OK</v>
      </c>
    </row>
    <row r="16" spans="2:14" ht="15.75" thickBot="1" x14ac:dyDescent="0.3">
      <c r="B16" s="107">
        <f ca="1">IFERROR(IF(Table150[[#This Row],[Account]]&lt;&gt;"",OFFSET(B16,-1,0)+1,""),1)</f>
        <v>2</v>
      </c>
      <c r="C16" s="20">
        <v>972380</v>
      </c>
      <c r="D16" s="21" t="s">
        <v>1915</v>
      </c>
      <c r="E16" s="21" t="s">
        <v>1916</v>
      </c>
      <c r="F16" s="20" t="s">
        <v>1918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IF(Table150[[#This Row],[Account]]&lt;&gt;"",$N$8,"")</f>
        <v>0</v>
      </c>
      <c r="M16" s="24">
        <f>IF(Table150[[#This Row],[Account]]&lt;&gt;"",J16+L16-$N$7,"")</f>
        <v>252</v>
      </c>
      <c r="N16" s="25" t="str">
        <f>IF(Table150[[#This Row],[Account]]&lt;&gt;"",IF(Table150[[#This Row],[Aging ]]&lt;0,"OVERDUE","OK"),"")</f>
        <v>OK</v>
      </c>
    </row>
    <row r="17" spans="2:17" ht="15.75" thickBot="1" x14ac:dyDescent="0.3">
      <c r="B17" s="106">
        <f ca="1">IFERROR(IF(Table150[[#This Row],[Account]]&lt;&gt;"",OFFSET(B17,-1,0)+1,""),1)</f>
        <v>3</v>
      </c>
      <c r="C17" s="14">
        <v>972380</v>
      </c>
      <c r="D17" s="15" t="s">
        <v>1915</v>
      </c>
      <c r="E17" s="15" t="s">
        <v>1916</v>
      </c>
      <c r="F17" s="14" t="s">
        <v>1919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IF(Table150[[#This Row],[Account]]&lt;&gt;"",$N$8,"")</f>
        <v>0</v>
      </c>
      <c r="M17" s="18">
        <f>IF(Table150[[#This Row],[Account]]&lt;&gt;"",J17+L17-$N$7,"")</f>
        <v>252</v>
      </c>
      <c r="N17" s="19" t="str">
        <f>IF(Table150[[#This Row],[Account]]&lt;&gt;"",IF(Table150[[#This Row],[Aging ]]&lt;0,"OVERDUE","OK"),"")</f>
        <v>OK</v>
      </c>
    </row>
    <row r="18" spans="2:17" ht="15.75" thickBot="1" x14ac:dyDescent="0.3">
      <c r="B18" s="107">
        <f ca="1">IFERROR(IF(Table150[[#This Row],[Account]]&lt;&gt;"",OFFSET(B18,-1,0)+1,""),1)</f>
        <v>4</v>
      </c>
      <c r="C18" s="20">
        <v>972380</v>
      </c>
      <c r="D18" s="21" t="s">
        <v>1915</v>
      </c>
      <c r="E18" s="21" t="s">
        <v>1916</v>
      </c>
      <c r="F18" s="20" t="s">
        <v>1920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IF(Table150[[#This Row],[Account]]&lt;&gt;"",$N$8,"")</f>
        <v>0</v>
      </c>
      <c r="M18" s="24">
        <f>IF(Table150[[#This Row],[Account]]&lt;&gt;"",J18+L18-$N$7,"")</f>
        <v>252</v>
      </c>
      <c r="N18" s="25" t="str">
        <f>IF(Table150[[#This Row],[Account]]&lt;&gt;"",IF(Table150[[#This Row],[Aging ]]&lt;0,"OVERDUE","OK"),"")</f>
        <v>OK</v>
      </c>
    </row>
    <row r="19" spans="2:17" ht="15.75" thickBot="1" x14ac:dyDescent="0.3">
      <c r="B19" s="106">
        <f ca="1">IFERROR(IF(Table150[[#This Row],[Account]]&lt;&gt;"",OFFSET(B19,-1,0)+1,""),1)</f>
        <v>5</v>
      </c>
      <c r="C19" s="14">
        <v>972380</v>
      </c>
      <c r="D19" s="15" t="s">
        <v>1915</v>
      </c>
      <c r="E19" s="15" t="s">
        <v>1916</v>
      </c>
      <c r="F19" s="14" t="s">
        <v>1931</v>
      </c>
      <c r="G19" s="17">
        <v>43483</v>
      </c>
      <c r="H19" s="14" t="s">
        <v>1933</v>
      </c>
      <c r="I19" s="16">
        <v>-470.4</v>
      </c>
      <c r="J19" s="17">
        <v>43483</v>
      </c>
      <c r="K19" s="17">
        <v>43483</v>
      </c>
      <c r="L19" s="14">
        <f>IF(Table150[[#This Row],[Account]]&lt;&gt;"",$N$8,"")</f>
        <v>0</v>
      </c>
      <c r="M19" s="18">
        <f>IF(Table150[[#This Row],[Account]]&lt;&gt;"",J19+L19-$N$7,"")</f>
        <v>312</v>
      </c>
      <c r="N19" s="19" t="str">
        <f>IF(Table150[[#This Row],[Account]]&lt;&gt;"",IF(Table150[[#This Row],[Aging ]]&lt;0,"OVERDUE","OK"),"")</f>
        <v>OK</v>
      </c>
    </row>
    <row r="20" spans="2:17" ht="15.75" thickBot="1" x14ac:dyDescent="0.3">
      <c r="B20" s="107">
        <f ca="1">IFERROR(IF(Table150[[#This Row],[Account]]&lt;&gt;"",OFFSET(B20,-1,0)+1,""),1)</f>
        <v>6</v>
      </c>
      <c r="C20" s="20">
        <v>972380</v>
      </c>
      <c r="D20" s="21" t="s">
        <v>1915</v>
      </c>
      <c r="E20" s="21" t="s">
        <v>1916</v>
      </c>
      <c r="F20" s="20" t="s">
        <v>1932</v>
      </c>
      <c r="G20" s="23">
        <v>43483</v>
      </c>
      <c r="H20" s="20" t="s">
        <v>1933</v>
      </c>
      <c r="I20" s="22">
        <v>-470.4</v>
      </c>
      <c r="J20" s="23">
        <v>43483</v>
      </c>
      <c r="K20" s="23">
        <v>43483</v>
      </c>
      <c r="L20" s="20">
        <f>IF(Table150[[#This Row],[Account]]&lt;&gt;"",$N$8,"")</f>
        <v>0</v>
      </c>
      <c r="M20" s="24">
        <f>IF(Table150[[#This Row],[Account]]&lt;&gt;"",J20+L20-$N$7,"")</f>
        <v>312</v>
      </c>
      <c r="N20" s="25" t="str">
        <f>IF(Table150[[#This Row],[Account]]&lt;&gt;"",IF(Table150[[#This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1227.6999999999998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1227.6999999999998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1227.6999999999998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1227.6999999999998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971904</v>
      </c>
      <c r="D15" s="15" t="s">
        <v>1909</v>
      </c>
      <c r="E15" s="15" t="s">
        <v>1910</v>
      </c>
      <c r="F15" s="14" t="s">
        <v>1911</v>
      </c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>
        <f>IF(Table149[[#This Row],[Account]]&lt;&gt;"",$N$8,"")</f>
        <v>0</v>
      </c>
      <c r="M15" s="105">
        <f>IF(Table149[[#This Row],[Account]]&lt;&gt;"",J15+L15-$N$7,"")</f>
        <v>29</v>
      </c>
      <c r="N15" s="74" t="str">
        <f>IF(Table149[[#This Row],[Account]]&lt;&gt;"",IF(Table149[[#This Row],[Aging ]]&lt;0,"OVERDUE","OK"),"")</f>
        <v>OK</v>
      </c>
    </row>
    <row r="16" spans="2:14" ht="15.75" thickBot="1" x14ac:dyDescent="0.3">
      <c r="B16" s="107">
        <f ca="1">IFERROR(IF(Table149[[#This Row],[Account]]&lt;&gt;"",OFFSET(B16,-1,0)+1,""),1)</f>
        <v>2</v>
      </c>
      <c r="C16" s="20">
        <v>971904</v>
      </c>
      <c r="D16" s="21" t="s">
        <v>1909</v>
      </c>
      <c r="E16" s="21" t="s">
        <v>1910</v>
      </c>
      <c r="F16" s="20" t="s">
        <v>1912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IF(Table149[[#This Row],[Account]]&lt;&gt;"",$N$8,"")</f>
        <v>0</v>
      </c>
      <c r="M16" s="24">
        <f>IF(Table149[[#This Row],[Account]]&lt;&gt;"",J16+L16-$N$7,"")</f>
        <v>228</v>
      </c>
      <c r="N16" s="25" t="str">
        <f>IF(Table149[[#This Row],[Account]]&lt;&gt;"",IF(Table149[[#This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7423.5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7423.5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970215</v>
      </c>
      <c r="D15" s="15" t="s">
        <v>1902</v>
      </c>
      <c r="E15" s="15" t="s">
        <v>1903</v>
      </c>
      <c r="F15" s="14" t="s">
        <v>1904</v>
      </c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>
        <f>IF(Table148[[#This Row],[Account]]&lt;&gt;"",$N$8,"")</f>
        <v>0</v>
      </c>
      <c r="M15" s="105">
        <f>IF(Table148[[#This Row],[Account]]&lt;&gt;"",J15+L15-$N$7,"")</f>
        <v>88</v>
      </c>
      <c r="N15" s="74" t="str">
        <f>IF(Table148[[#This Row],[Account]]&lt;&gt;"",IF(Table148[[#This Row],[Aging ]]&lt;0,"OVERDUE","OK"),"")</f>
        <v>OK</v>
      </c>
    </row>
    <row r="16" spans="2:14" ht="15.75" thickBot="1" x14ac:dyDescent="0.3">
      <c r="B16" s="107">
        <f ca="1">IFERROR(IF(Table148[[#This Row],[Account]]&lt;&gt;"",OFFSET(B16,-1,0)+1,""),1)</f>
        <v>2</v>
      </c>
      <c r="C16" s="20">
        <v>970215</v>
      </c>
      <c r="D16" s="21" t="s">
        <v>1902</v>
      </c>
      <c r="E16" s="21" t="s">
        <v>1903</v>
      </c>
      <c r="F16" s="20" t="s">
        <v>1904</v>
      </c>
      <c r="G16" s="23">
        <v>43327</v>
      </c>
      <c r="H16" s="20" t="s">
        <v>1933</v>
      </c>
      <c r="I16" s="22">
        <v>-4895.63</v>
      </c>
      <c r="J16" s="23">
        <v>43327</v>
      </c>
      <c r="K16" s="23">
        <v>43327</v>
      </c>
      <c r="L16" s="20">
        <f>IF(Table148[[#This Row],[Account]]&lt;&gt;"",$N$8,"")</f>
        <v>0</v>
      </c>
      <c r="M16" s="24">
        <f>IF(Table148[[#This Row],[Account]]&lt;&gt;"",J16+L16-$N$7,"")</f>
        <v>156</v>
      </c>
      <c r="N16" s="25" t="str">
        <f>IF(Table148[[#This Row],[Account]]&lt;&gt;"",IF(Table148[[#This Row],[Aging ]]&lt;0,"OVERDUE","OK"),"")</f>
        <v>OK</v>
      </c>
    </row>
    <row r="17" spans="2:17" ht="15.75" thickBot="1" x14ac:dyDescent="0.3">
      <c r="B17" s="106">
        <f ca="1">IFERROR(IF(Table148[[#This Row],[Account]]&lt;&gt;"",OFFSET(B17,-1,0)+1,""),1)</f>
        <v>3</v>
      </c>
      <c r="C17" s="14">
        <v>970215</v>
      </c>
      <c r="D17" s="15" t="s">
        <v>1902</v>
      </c>
      <c r="E17" s="15" t="s">
        <v>1903</v>
      </c>
      <c r="F17" s="14" t="s">
        <v>1905</v>
      </c>
      <c r="G17" s="17">
        <v>43446</v>
      </c>
      <c r="H17" s="14">
        <v>9011881611</v>
      </c>
      <c r="I17" s="16">
        <v>3465</v>
      </c>
      <c r="J17" s="17">
        <v>43446</v>
      </c>
      <c r="K17" s="17">
        <v>43476</v>
      </c>
      <c r="L17" s="14">
        <f>IF(Table148[[#This Row],[Account]]&lt;&gt;"",$N$8,"")</f>
        <v>0</v>
      </c>
      <c r="M17" s="18">
        <f>IF(Table148[[#This Row],[Account]]&lt;&gt;"",J17+L17-$N$7,"")</f>
        <v>275</v>
      </c>
      <c r="N17" s="19" t="str">
        <f>IF(Table148[[#This Row],[Account]]&lt;&gt;"",IF(Table148[[#This Row],[Aging ]]&lt;0,"OVERDUE","OK"),"")</f>
        <v>OK</v>
      </c>
    </row>
    <row r="18" spans="2:17" ht="15.75" thickBot="1" x14ac:dyDescent="0.3">
      <c r="B18" s="107">
        <f ca="1">IFERROR(IF(Table148[[#This Row],[Account]]&lt;&gt;"",OFFSET(B18,-1,0)+1,""),1)</f>
        <v>4</v>
      </c>
      <c r="C18" s="20">
        <v>970215</v>
      </c>
      <c r="D18" s="21" t="s">
        <v>1902</v>
      </c>
      <c r="E18" s="21" t="s">
        <v>1903</v>
      </c>
      <c r="F18" s="20" t="s">
        <v>1906</v>
      </c>
      <c r="G18" s="23">
        <v>43462</v>
      </c>
      <c r="H18" s="20">
        <v>9012180736</v>
      </c>
      <c r="I18" s="22">
        <v>6363</v>
      </c>
      <c r="J18" s="23">
        <v>43462</v>
      </c>
      <c r="K18" s="23">
        <v>43492</v>
      </c>
      <c r="L18" s="20">
        <f>IF(Table148[[#This Row],[Account]]&lt;&gt;"",$N$8,"")</f>
        <v>0</v>
      </c>
      <c r="M18" s="24">
        <f>IF(Table148[[#This Row],[Account]]&lt;&gt;"",J18+L18-$N$7,"")</f>
        <v>291</v>
      </c>
      <c r="N18" s="25" t="str">
        <f>IF(Table148[[#This Row],[Account]]&lt;&gt;"",IF(Table148[[#This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14723.619999999999</v>
      </c>
    </row>
    <row r="20" spans="2:17" ht="15.75" thickBot="1" x14ac:dyDescent="0.3">
      <c r="G20" s="30" t="s">
        <v>21</v>
      </c>
      <c r="H20" s="31"/>
      <c r="I20" s="32">
        <f>SUM(I15:I18)</f>
        <v>14723.619999999999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14723.619999999999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14723.619999999999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1892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1893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967924</v>
      </c>
      <c r="D15" s="15" t="s">
        <v>1894</v>
      </c>
      <c r="E15" s="15" t="s">
        <v>1895</v>
      </c>
      <c r="F15" s="14" t="s">
        <v>1896</v>
      </c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>
        <f>IF(Table147[[#This Row],[Account]]&lt;&gt;"",$N$8,"")</f>
        <v>0</v>
      </c>
      <c r="M15" s="105">
        <f>IF(Table147[[#This Row],[Account]]&lt;&gt;"",J15+L15-$N$7,"")</f>
        <v>8</v>
      </c>
      <c r="N15" s="74" t="str">
        <f>IF(Table147[[#This Row],[Account]]&lt;&gt;"",IF(Table147[[#This Row],[Aging ]]&lt;0,"OVERDUE","OK"),"")</f>
        <v>OK</v>
      </c>
    </row>
    <row r="16" spans="2:14" ht="15.75" thickBot="1" x14ac:dyDescent="0.3">
      <c r="B16" s="107">
        <f ca="1">IFERROR(IF(Table147[[#This Row],[Account]]&lt;&gt;"",OFFSET(B16,-1,0)+1,""),1)</f>
        <v>2</v>
      </c>
      <c r="C16" s="20">
        <v>967924</v>
      </c>
      <c r="D16" s="21" t="s">
        <v>1894</v>
      </c>
      <c r="E16" s="21" t="s">
        <v>1895</v>
      </c>
      <c r="F16" s="20" t="s">
        <v>1897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IF(Table147[[#This Row],[Account]]&lt;&gt;"",$N$8,"")</f>
        <v>0</v>
      </c>
      <c r="M16" s="24">
        <f>IF(Table147[[#This Row],[Account]]&lt;&gt;"",J16+L16-$N$7,"")</f>
        <v>59</v>
      </c>
      <c r="N16" s="25" t="str">
        <f>IF(Table147[[#This Row],[Account]]&lt;&gt;"",IF(Table147[[#This Row],[Aging ]]&lt;0,"OVERDUE","OK"),"")</f>
        <v>OK</v>
      </c>
    </row>
    <row r="17" spans="2:17" ht="15.75" thickBot="1" x14ac:dyDescent="0.3">
      <c r="B17" s="106">
        <f ca="1">IFERROR(IF(Table147[[#This Row],[Account]]&lt;&gt;"",OFFSET(B17,-1,0)+1,""),1)</f>
        <v>3</v>
      </c>
      <c r="C17" s="14">
        <v>967924</v>
      </c>
      <c r="D17" s="15" t="s">
        <v>1894</v>
      </c>
      <c r="E17" s="15" t="s">
        <v>1895</v>
      </c>
      <c r="F17" s="14" t="s">
        <v>1898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IF(Table147[[#This Row],[Account]]&lt;&gt;"",$N$8,"")</f>
        <v>0</v>
      </c>
      <c r="M17" s="18">
        <f>IF(Table147[[#This Row],[Account]]&lt;&gt;"",J17+L17-$N$7,"")</f>
        <v>59</v>
      </c>
      <c r="N17" s="19" t="str">
        <f>IF(Table147[[#This Row],[Account]]&lt;&gt;"",IF(Table147[[#This Row],[Aging ]]&lt;0,"OVERDUE","OK"),"")</f>
        <v>OK</v>
      </c>
    </row>
    <row r="18" spans="2:17" ht="15.75" thickBot="1" x14ac:dyDescent="0.3">
      <c r="B18" s="107">
        <f ca="1">IFERROR(IF(Table147[[#This Row],[Account]]&lt;&gt;"",OFFSET(B18,-1,0)+1,""),1)</f>
        <v>4</v>
      </c>
      <c r="C18" s="20">
        <v>967924</v>
      </c>
      <c r="D18" s="21" t="s">
        <v>1894</v>
      </c>
      <c r="E18" s="21" t="s">
        <v>1895</v>
      </c>
      <c r="F18" s="20" t="s">
        <v>1899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IF(Table147[[#This Row],[Account]]&lt;&gt;"",$N$8,"")</f>
        <v>0</v>
      </c>
      <c r="M18" s="24">
        <f>IF(Table147[[#This Row],[Account]]&lt;&gt;"",J18+L18-$N$7,"")</f>
        <v>67</v>
      </c>
      <c r="N18" s="25" t="str">
        <f>IF(Table147[[#This Row],[Account]]&lt;&gt;"",IF(Table147[[#This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14807.5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14807.5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965810</v>
      </c>
      <c r="D15" s="15" t="s">
        <v>1889</v>
      </c>
      <c r="E15" s="15" t="s">
        <v>1890</v>
      </c>
      <c r="F15" s="14" t="s">
        <v>1891</v>
      </c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>
        <f>IF(Table146[[#This Row],[Account]]&lt;&gt;"",$N$8,"")</f>
        <v>0</v>
      </c>
      <c r="M15" s="105">
        <f>IF(Table146[[#This Row],[Account]]&lt;&gt;"",J15+L15-$N$7,"")</f>
        <v>-7</v>
      </c>
      <c r="N15" s="74" t="str">
        <f>IF(Table146[[#This Row],[Account]]&lt;&gt;"",IF(Table146[[#This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7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964857</v>
      </c>
      <c r="D15" s="15" t="s">
        <v>1883</v>
      </c>
      <c r="E15" s="15" t="s">
        <v>1884</v>
      </c>
      <c r="F15" s="14" t="s">
        <v>1885</v>
      </c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>
        <f>IF(Table145[[#This Row],[Account]]&lt;&gt;"",$N$8,"")</f>
        <v>0</v>
      </c>
      <c r="M15" s="105">
        <f>IF(Table145[[#This Row],[Account]]&lt;&gt;"",J15+L15-$N$7,"")</f>
        <v>59</v>
      </c>
      <c r="N15" s="74" t="str">
        <f>IF(Table145[[#This Row],[Account]]&lt;&gt;"",IF(Table145[[#This Row],[Aging ]]&lt;0,"OVERDUE","OK"),"")</f>
        <v>OK</v>
      </c>
    </row>
    <row r="16" spans="2:14" ht="15.75" thickBot="1" x14ac:dyDescent="0.3">
      <c r="B16" s="107">
        <f ca="1">IFERROR(IF(Table145[[#This Row],[Account]]&lt;&gt;"",OFFSET(B16,-1,0)+1,""),1)</f>
        <v>2</v>
      </c>
      <c r="C16" s="20">
        <v>964857</v>
      </c>
      <c r="D16" s="21" t="s">
        <v>1883</v>
      </c>
      <c r="E16" s="21" t="s">
        <v>1884</v>
      </c>
      <c r="F16" s="20" t="s">
        <v>1886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IF(Table145[[#This Row],[Account]]&lt;&gt;"",$N$8,"")</f>
        <v>0</v>
      </c>
      <c r="M16" s="24">
        <f>IF(Table145[[#This Row],[Account]]&lt;&gt;"",J16+L16-$N$7,"")</f>
        <v>235</v>
      </c>
      <c r="N16" s="25" t="str">
        <f>IF(Table145[[#This Row],[Account]]&lt;&gt;"",IF(Table145[[#This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1220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1220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6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961130</v>
      </c>
      <c r="D15" s="15" t="s">
        <v>1876</v>
      </c>
      <c r="E15" s="15" t="s">
        <v>1877</v>
      </c>
      <c r="F15" s="14" t="s">
        <v>1878</v>
      </c>
      <c r="G15" s="17">
        <v>43188</v>
      </c>
      <c r="H15" s="14" t="s">
        <v>1933</v>
      </c>
      <c r="I15" s="16">
        <v>-747.25</v>
      </c>
      <c r="J15" s="17">
        <v>43188</v>
      </c>
      <c r="K15" s="17">
        <v>43176</v>
      </c>
      <c r="L15" s="14">
        <f>IF(Table144[[#This Row],[Account]]&lt;&gt;"",$N$8,"")</f>
        <v>0</v>
      </c>
      <c r="M15" s="105">
        <f>IF(Table144[[#This Row],[Account]]&lt;&gt;"",J15+L15-$N$7,"")</f>
        <v>17</v>
      </c>
      <c r="N15" s="74" t="str">
        <f>IF(Table144[[#This Row],[Account]]&lt;&gt;"",IF(Table144[[#This Row],[Aging ]]&lt;0,"OVERDUE","OK"),"")</f>
        <v>OK</v>
      </c>
    </row>
    <row r="16" spans="2:14" ht="15.75" thickBot="1" x14ac:dyDescent="0.3">
      <c r="B16" s="107">
        <f ca="1">IFERROR(IF(Table144[[#This Row],[Account]]&lt;&gt;"",OFFSET(B16,-1,0)+1,""),1)</f>
        <v>2</v>
      </c>
      <c r="C16" s="20">
        <v>961130</v>
      </c>
      <c r="D16" s="21" t="s">
        <v>1876</v>
      </c>
      <c r="E16" s="21" t="s">
        <v>1877</v>
      </c>
      <c r="F16" s="20" t="s">
        <v>1878</v>
      </c>
      <c r="G16" s="23">
        <v>43146</v>
      </c>
      <c r="H16" s="20">
        <v>7000113774</v>
      </c>
      <c r="I16" s="22">
        <v>6242.25</v>
      </c>
      <c r="J16" s="23">
        <v>43146</v>
      </c>
      <c r="K16" s="23">
        <v>43176</v>
      </c>
      <c r="L16" s="20">
        <f>IF(Table144[[#This Row],[Account]]&lt;&gt;"",$N$8,"")</f>
        <v>0</v>
      </c>
      <c r="M16" s="24">
        <f>IF(Table144[[#This Row],[Account]]&lt;&gt;"",J16+L16-$N$7,"")</f>
        <v>-25</v>
      </c>
      <c r="N16" s="25" t="str">
        <f>IF(Table144[[#This Row],[Account]]&lt;&gt;"",IF(Table144[[#This Row],[Aging ]]&lt;0,"OVERDUE","OK"),"")</f>
        <v>OVERDUE</v>
      </c>
    </row>
    <row r="17" spans="2:17" ht="15.75" thickBot="1" x14ac:dyDescent="0.3">
      <c r="B17" s="106">
        <f ca="1">IFERROR(IF(Table144[[#This Row],[Account]]&lt;&gt;"",OFFSET(B17,-1,0)+1,""),1)</f>
        <v>3</v>
      </c>
      <c r="C17" s="14">
        <v>961130</v>
      </c>
      <c r="D17" s="15" t="s">
        <v>1876</v>
      </c>
      <c r="E17" s="15" t="s">
        <v>1877</v>
      </c>
      <c r="F17" s="14" t="s">
        <v>1879</v>
      </c>
      <c r="G17" s="17">
        <v>43350</v>
      </c>
      <c r="H17" s="14">
        <v>9010236144</v>
      </c>
      <c r="I17" s="16">
        <v>5006.3999999999996</v>
      </c>
      <c r="J17" s="17">
        <v>43350</v>
      </c>
      <c r="K17" s="17">
        <v>43440</v>
      </c>
      <c r="L17" s="14">
        <f>IF(Table144[[#This Row],[Account]]&lt;&gt;"",$N$8,"")</f>
        <v>0</v>
      </c>
      <c r="M17" s="18">
        <f>IF(Table144[[#This Row],[Account]]&lt;&gt;"",J17+L17-$N$7,"")</f>
        <v>179</v>
      </c>
      <c r="N17" s="19" t="str">
        <f>IF(Table144[[#This Row],[Account]]&lt;&gt;"",IF(Table144[[#This Row],[Aging ]]&lt;0,"OVERDUE","OK"),"")</f>
        <v>OK</v>
      </c>
    </row>
    <row r="18" spans="2:17" ht="15.75" thickBot="1" x14ac:dyDescent="0.3">
      <c r="B18" s="107">
        <f ca="1">IFERROR(IF(Table144[[#This Row],[Account]]&lt;&gt;"",OFFSET(B18,-1,0)+1,""),1)</f>
        <v>4</v>
      </c>
      <c r="C18" s="20">
        <v>961130</v>
      </c>
      <c r="D18" s="21" t="s">
        <v>1876</v>
      </c>
      <c r="E18" s="21" t="s">
        <v>1877</v>
      </c>
      <c r="F18" s="20" t="s">
        <v>1880</v>
      </c>
      <c r="G18" s="23">
        <v>43413</v>
      </c>
      <c r="H18" s="20">
        <v>9011319263</v>
      </c>
      <c r="I18" s="22">
        <v>3406.2</v>
      </c>
      <c r="J18" s="23">
        <v>43413</v>
      </c>
      <c r="K18" s="23">
        <v>43503</v>
      </c>
      <c r="L18" s="20">
        <f>IF(Table144[[#This Row],[Account]]&lt;&gt;"",$N$8,"")</f>
        <v>0</v>
      </c>
      <c r="M18" s="24">
        <f>IF(Table144[[#This Row],[Account]]&lt;&gt;"",J18+L18-$N$7,"")</f>
        <v>242</v>
      </c>
      <c r="N18" s="25" t="str">
        <f>IF(Table144[[#This Row],[Account]]&lt;&gt;"",IF(Table144[[#This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13907.599999999999</v>
      </c>
    </row>
    <row r="20" spans="2:17" ht="15.75" thickBot="1" x14ac:dyDescent="0.3">
      <c r="G20" s="30" t="s">
        <v>21</v>
      </c>
      <c r="H20" s="31"/>
      <c r="I20" s="32">
        <f>SUM(I15:I18)</f>
        <v>13907.599999999999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7665.3499999999995</v>
      </c>
      <c r="E25" s="40">
        <f>SUMIFS(I15:I18,M15:M18,"&gt;="&amp;-30,M15:M18,"&lt;="&amp;-1)</f>
        <v>6242.25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13907.599999999999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6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959523</v>
      </c>
      <c r="D15" s="15" t="s">
        <v>1871</v>
      </c>
      <c r="E15" s="15" t="s">
        <v>1872</v>
      </c>
      <c r="F15" s="14" t="s">
        <v>1873</v>
      </c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>
        <f>IF(Table143[[#This Row],[Account]]&lt;&gt;"",$N$8,"")</f>
        <v>0</v>
      </c>
      <c r="M15" s="105">
        <f>IF(Table143[[#This Row],[Account]]&lt;&gt;"",J15+L15-$N$7,"")</f>
        <v>32</v>
      </c>
      <c r="N15" s="74" t="str">
        <f>IF(Table143[[#This Row],[Account]]&lt;&gt;"",IF(Table143[[#This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9581.25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9581.25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956513</v>
      </c>
      <c r="D15" s="15" t="s">
        <v>1866</v>
      </c>
      <c r="E15" s="15" t="s">
        <v>1867</v>
      </c>
      <c r="F15" s="14" t="s">
        <v>1868</v>
      </c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>
        <f>IF(Table142[[#This Row],[Account]]&lt;&gt;"",$N$8,"")</f>
        <v>0</v>
      </c>
      <c r="M15" s="105">
        <f>IF(Table142[[#This Row],[Account]]&lt;&gt;"",J15+L15-$N$7,"")</f>
        <v>-25</v>
      </c>
      <c r="N15" s="74" t="str">
        <f>IF(Table142[[#This Row],[Account]]&lt;&gt;"",IF(Table142[[#This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949817</v>
      </c>
      <c r="D15" s="15" t="s">
        <v>1861</v>
      </c>
      <c r="E15" s="15" t="s">
        <v>1862</v>
      </c>
      <c r="F15" s="14" t="s">
        <v>1863</v>
      </c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>
        <f>IF(Table141[[#This Row],[Account]]&lt;&gt;"",$N$8,"")</f>
        <v>0</v>
      </c>
      <c r="M15" s="105">
        <f>IF(Table141[[#This Row],[Account]]&lt;&gt;"",J15+L15-$N$7,"")</f>
        <v>-74</v>
      </c>
      <c r="N15" s="74" t="str">
        <f>IF(Table141[[#This Row],[Account]]&lt;&gt;"",IF(Table141[[#This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5750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5750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1854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939476</v>
      </c>
      <c r="D15" s="15" t="s">
        <v>1855</v>
      </c>
      <c r="E15" s="15" t="s">
        <v>1856</v>
      </c>
      <c r="F15" s="14" t="s">
        <v>1857</v>
      </c>
      <c r="G15" s="17">
        <v>43271</v>
      </c>
      <c r="H15" s="14" t="s">
        <v>1933</v>
      </c>
      <c r="I15" s="16">
        <v>-1270.5</v>
      </c>
      <c r="J15" s="17">
        <v>43271</v>
      </c>
      <c r="K15" s="17">
        <v>43271</v>
      </c>
      <c r="L15" s="14">
        <f>IF(Table140[[#This Row],[Account]]&lt;&gt;"",$N$8,"")</f>
        <v>0</v>
      </c>
      <c r="M15" s="105">
        <f>IF(Table140[[#This Row],[Account]]&lt;&gt;"",J15+L15-$N$7,"")</f>
        <v>100</v>
      </c>
      <c r="N15" s="74" t="str">
        <f>IF(Table140[[#This Row],[Account]]&lt;&gt;"",IF(Table140[[#This Row],[Aging ]]&lt;0,"OVERDUE","OK"),"")</f>
        <v>OK</v>
      </c>
    </row>
    <row r="16" spans="2:14" ht="15.75" thickBot="1" x14ac:dyDescent="0.3">
      <c r="B16" s="107">
        <f ca="1">IFERROR(IF(Table140[[#This Row],[Account]]&lt;&gt;"",OFFSET(B16,-1,0)+1,""),1)</f>
        <v>2</v>
      </c>
      <c r="C16" s="20">
        <v>939476</v>
      </c>
      <c r="D16" s="21" t="s">
        <v>1855</v>
      </c>
      <c r="E16" s="21" t="s">
        <v>1856</v>
      </c>
      <c r="F16" s="20" t="s">
        <v>1857</v>
      </c>
      <c r="G16" s="23">
        <v>43181</v>
      </c>
      <c r="H16" s="20">
        <v>9007487149</v>
      </c>
      <c r="I16" s="22">
        <v>7665</v>
      </c>
      <c r="J16" s="23">
        <v>43181</v>
      </c>
      <c r="K16" s="23">
        <v>43271</v>
      </c>
      <c r="L16" s="20">
        <f>IF(Table140[[#This Row],[Account]]&lt;&gt;"",$N$8,"")</f>
        <v>0</v>
      </c>
      <c r="M16" s="24">
        <f>IF(Table140[[#This Row],[Account]]&lt;&gt;"",J16+L16-$N$7,"")</f>
        <v>10</v>
      </c>
      <c r="N16" s="25" t="str">
        <f>IF(Table140[[#This Row],[Account]]&lt;&gt;"",IF(Table140[[#This Row],[Aging ]]&lt;0,"OVERDUE","OK"),"")</f>
        <v>OK</v>
      </c>
    </row>
    <row r="17" spans="2:17" ht="15.75" thickBot="1" x14ac:dyDescent="0.3">
      <c r="B17" s="106">
        <f ca="1">IFERROR(IF(Table140[[#This Row],[Account]]&lt;&gt;"",OFFSET(B17,-1,0)+1,""),1)</f>
        <v>3</v>
      </c>
      <c r="C17" s="14">
        <v>939476</v>
      </c>
      <c r="D17" s="15" t="s">
        <v>1855</v>
      </c>
      <c r="E17" s="15" t="s">
        <v>1856</v>
      </c>
      <c r="F17" s="14" t="s">
        <v>1858</v>
      </c>
      <c r="G17" s="17">
        <v>43276</v>
      </c>
      <c r="H17" s="14">
        <v>7000156449</v>
      </c>
      <c r="I17" s="16">
        <v>1050</v>
      </c>
      <c r="J17" s="17">
        <v>43276</v>
      </c>
      <c r="K17" s="17">
        <v>43306</v>
      </c>
      <c r="L17" s="14">
        <f>IF(Table140[[#This Row],[Account]]&lt;&gt;"",$N$8,"")</f>
        <v>0</v>
      </c>
      <c r="M17" s="18">
        <f>IF(Table140[[#This Row],[Account]]&lt;&gt;"",J17+L17-$N$7,"")</f>
        <v>105</v>
      </c>
      <c r="N17" s="19" t="str">
        <f>IF(Table140[[#This Row],[Account]]&lt;&gt;"",IF(Table140[[#This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7444.5</v>
      </c>
    </row>
    <row r="19" spans="2:17" ht="15.75" thickBot="1" x14ac:dyDescent="0.3">
      <c r="G19" s="30" t="s">
        <v>21</v>
      </c>
      <c r="H19" s="31"/>
      <c r="I19" s="32">
        <f>SUM(I15:I17)</f>
        <v>7444.5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7444.5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7444.5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921178</v>
      </c>
      <c r="D15" s="15" t="s">
        <v>1847</v>
      </c>
      <c r="E15" s="15" t="s">
        <v>1848</v>
      </c>
      <c r="F15" s="14" t="s">
        <v>1849</v>
      </c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>
        <f>IF(Table139[[#This Row],[Account]]&lt;&gt;"",$N$8,"")</f>
        <v>0</v>
      </c>
      <c r="M15" s="105">
        <f>IF(Table139[[#This Row],[Account]]&lt;&gt;"",J15+L15-$N$7,"")</f>
        <v>-285</v>
      </c>
      <c r="N15" s="74" t="str">
        <f>IF(Table139[[#This Row],[Account]]&lt;&gt;"",IF(Table139[[#This Row],[Aging ]]&lt;0,"OVERDUE","OK"),"")</f>
        <v>OVERDUE</v>
      </c>
    </row>
    <row r="16" spans="2:14" ht="15.75" thickBot="1" x14ac:dyDescent="0.3">
      <c r="B16" s="107">
        <f ca="1">IFERROR(IF(Table139[[#This Row],[Account]]&lt;&gt;"",OFFSET(B16,-1,0)+1,""),1)</f>
        <v>2</v>
      </c>
      <c r="C16" s="20">
        <v>921178</v>
      </c>
      <c r="D16" s="21" t="s">
        <v>1847</v>
      </c>
      <c r="E16" s="21" t="s">
        <v>1848</v>
      </c>
      <c r="F16" s="20" t="s">
        <v>1850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IF(Table139[[#This Row],[Account]]&lt;&gt;"",$N$8,"")</f>
        <v>0</v>
      </c>
      <c r="M16" s="24">
        <f>IF(Table139[[#This Row],[Account]]&lt;&gt;"",J16+L16-$N$7,"")</f>
        <v>-95</v>
      </c>
      <c r="N16" s="25" t="str">
        <f>IF(Table139[[#This Row],[Account]]&lt;&gt;"",IF(Table139[[#This Row],[Aging ]]&lt;0,"OVERDUE","OK"),"")</f>
        <v>OVERDUE</v>
      </c>
    </row>
    <row r="17" spans="2:17" ht="15.75" thickBot="1" x14ac:dyDescent="0.3">
      <c r="B17" s="106">
        <f ca="1">IFERROR(IF(Table139[[#This Row],[Account]]&lt;&gt;"",OFFSET(B17,-1,0)+1,""),1)</f>
        <v>3</v>
      </c>
      <c r="C17" s="14">
        <v>921178</v>
      </c>
      <c r="D17" s="15" t="s">
        <v>1847</v>
      </c>
      <c r="E17" s="15" t="s">
        <v>1848</v>
      </c>
      <c r="F17" s="14" t="s">
        <v>1851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IF(Table139[[#This Row],[Account]]&lt;&gt;"",$N$8,"")</f>
        <v>0</v>
      </c>
      <c r="M17" s="18">
        <f>IF(Table139[[#This Row],[Account]]&lt;&gt;"",J17+L17-$N$7,"")</f>
        <v>-95</v>
      </c>
      <c r="N17" s="19" t="str">
        <f>IF(Table139[[#This Row],[Account]]&lt;&gt;"",IF(Table139[[#This Row],[Aging ]]&lt;0,"OVERDUE","OK"),"")</f>
        <v>OVERDUE</v>
      </c>
    </row>
    <row r="18" spans="2:17" ht="15.75" thickBot="1" x14ac:dyDescent="0.3">
      <c r="B18" s="107">
        <f ca="1">IFERROR(IF(Table139[[#This Row],[Account]]&lt;&gt;"",OFFSET(B18,-1,0)+1,""),1)</f>
        <v>4</v>
      </c>
      <c r="C18" s="20">
        <v>921178</v>
      </c>
      <c r="D18" s="21" t="s">
        <v>1847</v>
      </c>
      <c r="E18" s="21" t="s">
        <v>1848</v>
      </c>
      <c r="F18" s="20" t="s">
        <v>1852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IF(Table139[[#This Row],[Account]]&lt;&gt;"",$N$8,"")</f>
        <v>0</v>
      </c>
      <c r="M18" s="24">
        <f>IF(Table139[[#This Row],[Account]]&lt;&gt;"",J18+L18-$N$7,"")</f>
        <v>-81</v>
      </c>
      <c r="N18" s="25" t="str">
        <f>IF(Table139[[#This Row],[Account]]&lt;&gt;"",IF(Table139[[#This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4562.5</v>
      </c>
      <c r="H25" s="39">
        <f>SUMIFS(I15:I18,M15:M18,"&gt;="&amp;-120,M15:M18,"&lt;="&amp;-91)</f>
        <v>9760</v>
      </c>
      <c r="I25" s="39">
        <f>SUMIFS(I15:I18,M15:M18,"&lt;="&amp;-121)</f>
        <v>2000</v>
      </c>
      <c r="J25" s="41">
        <f>SUM(D25:I25)</f>
        <v>16322.5</v>
      </c>
      <c r="K25" s="42">
        <f>SUM(H25:I25)</f>
        <v>11760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5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920907</v>
      </c>
      <c r="D15" s="15" t="s">
        <v>1842</v>
      </c>
      <c r="E15" s="15" t="s">
        <v>1843</v>
      </c>
      <c r="F15" s="14" t="s">
        <v>1844</v>
      </c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>
        <f>IF(Table138[[#This Row],[Account]]&lt;&gt;"",$N$8,"")</f>
        <v>0</v>
      </c>
      <c r="M15" s="105">
        <f>IF(Table138[[#This Row],[Account]]&lt;&gt;"",J15+L15-$N$7,"")</f>
        <v>-75</v>
      </c>
      <c r="N15" s="74" t="str">
        <f>IF(Table138[[#This Row],[Account]]&lt;&gt;"",IF(Table138[[#This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1000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1000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919737</v>
      </c>
      <c r="D15" s="15" t="s">
        <v>1837</v>
      </c>
      <c r="E15" s="15" t="s">
        <v>1838</v>
      </c>
      <c r="F15" s="14" t="s">
        <v>1839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IF(Table137[[#This Row],[Account]]&lt;&gt;"",$N$8,"")</f>
        <v>0</v>
      </c>
      <c r="M15" s="105">
        <f>IF(Table137[[#This Row],[Account]]&lt;&gt;"",J15+L15-$N$7,"")</f>
        <v>126</v>
      </c>
      <c r="N15" s="74" t="str">
        <f>IF(Table137[[#This Row],[Account]]&lt;&gt;"",IF(Table137[[#This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919718</v>
      </c>
      <c r="D15" s="15" t="s">
        <v>1832</v>
      </c>
      <c r="E15" s="15" t="s">
        <v>1833</v>
      </c>
      <c r="F15" s="14" t="s">
        <v>1834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IF(Table136[[#This Row],[Account]]&lt;&gt;"",$N$8,"")</f>
        <v>0</v>
      </c>
      <c r="M15" s="105">
        <f>IF(Table136[[#This Row],[Account]]&lt;&gt;"",J15+L15-$N$7,"")</f>
        <v>126</v>
      </c>
      <c r="N15" s="74" t="str">
        <f>IF(Table136[[#This Row],[Account]]&lt;&gt;"",IF(Table136[[#This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919099</v>
      </c>
      <c r="D15" s="15" t="s">
        <v>1827</v>
      </c>
      <c r="E15" s="15" t="s">
        <v>1828</v>
      </c>
      <c r="F15" s="14" t="s">
        <v>1829</v>
      </c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>
        <f>IF(Table135[[#This Row],[Account]]&lt;&gt;"",$N$8,"")</f>
        <v>0</v>
      </c>
      <c r="M15" s="105">
        <f>IF(Table135[[#This Row],[Account]]&lt;&gt;"",J15+L15-$N$7,"")</f>
        <v>10</v>
      </c>
      <c r="N15" s="74" t="str">
        <f>IF(Table135[[#This Row],[Account]]&lt;&gt;"",IF(Table135[[#This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7300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7300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918725</v>
      </c>
      <c r="D15" s="15" t="s">
        <v>1822</v>
      </c>
      <c r="E15" s="15" t="s">
        <v>1823</v>
      </c>
      <c r="F15" s="14" t="s">
        <v>1824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IF(Table134[[#This Row],[Account]]&lt;&gt;"",$N$8,"")</f>
        <v>0</v>
      </c>
      <c r="M15" s="105">
        <f>IF(Table134[[#This Row],[Account]]&lt;&gt;"",J15+L15-$N$7,"")</f>
        <v>126</v>
      </c>
      <c r="N15" s="74" t="str">
        <f>IF(Table134[[#This Row],[Account]]&lt;&gt;"",IF(Table134[[#This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918536</v>
      </c>
      <c r="D15" s="15" t="s">
        <v>1817</v>
      </c>
      <c r="E15" s="15" t="s">
        <v>1818</v>
      </c>
      <c r="F15" s="14" t="s">
        <v>1819</v>
      </c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>
        <f>IF(Table133[[#This Row],[Account]]&lt;&gt;"",$N$8,"")</f>
        <v>0</v>
      </c>
      <c r="M15" s="105">
        <f>IF(Table133[[#This Row],[Account]]&lt;&gt;"",J15+L15-$N$7,"")</f>
        <v>-320</v>
      </c>
      <c r="N15" s="74" t="str">
        <f>IF(Table133[[#This Row],[Account]]&lt;&gt;"",IF(Table133[[#This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2000</v>
      </c>
      <c r="J22" s="41">
        <f>SUM(D22:I22)</f>
        <v>2000</v>
      </c>
      <c r="K22" s="42">
        <f>SUM(H22:I22)</f>
        <v>2000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917021</v>
      </c>
      <c r="D15" s="15" t="s">
        <v>1812</v>
      </c>
      <c r="E15" s="15" t="s">
        <v>1813</v>
      </c>
      <c r="F15" s="14" t="s">
        <v>1814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IF(Table132[[#This Row],[Account]]&lt;&gt;"",$N$8,"")</f>
        <v>0</v>
      </c>
      <c r="M15" s="105">
        <f>IF(Table132[[#This Row],[Account]]&lt;&gt;"",J15+L15-$N$7,"")</f>
        <v>126</v>
      </c>
      <c r="N15" s="74" t="str">
        <f>IF(Table132[[#This Row],[Account]]&lt;&gt;"",IF(Table132[[#This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916775</v>
      </c>
      <c r="D15" s="15" t="s">
        <v>1807</v>
      </c>
      <c r="E15" s="15" t="s">
        <v>1808</v>
      </c>
      <c r="F15" s="14" t="s">
        <v>1809</v>
      </c>
      <c r="G15" s="17">
        <v>43189</v>
      </c>
      <c r="H15" s="14" t="s">
        <v>1933</v>
      </c>
      <c r="I15" s="16">
        <v>-300</v>
      </c>
      <c r="J15" s="17">
        <v>43189</v>
      </c>
      <c r="K15" s="17">
        <v>43189</v>
      </c>
      <c r="L15" s="14">
        <f>IF(Table131[[#This Row],[Account]]&lt;&gt;"",$N$8,"")</f>
        <v>0</v>
      </c>
      <c r="M15" s="105">
        <f>IF(Table131[[#This Row],[Account]]&lt;&gt;"",J15+L15-$N$7,"")</f>
        <v>18</v>
      </c>
      <c r="N15" s="74" t="str">
        <f>IF(Table131[[#This Row],[Account]]&lt;&gt;"",IF(Table131[[#This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916703</v>
      </c>
      <c r="D15" s="15" t="s">
        <v>1802</v>
      </c>
      <c r="E15" s="15" t="s">
        <v>1803</v>
      </c>
      <c r="F15" s="14" t="s">
        <v>1804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IF(Table130[[#This Row],[Account]]&lt;&gt;"",$N$8,"")</f>
        <v>0</v>
      </c>
      <c r="M15" s="105">
        <f>IF(Table130[[#This Row],[Account]]&lt;&gt;"",J15+L15-$N$7,"")</f>
        <v>126</v>
      </c>
      <c r="N15" s="74" t="str">
        <f>IF(Table130[[#This Row],[Account]]&lt;&gt;"",IF(Table130[[#This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916417</v>
      </c>
      <c r="D15" s="15" t="s">
        <v>1797</v>
      </c>
      <c r="E15" s="15" t="s">
        <v>1798</v>
      </c>
      <c r="F15" s="14" t="s">
        <v>1799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IF(Table129[[#This Row],[Account]]&lt;&gt;"",$N$8,"")</f>
        <v>0</v>
      </c>
      <c r="M15" s="105">
        <f>IF(Table129[[#This Row],[Account]]&lt;&gt;"",J15+L15-$N$7,"")</f>
        <v>126</v>
      </c>
      <c r="N15" s="74" t="str">
        <f>IF(Table129[[#This Row],[Account]]&lt;&gt;"",IF(Table129[[#This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916414</v>
      </c>
      <c r="D15" s="15" t="s">
        <v>1792</v>
      </c>
      <c r="E15" s="15" t="s">
        <v>1793</v>
      </c>
      <c r="F15" s="14" t="s">
        <v>1794</v>
      </c>
      <c r="G15" s="17">
        <v>43269</v>
      </c>
      <c r="H15" s="14" t="s">
        <v>1933</v>
      </c>
      <c r="I15" s="16">
        <v>-300</v>
      </c>
      <c r="J15" s="17">
        <v>43269</v>
      </c>
      <c r="K15" s="17">
        <v>43269</v>
      </c>
      <c r="L15" s="14">
        <f>IF(Table128[[#This Row],[Account]]&lt;&gt;"",$N$8,"")</f>
        <v>0</v>
      </c>
      <c r="M15" s="105">
        <f>IF(Table128[[#This Row],[Account]]&lt;&gt;"",J15+L15-$N$7,"")</f>
        <v>98</v>
      </c>
      <c r="N15" s="74" t="str">
        <f>IF(Table128[[#This Row],[Account]]&lt;&gt;"",IF(Table128[[#This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1782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1783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897863</v>
      </c>
      <c r="D15" s="15" t="s">
        <v>1784</v>
      </c>
      <c r="E15" s="15" t="s">
        <v>1785</v>
      </c>
      <c r="F15" s="14" t="s">
        <v>1786</v>
      </c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>
        <f>IF(Table127[[#This Row],[Account]]&lt;&gt;"",$N$8,"")</f>
        <v>0</v>
      </c>
      <c r="M15" s="105">
        <f>IF(Table127[[#This Row],[Account]]&lt;&gt;"",J15+L15-$N$7,"")</f>
        <v>-277</v>
      </c>
      <c r="N15" s="74" t="str">
        <f>IF(Table127[[#This Row],[Account]]&lt;&gt;"",IF(Table127[[#This Row],[Aging ]]&lt;0,"OVERDUE","OK"),"")</f>
        <v>OVERDUE</v>
      </c>
    </row>
    <row r="16" spans="2:14" ht="15.75" thickBot="1" x14ac:dyDescent="0.3">
      <c r="B16" s="107">
        <f ca="1">IFERROR(IF(Table127[[#This Row],[Account]]&lt;&gt;"",OFFSET(B16,-1,0)+1,""),1)</f>
        <v>2</v>
      </c>
      <c r="C16" s="20">
        <v>897863</v>
      </c>
      <c r="D16" s="21" t="s">
        <v>1784</v>
      </c>
      <c r="E16" s="21" t="s">
        <v>1785</v>
      </c>
      <c r="F16" s="20" t="s">
        <v>1787</v>
      </c>
      <c r="G16" s="23">
        <v>43320</v>
      </c>
      <c r="H16" s="20" t="s">
        <v>1933</v>
      </c>
      <c r="I16" s="22">
        <v>-1916.25</v>
      </c>
      <c r="J16" s="23">
        <v>43320</v>
      </c>
      <c r="K16" s="23">
        <v>43402</v>
      </c>
      <c r="L16" s="20">
        <f>IF(Table127[[#This Row],[Account]]&lt;&gt;"",$N$8,"")</f>
        <v>0</v>
      </c>
      <c r="M16" s="24">
        <f>IF(Table127[[#This Row],[Account]]&lt;&gt;"",J16+L16-$N$7,"")</f>
        <v>149</v>
      </c>
      <c r="N16" s="25" t="str">
        <f>IF(Table127[[#This Row],[Account]]&lt;&gt;"",IF(Table127[[#This Row],[Aging ]]&lt;0,"OVERDUE","OK"),"")</f>
        <v>OK</v>
      </c>
    </row>
    <row r="17" spans="2:17" ht="15.75" thickBot="1" x14ac:dyDescent="0.3">
      <c r="B17" s="106">
        <f ca="1">IFERROR(IF(Table127[[#This Row],[Account]]&lt;&gt;"",OFFSET(B17,-1,0)+1,""),1)</f>
        <v>3</v>
      </c>
      <c r="C17" s="14">
        <v>897863</v>
      </c>
      <c r="D17" s="15" t="s">
        <v>1784</v>
      </c>
      <c r="E17" s="15" t="s">
        <v>1785</v>
      </c>
      <c r="F17" s="14" t="s">
        <v>1788</v>
      </c>
      <c r="G17" s="17">
        <v>43312</v>
      </c>
      <c r="H17" s="14">
        <v>9007824030</v>
      </c>
      <c r="I17" s="16">
        <v>4790.63</v>
      </c>
      <c r="J17" s="17">
        <v>43312</v>
      </c>
      <c r="K17" s="17">
        <v>43402</v>
      </c>
      <c r="L17" s="14">
        <f>IF(Table127[[#This Row],[Account]]&lt;&gt;"",$N$8,"")</f>
        <v>0</v>
      </c>
      <c r="M17" s="18">
        <f>IF(Table127[[#This Row],[Account]]&lt;&gt;"",J17+L17-$N$7,"")</f>
        <v>141</v>
      </c>
      <c r="N17" s="19" t="str">
        <f>IF(Table127[[#This Row],[Account]]&lt;&gt;"",IF(Table127[[#This Row],[Aging ]]&lt;0,"OVERDUE","OK"),"")</f>
        <v>OK</v>
      </c>
    </row>
    <row r="18" spans="2:17" ht="15.75" thickBot="1" x14ac:dyDescent="0.3">
      <c r="B18" s="107">
        <f ca="1">IFERROR(IF(Table127[[#This Row],[Account]]&lt;&gt;"",OFFSET(B18,-1,0)+1,""),1)</f>
        <v>4</v>
      </c>
      <c r="C18" s="20">
        <v>897863</v>
      </c>
      <c r="D18" s="21" t="s">
        <v>1784</v>
      </c>
      <c r="E18" s="21" t="s">
        <v>1785</v>
      </c>
      <c r="F18" s="20" t="s">
        <v>1787</v>
      </c>
      <c r="G18" s="23">
        <v>43312</v>
      </c>
      <c r="H18" s="20">
        <v>9007824029</v>
      </c>
      <c r="I18" s="22">
        <v>9581.25</v>
      </c>
      <c r="J18" s="23">
        <v>43312</v>
      </c>
      <c r="K18" s="23">
        <v>43402</v>
      </c>
      <c r="L18" s="20">
        <f>IF(Table127[[#This Row],[Account]]&lt;&gt;"",$N$8,"")</f>
        <v>0</v>
      </c>
      <c r="M18" s="24">
        <f>IF(Table127[[#This Row],[Account]]&lt;&gt;"",J18+L18-$N$7,"")</f>
        <v>141</v>
      </c>
      <c r="N18" s="25" t="str">
        <f>IF(Table127[[#This Row],[Account]]&lt;&gt;"",IF(Table127[[#This Row],[Aging ]]&lt;0,"OVERDUE","OK"),"")</f>
        <v>OK</v>
      </c>
    </row>
    <row r="19" spans="2:17" ht="15.75" thickBot="1" x14ac:dyDescent="0.3">
      <c r="B19" s="106">
        <f ca="1">IFERROR(IF(Table127[[#This Row],[Account]]&lt;&gt;"",OFFSET(B19,-1,0)+1,""),1)</f>
        <v>5</v>
      </c>
      <c r="C19" s="14">
        <v>897863</v>
      </c>
      <c r="D19" s="15" t="s">
        <v>1784</v>
      </c>
      <c r="E19" s="15" t="s">
        <v>1785</v>
      </c>
      <c r="F19" s="14" t="s">
        <v>1789</v>
      </c>
      <c r="G19" s="17">
        <v>43312</v>
      </c>
      <c r="H19" s="14">
        <v>9008057444</v>
      </c>
      <c r="I19" s="16">
        <v>4790.63</v>
      </c>
      <c r="J19" s="17">
        <v>43312</v>
      </c>
      <c r="K19" s="17">
        <v>43402</v>
      </c>
      <c r="L19" s="14">
        <f>IF(Table127[[#This Row],[Account]]&lt;&gt;"",$N$8,"")</f>
        <v>0</v>
      </c>
      <c r="M19" s="18">
        <f>IF(Table127[[#This Row],[Account]]&lt;&gt;"",J19+L19-$N$7,"")</f>
        <v>141</v>
      </c>
      <c r="N19" s="19" t="str">
        <f>IF(Table127[[#This Row],[Account]]&lt;&gt;"",IF(Table127[[#This Row],[Aging ]]&lt;0,"OVERDUE","OK"),"")</f>
        <v>OK</v>
      </c>
    </row>
    <row r="20" spans="2:17" ht="15.75" thickBot="1" x14ac:dyDescent="0.3">
      <c r="G20" s="27" t="s">
        <v>20</v>
      </c>
      <c r="H20" s="28"/>
      <c r="I20" s="29">
        <f>SUM(I15:I19)</f>
        <v>26146.260000000002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26146.260000000002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6" t="s">
        <v>23</v>
      </c>
      <c r="C25" s="116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6"/>
      <c r="C26" s="117"/>
      <c r="D26" s="39">
        <f>SUMIFS(I15:I19,M15:M19,"&gt;="&amp;0)</f>
        <v>17246.260000000002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8900</v>
      </c>
      <c r="J26" s="41">
        <f>SUM(D26:I26)</f>
        <v>26146.260000000002</v>
      </c>
      <c r="K26" s="42">
        <f>SUM(H26:I26)</f>
        <v>8900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3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886014</v>
      </c>
      <c r="D15" s="15" t="s">
        <v>1779</v>
      </c>
      <c r="E15" s="15" t="s">
        <v>1780</v>
      </c>
      <c r="F15" s="14" t="s">
        <v>1781</v>
      </c>
      <c r="G15" s="17">
        <v>43187</v>
      </c>
      <c r="H15" s="14" t="s">
        <v>1933</v>
      </c>
      <c r="I15" s="16">
        <v>-150</v>
      </c>
      <c r="J15" s="17">
        <v>43187</v>
      </c>
      <c r="K15" s="17">
        <v>43187</v>
      </c>
      <c r="L15" s="14">
        <f>IF(Table126[[#This Row],[Account]]&lt;&gt;"",$N$8,"")</f>
        <v>0</v>
      </c>
      <c r="M15" s="105">
        <f>IF(Table126[[#This Row],[Account]]&lt;&gt;"",J15+L15-$N$7,"")</f>
        <v>16</v>
      </c>
      <c r="N15" s="74" t="str">
        <f>IF(Table126[[#This Row],[Account]]&lt;&gt;"",IF(Table126[[#This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-150</v>
      </c>
    </row>
    <row r="17" spans="2:17" ht="15.75" thickBot="1" x14ac:dyDescent="0.3">
      <c r="G17" s="30" t="s">
        <v>21</v>
      </c>
      <c r="H17" s="31"/>
      <c r="I17" s="32">
        <f>SUM(I15:I15)</f>
        <v>-150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518226</v>
      </c>
      <c r="D15" s="15" t="s">
        <v>1773</v>
      </c>
      <c r="E15" s="15" t="s">
        <v>1774</v>
      </c>
      <c r="F15" s="14" t="s">
        <v>1775</v>
      </c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>
        <f>IF(Table125[[#This Row],[Account]]&lt;&gt;"",$N$8,"")</f>
        <v>0</v>
      </c>
      <c r="M15" s="105">
        <f>IF(Table125[[#This Row],[Account]]&lt;&gt;"",J15+L15-$N$7,"")</f>
        <v>-18</v>
      </c>
      <c r="N15" s="74" t="str">
        <f>IF(Table125[[#This Row],[Account]]&lt;&gt;"",IF(Table125[[#This Row],[Aging ]]&lt;0,"OVERDUE","OK"),"")</f>
        <v>OVERDUE</v>
      </c>
    </row>
    <row r="16" spans="2:14" ht="15.75" thickBot="1" x14ac:dyDescent="0.3">
      <c r="B16" s="107">
        <f ca="1">IFERROR(IF(Table125[[#This Row],[Account]]&lt;&gt;"",OFFSET(B16,-1,0)+1,""),1)</f>
        <v>2</v>
      </c>
      <c r="C16" s="20">
        <v>518226</v>
      </c>
      <c r="D16" s="21" t="s">
        <v>1773</v>
      </c>
      <c r="E16" s="21" t="s">
        <v>1774</v>
      </c>
      <c r="F16" s="20" t="s">
        <v>1776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IF(Table125[[#This Row],[Account]]&lt;&gt;"",$N$8,"")</f>
        <v>0</v>
      </c>
      <c r="M16" s="24">
        <f>IF(Table125[[#This Row],[Account]]&lt;&gt;"",J16+L16-$N$7,"")</f>
        <v>10</v>
      </c>
      <c r="N16" s="25" t="str">
        <f>IF(Table125[[#This Row],[Account]]&lt;&gt;"",IF(Table125[[#This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9581.25</v>
      </c>
      <c r="E23" s="40">
        <f>SUMIFS(I15:I16,M15:M16,"&gt;="&amp;-30,M15:M16,"&lt;="&amp;-1)</f>
        <v>9581.25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19162.5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518178</v>
      </c>
      <c r="D15" s="15" t="s">
        <v>1766</v>
      </c>
      <c r="E15" s="15" t="s">
        <v>1767</v>
      </c>
      <c r="F15" s="14" t="s">
        <v>1768</v>
      </c>
      <c r="G15" s="17">
        <v>43412</v>
      </c>
      <c r="H15" s="14" t="s">
        <v>1933</v>
      </c>
      <c r="I15" s="16">
        <v>-8188</v>
      </c>
      <c r="J15" s="17">
        <v>43412</v>
      </c>
      <c r="K15" s="17">
        <v>43173</v>
      </c>
      <c r="L15" s="14">
        <f>IF(Table124[[#This Row],[Account]]&lt;&gt;"",$N$8,"")</f>
        <v>0</v>
      </c>
      <c r="M15" s="105">
        <f>IF(Table124[[#This Row],[Account]]&lt;&gt;"",J15+L15-$N$7,"")</f>
        <v>241</v>
      </c>
      <c r="N15" s="74" t="str">
        <f>IF(Table124[[#This Row],[Account]]&lt;&gt;"",IF(Table124[[#This Row],[Aging ]]&lt;0,"OVERDUE","OK"),"")</f>
        <v>OK</v>
      </c>
    </row>
    <row r="16" spans="2:14" ht="15.75" thickBot="1" x14ac:dyDescent="0.3">
      <c r="B16" s="107">
        <f ca="1">IFERROR(IF(Table124[[#This Row],[Account]]&lt;&gt;"",OFFSET(B16,-1,0)+1,""),1)</f>
        <v>2</v>
      </c>
      <c r="C16" s="20">
        <v>518178</v>
      </c>
      <c r="D16" s="21" t="s">
        <v>1766</v>
      </c>
      <c r="E16" s="21" t="s">
        <v>1767</v>
      </c>
      <c r="F16" s="20" t="s">
        <v>1768</v>
      </c>
      <c r="G16" s="23">
        <v>43083</v>
      </c>
      <c r="H16" s="20">
        <v>9006114980</v>
      </c>
      <c r="I16" s="22">
        <v>9125</v>
      </c>
      <c r="J16" s="23">
        <v>43083</v>
      </c>
      <c r="K16" s="23">
        <v>43173</v>
      </c>
      <c r="L16" s="20">
        <f>IF(Table124[[#This Row],[Account]]&lt;&gt;"",$N$8,"")</f>
        <v>0</v>
      </c>
      <c r="M16" s="24">
        <f>IF(Table124[[#This Row],[Account]]&lt;&gt;"",J16+L16-$N$7,"")</f>
        <v>-88</v>
      </c>
      <c r="N16" s="25" t="str">
        <f>IF(Table124[[#This Row],[Account]]&lt;&gt;"",IF(Table124[[#This Row],[Aging ]]&lt;0,"OVERDUE","OK"),"")</f>
        <v>OVERDUE</v>
      </c>
    </row>
    <row r="17" spans="2:17" ht="15.75" thickBot="1" x14ac:dyDescent="0.3">
      <c r="B17" s="106">
        <f ca="1">IFERROR(IF(Table124[[#This Row],[Account]]&lt;&gt;"",OFFSET(B17,-1,0)+1,""),1)</f>
        <v>3</v>
      </c>
      <c r="C17" s="14">
        <v>518178</v>
      </c>
      <c r="D17" s="15" t="s">
        <v>1766</v>
      </c>
      <c r="E17" s="15" t="s">
        <v>1767</v>
      </c>
      <c r="F17" s="14" t="s">
        <v>1769</v>
      </c>
      <c r="G17" s="17">
        <v>43132</v>
      </c>
      <c r="H17" s="14">
        <v>9006773906</v>
      </c>
      <c r="I17" s="16">
        <v>9791.25</v>
      </c>
      <c r="J17" s="17">
        <v>43132</v>
      </c>
      <c r="K17" s="17">
        <v>43222</v>
      </c>
      <c r="L17" s="14">
        <f>IF(Table124[[#This Row],[Account]]&lt;&gt;"",$N$8,"")</f>
        <v>0</v>
      </c>
      <c r="M17" s="18">
        <f>IF(Table124[[#This Row],[Account]]&lt;&gt;"",J17+L17-$N$7,"")</f>
        <v>-39</v>
      </c>
      <c r="N17" s="19" t="str">
        <f>IF(Table124[[#This Row],[Account]]&lt;&gt;"",IF(Table124[[#This Row],[Aging ]]&lt;0,"OVERDUE","OK"),"")</f>
        <v>OVERDUE</v>
      </c>
    </row>
    <row r="18" spans="2:17" ht="15.75" thickBot="1" x14ac:dyDescent="0.3">
      <c r="B18" s="107">
        <f ca="1">IFERROR(IF(Table124[[#This Row],[Account]]&lt;&gt;"",OFFSET(B18,-1,0)+1,""),1)</f>
        <v>4</v>
      </c>
      <c r="C18" s="20">
        <v>518178</v>
      </c>
      <c r="D18" s="21" t="s">
        <v>1766</v>
      </c>
      <c r="E18" s="21" t="s">
        <v>1767</v>
      </c>
      <c r="F18" s="20" t="s">
        <v>1770</v>
      </c>
      <c r="G18" s="23">
        <v>43160</v>
      </c>
      <c r="H18" s="20">
        <v>9007198169</v>
      </c>
      <c r="I18" s="22">
        <v>9581.25</v>
      </c>
      <c r="J18" s="23">
        <v>43160</v>
      </c>
      <c r="K18" s="23">
        <v>43250</v>
      </c>
      <c r="L18" s="20">
        <f>IF(Table124[[#This Row],[Account]]&lt;&gt;"",$N$8,"")</f>
        <v>0</v>
      </c>
      <c r="M18" s="24">
        <f>IF(Table124[[#This Row],[Account]]&lt;&gt;"",J18+L18-$N$7,"")</f>
        <v>-11</v>
      </c>
      <c r="N18" s="25" t="str">
        <f>IF(Table124[[#This Row],[Account]]&lt;&gt;"",IF(Table124[[#This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20309.5</v>
      </c>
    </row>
    <row r="20" spans="2:17" ht="15.75" thickBot="1" x14ac:dyDescent="0.3">
      <c r="G20" s="30" t="s">
        <v>21</v>
      </c>
      <c r="H20" s="31"/>
      <c r="I20" s="32">
        <f>SUM(I15:I18)</f>
        <v>20309.5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-8188</v>
      </c>
      <c r="E25" s="40">
        <f>SUMIFS(I15:I18,M15:M18,"&gt;="&amp;-30,M15:M18,"&lt;="&amp;-1)</f>
        <v>9581.25</v>
      </c>
      <c r="F25" s="39">
        <f>SUMIFS(I15:I18,M15:M18,"&gt;="&amp;-60,M15:M18,"&lt;="&amp;-31)</f>
        <v>9791.25</v>
      </c>
      <c r="G25" s="39">
        <f>SUMIFS(I15:I18,M15:M18,"&gt;="&amp;-90,M15:M18,"&lt;="&amp;-61)</f>
        <v>9125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20309.5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506038</v>
      </c>
      <c r="D15" s="15" t="s">
        <v>1761</v>
      </c>
      <c r="E15" s="15" t="s">
        <v>1762</v>
      </c>
      <c r="F15" s="14" t="s">
        <v>1763</v>
      </c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>
        <f>IF(Table123[[#This Row],[Account]]&lt;&gt;"",$N$8,"")</f>
        <v>0</v>
      </c>
      <c r="M15" s="105">
        <f>IF(Table123[[#This Row],[Account]]&lt;&gt;"",J15+L15-$N$7,"")</f>
        <v>133</v>
      </c>
      <c r="N15" s="74" t="str">
        <f>IF(Table123[[#This Row],[Account]]&lt;&gt;"",IF(Table123[[#This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499098</v>
      </c>
      <c r="D15" s="15" t="s">
        <v>1756</v>
      </c>
      <c r="E15" s="15" t="s">
        <v>1757</v>
      </c>
      <c r="F15" s="14" t="s">
        <v>1758</v>
      </c>
      <c r="G15" s="17">
        <v>43272</v>
      </c>
      <c r="H15" s="14" t="s">
        <v>1933</v>
      </c>
      <c r="I15" s="16">
        <v>-44.27</v>
      </c>
      <c r="J15" s="17">
        <v>43272</v>
      </c>
      <c r="K15" s="17">
        <v>43272</v>
      </c>
      <c r="L15" s="14">
        <f>IF(Table122[[#This Row],[Account]]&lt;&gt;"",$N$8,"")</f>
        <v>0</v>
      </c>
      <c r="M15" s="105">
        <f>IF(Table122[[#This Row],[Account]]&lt;&gt;"",J15+L15-$N$7,"")</f>
        <v>101</v>
      </c>
      <c r="N15" s="74" t="str">
        <f>IF(Table122[[#This Row],[Account]]&lt;&gt;"",IF(Table122[[#This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-44.27</v>
      </c>
    </row>
    <row r="17" spans="2:17" ht="15.75" thickBot="1" x14ac:dyDescent="0.3">
      <c r="G17" s="30" t="s">
        <v>21</v>
      </c>
      <c r="H17" s="31"/>
      <c r="I17" s="32">
        <f>SUM(I15:I15)</f>
        <v>-44.27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-44.27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-44.27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498798</v>
      </c>
      <c r="D15" s="15" t="s">
        <v>1750</v>
      </c>
      <c r="E15" s="15" t="s">
        <v>1751</v>
      </c>
      <c r="F15" s="14" t="s">
        <v>1752</v>
      </c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>
        <f>IF(Table121[[#This Row],[Account]]&lt;&gt;"",$N$8,"")</f>
        <v>0</v>
      </c>
      <c r="M15" s="105">
        <f>IF(Table121[[#This Row],[Account]]&lt;&gt;"",J15+L15-$N$7,"")</f>
        <v>133</v>
      </c>
      <c r="N15" s="74" t="str">
        <f>IF(Table121[[#This Row],[Account]]&lt;&gt;"",IF(Table121[[#This Row],[Aging ]]&lt;0,"OVERDUE","OK"),"")</f>
        <v>OK</v>
      </c>
    </row>
    <row r="16" spans="2:14" ht="15.75" thickBot="1" x14ac:dyDescent="0.3">
      <c r="B16" s="107">
        <f ca="1">IFERROR(IF(Table121[[#This Row],[Account]]&lt;&gt;"",OFFSET(B16,-1,0)+1,""),1)</f>
        <v>2</v>
      </c>
      <c r="C16" s="20">
        <v>498798</v>
      </c>
      <c r="D16" s="21" t="s">
        <v>1750</v>
      </c>
      <c r="E16" s="21" t="s">
        <v>1751</v>
      </c>
      <c r="F16" s="20" t="s">
        <v>1753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IF(Table121[[#This Row],[Account]]&lt;&gt;"",$N$8,"")</f>
        <v>0</v>
      </c>
      <c r="M16" s="24">
        <f>IF(Table121[[#This Row],[Account]]&lt;&gt;"",J16+L16-$N$7,"")</f>
        <v>133</v>
      </c>
      <c r="N16" s="25" t="str">
        <f>IF(Table121[[#This Row],[Account]]&lt;&gt;"",IF(Table121[[#This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-2100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-2100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498783</v>
      </c>
      <c r="D15" s="15" t="s">
        <v>1741</v>
      </c>
      <c r="E15" s="15" t="s">
        <v>1742</v>
      </c>
      <c r="F15" s="14" t="s">
        <v>1930</v>
      </c>
      <c r="G15" s="17">
        <v>43306</v>
      </c>
      <c r="H15" s="14" t="s">
        <v>1933</v>
      </c>
      <c r="I15" s="16">
        <v>-275.25</v>
      </c>
      <c r="J15" s="17">
        <v>43306</v>
      </c>
      <c r="K15" s="17">
        <v>43306</v>
      </c>
      <c r="L15" s="14">
        <f>IF(Table120[[#This Row],[Account]]&lt;&gt;"",$N$8,"")</f>
        <v>0</v>
      </c>
      <c r="M15" s="105">
        <f>IF(Table120[[#This Row],[Account]]&lt;&gt;"",J15+L15-$N$7,"")</f>
        <v>135</v>
      </c>
      <c r="N15" s="74" t="str">
        <f>IF(Table120[[#This Row],[Account]]&lt;&gt;"",IF(Table120[[#This Row],[Aging ]]&lt;0,"OVERDUE","OK"),"")</f>
        <v>OK</v>
      </c>
    </row>
    <row r="16" spans="2:14" ht="15.75" thickBot="1" x14ac:dyDescent="0.3">
      <c r="B16" s="107">
        <f ca="1">IFERROR(IF(Table120[[#This Row],[Account]]&lt;&gt;"",OFFSET(B16,-1,0)+1,""),1)</f>
        <v>2</v>
      </c>
      <c r="C16" s="20">
        <v>498783</v>
      </c>
      <c r="D16" s="21" t="s">
        <v>1741</v>
      </c>
      <c r="E16" s="21" t="s">
        <v>1742</v>
      </c>
      <c r="F16" s="20" t="s">
        <v>1743</v>
      </c>
      <c r="G16" s="23">
        <v>43230</v>
      </c>
      <c r="H16" s="20">
        <v>9008270986</v>
      </c>
      <c r="I16" s="22">
        <v>6227.81</v>
      </c>
      <c r="J16" s="23">
        <v>43230</v>
      </c>
      <c r="K16" s="23">
        <v>43320</v>
      </c>
      <c r="L16" s="20">
        <f>IF(Table120[[#This Row],[Account]]&lt;&gt;"",$N$8,"")</f>
        <v>0</v>
      </c>
      <c r="M16" s="24">
        <f>IF(Table120[[#This Row],[Account]]&lt;&gt;"",J16+L16-$N$7,"")</f>
        <v>59</v>
      </c>
      <c r="N16" s="25" t="str">
        <f>IF(Table120[[#This Row],[Account]]&lt;&gt;"",IF(Table120[[#This Row],[Aging ]]&lt;0,"OVERDUE","OK"),"")</f>
        <v>OK</v>
      </c>
    </row>
    <row r="17" spans="2:17" ht="15.75" thickBot="1" x14ac:dyDescent="0.3">
      <c r="B17" s="106">
        <f ca="1">IFERROR(IF(Table120[[#This Row],[Account]]&lt;&gt;"",OFFSET(B17,-1,0)+1,""),1)</f>
        <v>3</v>
      </c>
      <c r="C17" s="14">
        <v>498783</v>
      </c>
      <c r="D17" s="15" t="s">
        <v>1741</v>
      </c>
      <c r="E17" s="15" t="s">
        <v>1742</v>
      </c>
      <c r="F17" s="14" t="s">
        <v>1744</v>
      </c>
      <c r="G17" s="17">
        <v>43293</v>
      </c>
      <c r="H17" s="14">
        <v>9009279549</v>
      </c>
      <c r="I17" s="16">
        <v>6227.81</v>
      </c>
      <c r="J17" s="17">
        <v>43293</v>
      </c>
      <c r="K17" s="17">
        <v>43383</v>
      </c>
      <c r="L17" s="14">
        <f>IF(Table120[[#This Row],[Account]]&lt;&gt;"",$N$8,"")</f>
        <v>0</v>
      </c>
      <c r="M17" s="18">
        <f>IF(Table120[[#This Row],[Account]]&lt;&gt;"",J17+L17-$N$7,"")</f>
        <v>122</v>
      </c>
      <c r="N17" s="19" t="str">
        <f>IF(Table120[[#This Row],[Account]]&lt;&gt;"",IF(Table120[[#This Row],[Aging ]]&lt;0,"OVERDUE","OK"),"")</f>
        <v>OK</v>
      </c>
    </row>
    <row r="18" spans="2:17" ht="15.75" thickBot="1" x14ac:dyDescent="0.3">
      <c r="B18" s="107">
        <f ca="1">IFERROR(IF(Table120[[#This Row],[Account]]&lt;&gt;"",OFFSET(B18,-1,0)+1,""),1)</f>
        <v>4</v>
      </c>
      <c r="C18" s="20">
        <v>498783</v>
      </c>
      <c r="D18" s="21" t="s">
        <v>1741</v>
      </c>
      <c r="E18" s="21" t="s">
        <v>1742</v>
      </c>
      <c r="F18" s="20" t="s">
        <v>1745</v>
      </c>
      <c r="G18" s="23">
        <v>43301</v>
      </c>
      <c r="H18" s="20">
        <v>9009391439</v>
      </c>
      <c r="I18" s="22">
        <v>6227.81</v>
      </c>
      <c r="J18" s="23">
        <v>43301</v>
      </c>
      <c r="K18" s="23">
        <v>43391</v>
      </c>
      <c r="L18" s="20">
        <f>IF(Table120[[#This Row],[Account]]&lt;&gt;"",$N$8,"")</f>
        <v>0</v>
      </c>
      <c r="M18" s="24">
        <f>IF(Table120[[#This Row],[Account]]&lt;&gt;"",J18+L18-$N$7,"")</f>
        <v>130</v>
      </c>
      <c r="N18" s="25" t="str">
        <f>IF(Table120[[#This Row],[Account]]&lt;&gt;"",IF(Table120[[#This Row],[Aging ]]&lt;0,"OVERDUE","OK"),"")</f>
        <v>OK</v>
      </c>
    </row>
    <row r="19" spans="2:17" ht="15.75" thickBot="1" x14ac:dyDescent="0.3">
      <c r="B19" s="106">
        <f ca="1">IFERROR(IF(Table120[[#This Row],[Account]]&lt;&gt;"",OFFSET(B19,-1,0)+1,""),1)</f>
        <v>5</v>
      </c>
      <c r="C19" s="14">
        <v>498783</v>
      </c>
      <c r="D19" s="15" t="s">
        <v>1741</v>
      </c>
      <c r="E19" s="15" t="s">
        <v>1742</v>
      </c>
      <c r="F19" s="14" t="s">
        <v>1746</v>
      </c>
      <c r="G19" s="17">
        <v>43399</v>
      </c>
      <c r="H19" s="14">
        <v>7000199088</v>
      </c>
      <c r="I19" s="16">
        <v>1050</v>
      </c>
      <c r="J19" s="17">
        <v>43399</v>
      </c>
      <c r="K19" s="17">
        <v>43429</v>
      </c>
      <c r="L19" s="14">
        <f>IF(Table120[[#This Row],[Account]]&lt;&gt;"",$N$8,"")</f>
        <v>0</v>
      </c>
      <c r="M19" s="18">
        <f>IF(Table120[[#This Row],[Account]]&lt;&gt;"",J19+L19-$N$7,"")</f>
        <v>228</v>
      </c>
      <c r="N19" s="19" t="str">
        <f>IF(Table120[[#This Row],[Account]]&lt;&gt;"",IF(Table120[[#This Row],[Aging ]]&lt;0,"OVERDUE","OK"),"")</f>
        <v>OK</v>
      </c>
    </row>
    <row r="20" spans="2:17" ht="15.75" thickBot="1" x14ac:dyDescent="0.3">
      <c r="B20" s="107">
        <f ca="1">IFERROR(IF(Table120[[#This Row],[Account]]&lt;&gt;"",OFFSET(B20,-1,0)+1,""),1)</f>
        <v>6</v>
      </c>
      <c r="C20" s="20">
        <v>498783</v>
      </c>
      <c r="D20" s="21" t="s">
        <v>1741</v>
      </c>
      <c r="E20" s="21" t="s">
        <v>1742</v>
      </c>
      <c r="F20" s="20" t="s">
        <v>1747</v>
      </c>
      <c r="G20" s="23">
        <v>43399</v>
      </c>
      <c r="H20" s="20">
        <v>7000199089</v>
      </c>
      <c r="I20" s="22">
        <v>1050</v>
      </c>
      <c r="J20" s="23">
        <v>43399</v>
      </c>
      <c r="K20" s="23">
        <v>43429</v>
      </c>
      <c r="L20" s="20">
        <f>IF(Table120[[#This Row],[Account]]&lt;&gt;"",$N$8,"")</f>
        <v>0</v>
      </c>
      <c r="M20" s="24">
        <f>IF(Table120[[#This Row],[Account]]&lt;&gt;"",J20+L20-$N$7,"")</f>
        <v>228</v>
      </c>
      <c r="N20" s="25" t="str">
        <f>IF(Table120[[#This Row],[Account]]&lt;&gt;"",IF(Table120[[#This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20508.18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20508.18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20508.18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20508.18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482734</v>
      </c>
      <c r="D15" s="15" t="s">
        <v>1713</v>
      </c>
      <c r="E15" s="15" t="s">
        <v>1714</v>
      </c>
      <c r="F15" s="14" t="s">
        <v>1715</v>
      </c>
      <c r="G15" s="17">
        <v>43188</v>
      </c>
      <c r="H15" s="14" t="s">
        <v>1933</v>
      </c>
      <c r="I15" s="16">
        <v>-368.75</v>
      </c>
      <c r="J15" s="17">
        <v>43188</v>
      </c>
      <c r="K15" s="17">
        <v>43117</v>
      </c>
      <c r="L15" s="14">
        <f>IF(Table119[[#This Row],[Account]]&lt;&gt;"",$N$8,"")</f>
        <v>0</v>
      </c>
      <c r="M15" s="105">
        <f>IF(Table119[[#This Row],[Account]]&lt;&gt;"",J15+L15-$N$7,"")</f>
        <v>17</v>
      </c>
      <c r="N15" s="74" t="str">
        <f>IF(Table119[[#This Row],[Account]]&lt;&gt;"",IF(Table119[[#This Row],[Aging ]]&lt;0,"OVERDUE","OK"),"")</f>
        <v>OK</v>
      </c>
    </row>
    <row r="16" spans="2:14" ht="15.75" thickBot="1" x14ac:dyDescent="0.3">
      <c r="B16" s="107">
        <f ca="1">IFERROR(IF(Table119[[#This Row],[Account]]&lt;&gt;"",OFFSET(B16,-1,0)+1,""),1)</f>
        <v>2</v>
      </c>
      <c r="C16" s="20">
        <v>482734</v>
      </c>
      <c r="D16" s="21" t="s">
        <v>1713</v>
      </c>
      <c r="E16" s="21" t="s">
        <v>1714</v>
      </c>
      <c r="F16" s="20" t="s">
        <v>1716</v>
      </c>
      <c r="G16" s="23">
        <v>43027</v>
      </c>
      <c r="H16" s="20">
        <v>9005351229</v>
      </c>
      <c r="I16" s="22">
        <v>475</v>
      </c>
      <c r="J16" s="23">
        <v>43027</v>
      </c>
      <c r="K16" s="23">
        <v>43117</v>
      </c>
      <c r="L16" s="20">
        <f>IF(Table119[[#This Row],[Account]]&lt;&gt;"",$N$8,"")</f>
        <v>0</v>
      </c>
      <c r="M16" s="24">
        <f>IF(Table119[[#This Row],[Account]]&lt;&gt;"",J16+L16-$N$7,"")</f>
        <v>-144</v>
      </c>
      <c r="N16" s="25" t="str">
        <f>IF(Table119[[#This Row],[Account]]&lt;&gt;"",IF(Table119[[#This Row],[Aging ]]&lt;0,"OVERDUE","OK"),"")</f>
        <v>OVERDUE</v>
      </c>
    </row>
    <row r="17" spans="2:17" ht="15.75" thickBot="1" x14ac:dyDescent="0.3">
      <c r="B17" s="106">
        <f ca="1">IFERROR(IF(Table119[[#This Row],[Account]]&lt;&gt;"",OFFSET(B17,-1,0)+1,""),1)</f>
        <v>3</v>
      </c>
      <c r="C17" s="14">
        <v>482734</v>
      </c>
      <c r="D17" s="15" t="s">
        <v>1713</v>
      </c>
      <c r="E17" s="15" t="s">
        <v>1714</v>
      </c>
      <c r="F17" s="14" t="s">
        <v>1715</v>
      </c>
      <c r="G17" s="17">
        <v>43027</v>
      </c>
      <c r="H17" s="14">
        <v>9005351232</v>
      </c>
      <c r="I17" s="16">
        <v>3737.5</v>
      </c>
      <c r="J17" s="17">
        <v>43027</v>
      </c>
      <c r="K17" s="17">
        <v>43117</v>
      </c>
      <c r="L17" s="14">
        <f>IF(Table119[[#This Row],[Account]]&lt;&gt;"",$N$8,"")</f>
        <v>0</v>
      </c>
      <c r="M17" s="18">
        <f>IF(Table119[[#This Row],[Account]]&lt;&gt;"",J17+L17-$N$7,"")</f>
        <v>-144</v>
      </c>
      <c r="N17" s="19" t="str">
        <f>IF(Table119[[#This Row],[Account]]&lt;&gt;"",IF(Table119[[#This Row],[Aging ]]&lt;0,"OVERDUE","OK"),"")</f>
        <v>OVERDUE</v>
      </c>
    </row>
    <row r="18" spans="2:17" ht="15.75" thickBot="1" x14ac:dyDescent="0.3">
      <c r="B18" s="107">
        <f ca="1">IFERROR(IF(Table119[[#This Row],[Account]]&lt;&gt;"",OFFSET(B18,-1,0)+1,""),1)</f>
        <v>4</v>
      </c>
      <c r="C18" s="20">
        <v>482734</v>
      </c>
      <c r="D18" s="21" t="s">
        <v>1713</v>
      </c>
      <c r="E18" s="21" t="s">
        <v>1714</v>
      </c>
      <c r="F18" s="20" t="s">
        <v>1717</v>
      </c>
      <c r="G18" s="23">
        <v>43034</v>
      </c>
      <c r="H18" s="20">
        <v>9005456894</v>
      </c>
      <c r="I18" s="22">
        <v>475</v>
      </c>
      <c r="J18" s="23">
        <v>43034</v>
      </c>
      <c r="K18" s="23">
        <v>43124</v>
      </c>
      <c r="L18" s="20">
        <f>IF(Table119[[#This Row],[Account]]&lt;&gt;"",$N$8,"")</f>
        <v>0</v>
      </c>
      <c r="M18" s="24">
        <f>IF(Table119[[#This Row],[Account]]&lt;&gt;"",J18+L18-$N$7,"")</f>
        <v>-137</v>
      </c>
      <c r="N18" s="25" t="str">
        <f>IF(Table119[[#This Row],[Account]]&lt;&gt;"",IF(Table119[[#This Row],[Aging ]]&lt;0,"OVERDUE","OK"),"")</f>
        <v>OVERDUE</v>
      </c>
    </row>
    <row r="19" spans="2:17" ht="15.75" thickBot="1" x14ac:dyDescent="0.3">
      <c r="B19" s="106">
        <f ca="1">IFERROR(IF(Table119[[#This Row],[Account]]&lt;&gt;"",OFFSET(B19,-1,0)+1,""),1)</f>
        <v>5</v>
      </c>
      <c r="C19" s="14">
        <v>482734</v>
      </c>
      <c r="D19" s="15" t="s">
        <v>1713</v>
      </c>
      <c r="E19" s="15" t="s">
        <v>1714</v>
      </c>
      <c r="F19" s="14" t="s">
        <v>1718</v>
      </c>
      <c r="G19" s="17">
        <v>43034</v>
      </c>
      <c r="H19" s="14">
        <v>9005456895</v>
      </c>
      <c r="I19" s="16">
        <v>5931.25</v>
      </c>
      <c r="J19" s="17">
        <v>43034</v>
      </c>
      <c r="K19" s="17">
        <v>43124</v>
      </c>
      <c r="L19" s="14">
        <f>IF(Table119[[#This Row],[Account]]&lt;&gt;"",$N$8,"")</f>
        <v>0</v>
      </c>
      <c r="M19" s="18">
        <f>IF(Table119[[#This Row],[Account]]&lt;&gt;"",J19+L19-$N$7,"")</f>
        <v>-137</v>
      </c>
      <c r="N19" s="19" t="str">
        <f>IF(Table119[[#This Row],[Account]]&lt;&gt;"",IF(Table119[[#This Row],[Aging ]]&lt;0,"OVERDUE","OK"),"")</f>
        <v>OVERDUE</v>
      </c>
    </row>
    <row r="20" spans="2:17" ht="15.75" thickBot="1" x14ac:dyDescent="0.3">
      <c r="B20" s="107">
        <f ca="1">IFERROR(IF(Table119[[#This Row],[Account]]&lt;&gt;"",OFFSET(B20,-1,0)+1,""),1)</f>
        <v>6</v>
      </c>
      <c r="C20" s="20">
        <v>482734</v>
      </c>
      <c r="D20" s="21" t="s">
        <v>1713</v>
      </c>
      <c r="E20" s="21" t="s">
        <v>1714</v>
      </c>
      <c r="F20" s="20" t="s">
        <v>1719</v>
      </c>
      <c r="G20" s="23">
        <v>43034</v>
      </c>
      <c r="H20" s="20">
        <v>9005456896</v>
      </c>
      <c r="I20" s="22">
        <v>487.5</v>
      </c>
      <c r="J20" s="23">
        <v>43034</v>
      </c>
      <c r="K20" s="23">
        <v>43124</v>
      </c>
      <c r="L20" s="20">
        <f>IF(Table119[[#This Row],[Account]]&lt;&gt;"",$N$8,"")</f>
        <v>0</v>
      </c>
      <c r="M20" s="24">
        <f>IF(Table119[[#This Row],[Account]]&lt;&gt;"",J20+L20-$N$7,"")</f>
        <v>-137</v>
      </c>
      <c r="N20" s="25" t="str">
        <f>IF(Table119[[#This Row],[Account]]&lt;&gt;"",IF(Table119[[#This Row],[Aging ]]&lt;0,"OVERDUE","OK"),"")</f>
        <v>OVERDUE</v>
      </c>
      <c r="Q20" s="26"/>
    </row>
    <row r="21" spans="2:17" ht="15.75" thickBot="1" x14ac:dyDescent="0.3">
      <c r="B21" s="106">
        <f ca="1">IFERROR(IF(Table119[[#This Row],[Account]]&lt;&gt;"",OFFSET(B21,-1,0)+1,""),1)</f>
        <v>7</v>
      </c>
      <c r="C21" s="14">
        <v>482734</v>
      </c>
      <c r="D21" s="15" t="s">
        <v>1713</v>
      </c>
      <c r="E21" s="15" t="s">
        <v>1714</v>
      </c>
      <c r="F21" s="14" t="s">
        <v>1720</v>
      </c>
      <c r="G21" s="17">
        <v>43096</v>
      </c>
      <c r="H21" s="14">
        <v>7000097689</v>
      </c>
      <c r="I21" s="16">
        <v>1000</v>
      </c>
      <c r="J21" s="17">
        <v>43096</v>
      </c>
      <c r="K21" s="17">
        <v>43126</v>
      </c>
      <c r="L21" s="14">
        <f>IF(Table119[[#This Row],[Account]]&lt;&gt;"",$N$8,"")</f>
        <v>0</v>
      </c>
      <c r="M21" s="18">
        <f>IF(Table119[[#This Row],[Account]]&lt;&gt;"",J21+L21-$N$7,"")</f>
        <v>-75</v>
      </c>
      <c r="N21" s="19" t="str">
        <f>IF(Table119[[#This Row],[Account]]&lt;&gt;"",IF(Table119[[#This Row],[Aging ]]&lt;0,"OVERDUE","OK"),"")</f>
        <v>OVERDUE</v>
      </c>
      <c r="Q21" s="26"/>
    </row>
    <row r="22" spans="2:17" ht="15.75" thickBot="1" x14ac:dyDescent="0.3">
      <c r="B22" s="107">
        <f ca="1">IFERROR(IF(Table119[[#This Row],[Account]]&lt;&gt;"",OFFSET(B22,-1,0)+1,""),1)</f>
        <v>8</v>
      </c>
      <c r="C22" s="20">
        <v>482734</v>
      </c>
      <c r="D22" s="21" t="s">
        <v>1713</v>
      </c>
      <c r="E22" s="21" t="s">
        <v>1714</v>
      </c>
      <c r="F22" s="20" t="s">
        <v>1721</v>
      </c>
      <c r="G22" s="23">
        <v>43041</v>
      </c>
      <c r="H22" s="20">
        <v>9005556395</v>
      </c>
      <c r="I22" s="22">
        <v>3737.5</v>
      </c>
      <c r="J22" s="23">
        <v>43041</v>
      </c>
      <c r="K22" s="23">
        <v>43131</v>
      </c>
      <c r="L22" s="20">
        <f>IF(Table119[[#This Row],[Account]]&lt;&gt;"",$N$8,"")</f>
        <v>0</v>
      </c>
      <c r="M22" s="24">
        <f>IF(Table119[[#This Row],[Account]]&lt;&gt;"",J22+L22-$N$7,"")</f>
        <v>-130</v>
      </c>
      <c r="N22" s="25" t="str">
        <f>IF(Table119[[#This Row],[Account]]&lt;&gt;"",IF(Table119[[#This Row],[Aging ]]&lt;0,"OVERDUE","OK"),"")</f>
        <v>OVERDUE</v>
      </c>
      <c r="Q22" s="26"/>
    </row>
    <row r="23" spans="2:17" ht="15.75" thickBot="1" x14ac:dyDescent="0.3">
      <c r="B23" s="106">
        <f ca="1">IFERROR(IF(Table119[[#This Row],[Account]]&lt;&gt;"",OFFSET(B23,-1,0)+1,""),1)</f>
        <v>9</v>
      </c>
      <c r="C23" s="14">
        <v>482734</v>
      </c>
      <c r="D23" s="15" t="s">
        <v>1713</v>
      </c>
      <c r="E23" s="15" t="s">
        <v>1714</v>
      </c>
      <c r="F23" s="14" t="s">
        <v>1722</v>
      </c>
      <c r="G23" s="17">
        <v>43041</v>
      </c>
      <c r="H23" s="14">
        <v>9005556397</v>
      </c>
      <c r="I23" s="16">
        <v>4562.5</v>
      </c>
      <c r="J23" s="17">
        <v>43041</v>
      </c>
      <c r="K23" s="17">
        <v>43131</v>
      </c>
      <c r="L23" s="14">
        <f>IF(Table119[[#This Row],[Account]]&lt;&gt;"",$N$8,"")</f>
        <v>0</v>
      </c>
      <c r="M23" s="18">
        <f>IF(Table119[[#This Row],[Account]]&lt;&gt;"",J23+L23-$N$7,"")</f>
        <v>-130</v>
      </c>
      <c r="N23" s="19" t="str">
        <f>IF(Table119[[#This Row],[Account]]&lt;&gt;"",IF(Table119[[#This Row],[Aging ]]&lt;0,"OVERDUE","OK"),"")</f>
        <v>OVERDUE</v>
      </c>
      <c r="Q23" s="26"/>
    </row>
    <row r="24" spans="2:17" ht="15.75" thickBot="1" x14ac:dyDescent="0.3">
      <c r="B24" s="107">
        <f ca="1">IFERROR(IF(Table119[[#This Row],[Account]]&lt;&gt;"",OFFSET(B24,-1,0)+1,""),1)</f>
        <v>10</v>
      </c>
      <c r="C24" s="20">
        <v>482734</v>
      </c>
      <c r="D24" s="21" t="s">
        <v>1713</v>
      </c>
      <c r="E24" s="21" t="s">
        <v>1714</v>
      </c>
      <c r="F24" s="20" t="s">
        <v>1723</v>
      </c>
      <c r="G24" s="23">
        <v>43041</v>
      </c>
      <c r="H24" s="20">
        <v>9005556398</v>
      </c>
      <c r="I24" s="22">
        <v>4562.5</v>
      </c>
      <c r="J24" s="23">
        <v>43041</v>
      </c>
      <c r="K24" s="23">
        <v>43131</v>
      </c>
      <c r="L24" s="20">
        <f>IF(Table119[[#This Row],[Account]]&lt;&gt;"",$N$8,"")</f>
        <v>0</v>
      </c>
      <c r="M24" s="24">
        <f>IF(Table119[[#This Row],[Account]]&lt;&gt;"",J24+L24-$N$7,"")</f>
        <v>-130</v>
      </c>
      <c r="N24" s="25" t="str">
        <f>IF(Table119[[#This Row],[Account]]&lt;&gt;"",IF(Table119[[#This Row],[Aging ]]&lt;0,"OVERDUE","OK"),"")</f>
        <v>OVERDUE</v>
      </c>
      <c r="Q24" s="26"/>
    </row>
    <row r="25" spans="2:17" ht="15.75" thickBot="1" x14ac:dyDescent="0.3">
      <c r="B25" s="106">
        <f ca="1">IFERROR(IF(Table119[[#This Row],[Account]]&lt;&gt;"",OFFSET(B25,-1,0)+1,""),1)</f>
        <v>11</v>
      </c>
      <c r="C25" s="14">
        <v>482734</v>
      </c>
      <c r="D25" s="15" t="s">
        <v>1713</v>
      </c>
      <c r="E25" s="15" t="s">
        <v>1714</v>
      </c>
      <c r="F25" s="14" t="s">
        <v>1724</v>
      </c>
      <c r="G25" s="17">
        <v>43041</v>
      </c>
      <c r="H25" s="14">
        <v>9005556399</v>
      </c>
      <c r="I25" s="16">
        <v>4562.5</v>
      </c>
      <c r="J25" s="17">
        <v>43041</v>
      </c>
      <c r="K25" s="17">
        <v>43131</v>
      </c>
      <c r="L25" s="14">
        <f>IF(Table119[[#This Row],[Account]]&lt;&gt;"",$N$8,"")</f>
        <v>0</v>
      </c>
      <c r="M25" s="18">
        <f>IF(Table119[[#This Row],[Account]]&lt;&gt;"",J25+L25-$N$7,"")</f>
        <v>-130</v>
      </c>
      <c r="N25" s="19" t="str">
        <f>IF(Table119[[#This Row],[Account]]&lt;&gt;"",IF(Table119[[#This Row],[Aging ]]&lt;0,"OVERDUE","OK"),"")</f>
        <v>OVERDUE</v>
      </c>
      <c r="Q25" s="26"/>
    </row>
    <row r="26" spans="2:17" ht="15.75" thickBot="1" x14ac:dyDescent="0.3">
      <c r="B26" s="107">
        <f ca="1">IFERROR(IF(Table119[[#This Row],[Account]]&lt;&gt;"",OFFSET(B26,-1,0)+1,""),1)</f>
        <v>12</v>
      </c>
      <c r="C26" s="20">
        <v>482734</v>
      </c>
      <c r="D26" s="21" t="s">
        <v>1713</v>
      </c>
      <c r="E26" s="21" t="s">
        <v>1714</v>
      </c>
      <c r="F26" s="20" t="s">
        <v>1725</v>
      </c>
      <c r="G26" s="23">
        <v>43048</v>
      </c>
      <c r="H26" s="20">
        <v>9005644575</v>
      </c>
      <c r="I26" s="22">
        <v>4562.5</v>
      </c>
      <c r="J26" s="23">
        <v>43048</v>
      </c>
      <c r="K26" s="23">
        <v>43138</v>
      </c>
      <c r="L26" s="20">
        <f>IF(Table119[[#This Row],[Account]]&lt;&gt;"",$N$8,"")</f>
        <v>0</v>
      </c>
      <c r="M26" s="24">
        <f>IF(Table119[[#This Row],[Account]]&lt;&gt;"",J26+L26-$N$7,"")</f>
        <v>-123</v>
      </c>
      <c r="N26" s="25" t="str">
        <f>IF(Table119[[#This Row],[Account]]&lt;&gt;"",IF(Table119[[#This Row],[Aging ]]&lt;0,"OVERDUE","OK"),"")</f>
        <v>OVERDUE</v>
      </c>
      <c r="Q26" s="26"/>
    </row>
    <row r="27" spans="2:17" ht="15.75" thickBot="1" x14ac:dyDescent="0.3">
      <c r="B27" s="106">
        <f ca="1">IFERROR(IF(Table119[[#This Row],[Account]]&lt;&gt;"",OFFSET(B27,-1,0)+1,""),1)</f>
        <v>13</v>
      </c>
      <c r="C27" s="14">
        <v>482734</v>
      </c>
      <c r="D27" s="15" t="s">
        <v>1713</v>
      </c>
      <c r="E27" s="15" t="s">
        <v>1714</v>
      </c>
      <c r="F27" s="14" t="s">
        <v>1726</v>
      </c>
      <c r="G27" s="17">
        <v>43055</v>
      </c>
      <c r="H27" s="14">
        <v>9005732663</v>
      </c>
      <c r="I27" s="16">
        <v>702</v>
      </c>
      <c r="J27" s="17">
        <v>43055</v>
      </c>
      <c r="K27" s="17">
        <v>43145</v>
      </c>
      <c r="L27" s="14">
        <f>IF(Table119[[#This Row],[Account]]&lt;&gt;"",$N$8,"")</f>
        <v>0</v>
      </c>
      <c r="M27" s="18">
        <f>IF(Table119[[#This Row],[Account]]&lt;&gt;"",J27+L27-$N$7,"")</f>
        <v>-116</v>
      </c>
      <c r="N27" s="19" t="str">
        <f>IF(Table119[[#This Row],[Account]]&lt;&gt;"",IF(Table119[[#This Row],[Aging ]]&lt;0,"OVERDUE","OK"),"")</f>
        <v>OVERDUE</v>
      </c>
      <c r="Q27" s="26"/>
    </row>
    <row r="28" spans="2:17" ht="15.75" thickBot="1" x14ac:dyDescent="0.3">
      <c r="B28" s="107">
        <f ca="1">IFERROR(IF(Table119[[#This Row],[Account]]&lt;&gt;"",OFFSET(B28,-1,0)+1,""),1)</f>
        <v>14</v>
      </c>
      <c r="C28" s="20">
        <v>482734</v>
      </c>
      <c r="D28" s="21" t="s">
        <v>1713</v>
      </c>
      <c r="E28" s="21" t="s">
        <v>1714</v>
      </c>
      <c r="F28" s="20" t="s">
        <v>1727</v>
      </c>
      <c r="G28" s="23">
        <v>43097</v>
      </c>
      <c r="H28" s="20">
        <v>9006291430</v>
      </c>
      <c r="I28" s="22">
        <v>3737.5</v>
      </c>
      <c r="J28" s="23">
        <v>43097</v>
      </c>
      <c r="K28" s="23">
        <v>43187</v>
      </c>
      <c r="L28" s="20">
        <f>IF(Table119[[#This Row],[Account]]&lt;&gt;"",$N$8,"")</f>
        <v>0</v>
      </c>
      <c r="M28" s="24">
        <f>IF(Table119[[#This Row],[Account]]&lt;&gt;"",J28+L28-$N$7,"")</f>
        <v>-74</v>
      </c>
      <c r="N28" s="25" t="str">
        <f>IF(Table119[[#This Row],[Account]]&lt;&gt;"",IF(Table119[[#This Row],[Aging ]]&lt;0,"OVERDUE","OK"),"")</f>
        <v>OVERDUE</v>
      </c>
      <c r="Q28" s="26"/>
    </row>
    <row r="29" spans="2:17" ht="15.75" thickBot="1" x14ac:dyDescent="0.3">
      <c r="B29" s="106">
        <f ca="1">IFERROR(IF(Table119[[#This Row],[Account]]&lt;&gt;"",OFFSET(B29,-1,0)+1,""),1)</f>
        <v>15</v>
      </c>
      <c r="C29" s="14">
        <v>482734</v>
      </c>
      <c r="D29" s="15" t="s">
        <v>1713</v>
      </c>
      <c r="E29" s="15" t="s">
        <v>1714</v>
      </c>
      <c r="F29" s="14" t="s">
        <v>1728</v>
      </c>
      <c r="G29" s="17">
        <v>43097</v>
      </c>
      <c r="H29" s="14">
        <v>9006291431</v>
      </c>
      <c r="I29" s="16">
        <v>5931.25</v>
      </c>
      <c r="J29" s="17">
        <v>43097</v>
      </c>
      <c r="K29" s="17">
        <v>43187</v>
      </c>
      <c r="L29" s="14">
        <f>IF(Table119[[#This Row],[Account]]&lt;&gt;"",$N$8,"")</f>
        <v>0</v>
      </c>
      <c r="M29" s="18">
        <f>IF(Table119[[#This Row],[Account]]&lt;&gt;"",J29+L29-$N$7,"")</f>
        <v>-74</v>
      </c>
      <c r="N29" s="19" t="str">
        <f>IF(Table119[[#This Row],[Account]]&lt;&gt;"",IF(Table119[[#This Row],[Aging ]]&lt;0,"OVERDUE","OK"),"")</f>
        <v>OVERDUE</v>
      </c>
      <c r="Q29" s="26"/>
    </row>
    <row r="30" spans="2:17" ht="15.75" thickBot="1" x14ac:dyDescent="0.3">
      <c r="B30" s="107">
        <f ca="1">IFERROR(IF(Table119[[#This Row],[Account]]&lt;&gt;"",OFFSET(B30,-1,0)+1,""),1)</f>
        <v>16</v>
      </c>
      <c r="C30" s="20">
        <v>482734</v>
      </c>
      <c r="D30" s="21" t="s">
        <v>1713</v>
      </c>
      <c r="E30" s="21" t="s">
        <v>1714</v>
      </c>
      <c r="F30" s="20" t="s">
        <v>1729</v>
      </c>
      <c r="G30" s="23">
        <v>43097</v>
      </c>
      <c r="H30" s="20">
        <v>9006291432</v>
      </c>
      <c r="I30" s="22">
        <v>4562.5</v>
      </c>
      <c r="J30" s="23">
        <v>43097</v>
      </c>
      <c r="K30" s="23">
        <v>43187</v>
      </c>
      <c r="L30" s="20">
        <f>IF(Table119[[#This Row],[Account]]&lt;&gt;"",$N$8,"")</f>
        <v>0</v>
      </c>
      <c r="M30" s="24">
        <f>IF(Table119[[#This Row],[Account]]&lt;&gt;"",J30+L30-$N$7,"")</f>
        <v>-74</v>
      </c>
      <c r="N30" s="25" t="str">
        <f>IF(Table119[[#This Row],[Account]]&lt;&gt;"",IF(Table119[[#This Row],[Aging ]]&lt;0,"OVERDUE","OK"),"")</f>
        <v>OVERDUE</v>
      </c>
      <c r="Q30" s="26"/>
    </row>
    <row r="31" spans="2:17" ht="15.75" thickBot="1" x14ac:dyDescent="0.3">
      <c r="B31" s="106">
        <f ca="1">IFERROR(IF(Table119[[#This Row],[Account]]&lt;&gt;"",OFFSET(B31,-1,0)+1,""),1)</f>
        <v>17</v>
      </c>
      <c r="C31" s="14">
        <v>482734</v>
      </c>
      <c r="D31" s="15" t="s">
        <v>1713</v>
      </c>
      <c r="E31" s="15" t="s">
        <v>1714</v>
      </c>
      <c r="F31" s="14" t="s">
        <v>1730</v>
      </c>
      <c r="G31" s="17">
        <v>43118</v>
      </c>
      <c r="H31" s="14">
        <v>9006535530</v>
      </c>
      <c r="I31" s="16">
        <v>6227.81</v>
      </c>
      <c r="J31" s="17">
        <v>43118</v>
      </c>
      <c r="K31" s="17">
        <v>43208</v>
      </c>
      <c r="L31" s="14">
        <f>IF(Table119[[#This Row],[Account]]&lt;&gt;"",$N$8,"")</f>
        <v>0</v>
      </c>
      <c r="M31" s="18">
        <f>IF(Table119[[#This Row],[Account]]&lt;&gt;"",J31+L31-$N$7,"")</f>
        <v>-53</v>
      </c>
      <c r="N31" s="19" t="str">
        <f>IF(Table119[[#This Row],[Account]]&lt;&gt;"",IF(Table119[[#This Row],[Aging ]]&lt;0,"OVERDUE","OK"),"")</f>
        <v>OVERDUE</v>
      </c>
      <c r="Q31" s="26"/>
    </row>
    <row r="32" spans="2:17" ht="15.75" thickBot="1" x14ac:dyDescent="0.3">
      <c r="B32" s="107">
        <f ca="1">IFERROR(IF(Table119[[#This Row],[Account]]&lt;&gt;"",OFFSET(B32,-1,0)+1,""),1)</f>
        <v>18</v>
      </c>
      <c r="C32" s="20">
        <v>482734</v>
      </c>
      <c r="D32" s="21" t="s">
        <v>1713</v>
      </c>
      <c r="E32" s="21" t="s">
        <v>1714</v>
      </c>
      <c r="F32" s="20" t="s">
        <v>1731</v>
      </c>
      <c r="G32" s="23">
        <v>43119</v>
      </c>
      <c r="H32" s="20">
        <v>9006550841</v>
      </c>
      <c r="I32" s="22">
        <v>2098.69</v>
      </c>
      <c r="J32" s="23">
        <v>43119</v>
      </c>
      <c r="K32" s="23">
        <v>43209</v>
      </c>
      <c r="L32" s="20">
        <f>IF(Table119[[#This Row],[Account]]&lt;&gt;"",$N$8,"")</f>
        <v>0</v>
      </c>
      <c r="M32" s="24">
        <f>IF(Table119[[#This Row],[Account]]&lt;&gt;"",J32+L32-$N$7,"")</f>
        <v>-52</v>
      </c>
      <c r="N32" s="25" t="str">
        <f>IF(Table119[[#This Row],[Account]]&lt;&gt;"",IF(Table119[[#This Row],[Aging ]]&lt;0,"OVERDUE","OK"),"")</f>
        <v>OVERDUE</v>
      </c>
      <c r="Q32" s="26"/>
    </row>
    <row r="33" spans="2:17" ht="15.75" thickBot="1" x14ac:dyDescent="0.3">
      <c r="B33" s="106">
        <f ca="1">IFERROR(IF(Table119[[#This Row],[Account]]&lt;&gt;"",OFFSET(B33,-1,0)+1,""),1)</f>
        <v>19</v>
      </c>
      <c r="C33" s="14">
        <v>482734</v>
      </c>
      <c r="D33" s="15" t="s">
        <v>1713</v>
      </c>
      <c r="E33" s="15" t="s">
        <v>1714</v>
      </c>
      <c r="F33" s="14" t="s">
        <v>1732</v>
      </c>
      <c r="G33" s="17">
        <v>43126</v>
      </c>
      <c r="H33" s="14">
        <v>9006653002</v>
      </c>
      <c r="I33" s="16">
        <v>2098.69</v>
      </c>
      <c r="J33" s="17">
        <v>43126</v>
      </c>
      <c r="K33" s="17">
        <v>43216</v>
      </c>
      <c r="L33" s="14">
        <f>IF(Table119[[#This Row],[Account]]&lt;&gt;"",$N$8,"")</f>
        <v>0</v>
      </c>
      <c r="M33" s="18">
        <f>IF(Table119[[#This Row],[Account]]&lt;&gt;"",J33+L33-$N$7,"")</f>
        <v>-45</v>
      </c>
      <c r="N33" s="19" t="str">
        <f>IF(Table119[[#This Row],[Account]]&lt;&gt;"",IF(Table119[[#This Row],[Aging ]]&lt;0,"OVERDUE","OK"),"")</f>
        <v>OVERDUE</v>
      </c>
      <c r="Q33" s="26"/>
    </row>
    <row r="34" spans="2:17" ht="15.75" thickBot="1" x14ac:dyDescent="0.3">
      <c r="B34" s="107">
        <f ca="1">IFERROR(IF(Table119[[#This Row],[Account]]&lt;&gt;"",OFFSET(B34,-1,0)+1,""),1)</f>
        <v>20</v>
      </c>
      <c r="C34" s="20">
        <v>482734</v>
      </c>
      <c r="D34" s="21" t="s">
        <v>1713</v>
      </c>
      <c r="E34" s="21" t="s">
        <v>1714</v>
      </c>
      <c r="F34" s="20" t="s">
        <v>1733</v>
      </c>
      <c r="G34" s="23">
        <v>43140</v>
      </c>
      <c r="H34" s="20">
        <v>9006864523</v>
      </c>
      <c r="I34" s="22">
        <v>3924.38</v>
      </c>
      <c r="J34" s="23">
        <v>43140</v>
      </c>
      <c r="K34" s="23">
        <v>43230</v>
      </c>
      <c r="L34" s="20">
        <f>IF(Table119[[#This Row],[Account]]&lt;&gt;"",$N$8,"")</f>
        <v>0</v>
      </c>
      <c r="M34" s="24">
        <f>IF(Table119[[#This Row],[Account]]&lt;&gt;"",J34+L34-$N$7,"")</f>
        <v>-31</v>
      </c>
      <c r="N34" s="25" t="str">
        <f>IF(Table119[[#This Row],[Account]]&lt;&gt;"",IF(Table119[[#This Row],[Aging ]]&lt;0,"OVERDUE","OK"),"")</f>
        <v>OVERDUE</v>
      </c>
      <c r="Q34" s="26"/>
    </row>
    <row r="35" spans="2:17" ht="15.75" thickBot="1" x14ac:dyDescent="0.3">
      <c r="B35" s="106">
        <f ca="1">IFERROR(IF(Table119[[#This Row],[Account]]&lt;&gt;"",OFFSET(B35,-1,0)+1,""),1)</f>
        <v>21</v>
      </c>
      <c r="C35" s="14">
        <v>482734</v>
      </c>
      <c r="D35" s="15" t="s">
        <v>1713</v>
      </c>
      <c r="E35" s="15" t="s">
        <v>1714</v>
      </c>
      <c r="F35" s="14" t="s">
        <v>1734</v>
      </c>
      <c r="G35" s="17">
        <v>43153</v>
      </c>
      <c r="H35" s="14">
        <v>9007055483</v>
      </c>
      <c r="I35" s="16">
        <v>6227.81</v>
      </c>
      <c r="J35" s="17">
        <v>43153</v>
      </c>
      <c r="K35" s="17">
        <v>43243</v>
      </c>
      <c r="L35" s="14">
        <f>IF(Table119[[#This Row],[Account]]&lt;&gt;"",$N$8,"")</f>
        <v>0</v>
      </c>
      <c r="M35" s="18">
        <f>IF(Table119[[#This Row],[Account]]&lt;&gt;"",J35+L35-$N$7,"")</f>
        <v>-18</v>
      </c>
      <c r="N35" s="19" t="str">
        <f>IF(Table119[[#This Row],[Account]]&lt;&gt;"",IF(Table119[[#This Row],[Aging ]]&lt;0,"OVERDUE","OK"),"")</f>
        <v>OVERDUE</v>
      </c>
      <c r="Q35" s="26"/>
    </row>
    <row r="36" spans="2:17" ht="15.75" thickBot="1" x14ac:dyDescent="0.3">
      <c r="B36" s="107">
        <f ca="1">IFERROR(IF(Table119[[#This Row],[Account]]&lt;&gt;"",OFFSET(B36,-1,0)+1,""),1)</f>
        <v>22</v>
      </c>
      <c r="C36" s="20">
        <v>482734</v>
      </c>
      <c r="D36" s="21" t="s">
        <v>1713</v>
      </c>
      <c r="E36" s="21" t="s">
        <v>1714</v>
      </c>
      <c r="F36" s="20" t="s">
        <v>1735</v>
      </c>
      <c r="G36" s="23">
        <v>43245</v>
      </c>
      <c r="H36" s="20">
        <v>7000149517</v>
      </c>
      <c r="I36" s="22">
        <v>1050</v>
      </c>
      <c r="J36" s="23">
        <v>43245</v>
      </c>
      <c r="K36" s="23">
        <v>43275</v>
      </c>
      <c r="L36" s="20">
        <f>IF(Table119[[#This Row],[Account]]&lt;&gt;"",$N$8,"")</f>
        <v>0</v>
      </c>
      <c r="M36" s="24">
        <f>IF(Table119[[#This Row],[Account]]&lt;&gt;"",J36+L36-$N$7,"")</f>
        <v>74</v>
      </c>
      <c r="N36" s="25" t="str">
        <f>IF(Table119[[#This Row],[Account]]&lt;&gt;"",IF(Table119[[#This Row],[Aging ]]&lt;0,"OVERDUE","OK"),"")</f>
        <v>OK</v>
      </c>
      <c r="Q36" s="26"/>
    </row>
    <row r="37" spans="2:17" ht="15.75" thickBot="1" x14ac:dyDescent="0.3">
      <c r="B37" s="106">
        <f ca="1">IFERROR(IF(Table119[[#This Row],[Account]]&lt;&gt;"",OFFSET(B37,-1,0)+1,""),1)</f>
        <v>23</v>
      </c>
      <c r="C37" s="14">
        <v>482734</v>
      </c>
      <c r="D37" s="15" t="s">
        <v>1713</v>
      </c>
      <c r="E37" s="15" t="s">
        <v>1714</v>
      </c>
      <c r="F37" s="14" t="s">
        <v>1736</v>
      </c>
      <c r="G37" s="17">
        <v>43251</v>
      </c>
      <c r="H37" s="14">
        <v>9008603418</v>
      </c>
      <c r="I37" s="16">
        <v>6227.81</v>
      </c>
      <c r="J37" s="17">
        <v>43251</v>
      </c>
      <c r="K37" s="17">
        <v>43341</v>
      </c>
      <c r="L37" s="14">
        <f>IF(Table119[[#This Row],[Account]]&lt;&gt;"",$N$8,"")</f>
        <v>0</v>
      </c>
      <c r="M37" s="18">
        <f>IF(Table119[[#This Row],[Account]]&lt;&gt;"",J37+L37-$N$7,"")</f>
        <v>80</v>
      </c>
      <c r="N37" s="19" t="str">
        <f>IF(Table119[[#This Row],[Account]]&lt;&gt;"",IF(Table119[[#This Row],[Aging ]]&lt;0,"OVERDUE","OK"),"")</f>
        <v>OK</v>
      </c>
      <c r="Q37" s="26"/>
    </row>
    <row r="38" spans="2:17" ht="15.75" thickBot="1" x14ac:dyDescent="0.3">
      <c r="B38" s="107">
        <f ca="1">IFERROR(IF(Table119[[#This Row],[Account]]&lt;&gt;"",OFFSET(B38,-1,0)+1,""),1)</f>
        <v>24</v>
      </c>
      <c r="C38" s="20">
        <v>482734</v>
      </c>
      <c r="D38" s="21" t="s">
        <v>1713</v>
      </c>
      <c r="E38" s="21" t="s">
        <v>1714</v>
      </c>
      <c r="F38" s="20" t="s">
        <v>1737</v>
      </c>
      <c r="G38" s="23">
        <v>43406</v>
      </c>
      <c r="H38" s="20">
        <v>7000206634</v>
      </c>
      <c r="I38" s="22">
        <v>3045</v>
      </c>
      <c r="J38" s="23">
        <v>43406</v>
      </c>
      <c r="K38" s="23">
        <v>43436</v>
      </c>
      <c r="L38" s="20">
        <f>IF(Table119[[#This Row],[Account]]&lt;&gt;"",$N$8,"")</f>
        <v>0</v>
      </c>
      <c r="M38" s="24">
        <f>IF(Table119[[#This Row],[Account]]&lt;&gt;"",J38+L38-$N$7,"")</f>
        <v>235</v>
      </c>
      <c r="N38" s="25" t="str">
        <f>IF(Table119[[#This Row],[Account]]&lt;&gt;"",IF(Table119[[#This Row],[Aging ]]&lt;0,"OVERDUE","OK"),"")</f>
        <v>OK</v>
      </c>
      <c r="Q38" s="26"/>
    </row>
    <row r="39" spans="2:17" ht="15.75" thickBot="1" x14ac:dyDescent="0.3">
      <c r="B39" s="106">
        <f ca="1">IFERROR(IF(Table119[[#This Row],[Account]]&lt;&gt;"",OFFSET(B39,-1,0)+1,""),1)</f>
        <v>25</v>
      </c>
      <c r="C39" s="14">
        <v>482734</v>
      </c>
      <c r="D39" s="15" t="s">
        <v>1713</v>
      </c>
      <c r="E39" s="15" t="s">
        <v>1714</v>
      </c>
      <c r="F39" s="14" t="s">
        <v>1738</v>
      </c>
      <c r="G39" s="17">
        <v>43357</v>
      </c>
      <c r="H39" s="14">
        <v>9010354984</v>
      </c>
      <c r="I39" s="16">
        <v>750.75</v>
      </c>
      <c r="J39" s="17">
        <v>43357</v>
      </c>
      <c r="K39" s="17">
        <v>43447</v>
      </c>
      <c r="L39" s="14">
        <f>IF(Table119[[#This Row],[Account]]&lt;&gt;"",$N$8,"")</f>
        <v>0</v>
      </c>
      <c r="M39" s="18">
        <f>IF(Table119[[#This Row],[Account]]&lt;&gt;"",J39+L39-$N$7,"")</f>
        <v>186</v>
      </c>
      <c r="N39" s="19" t="str">
        <f>IF(Table119[[#This Row],[Account]]&lt;&gt;"",IF(Table119[[#This Row],[Aging ]]&lt;0,"OVERDUE","OK"),"")</f>
        <v>OK</v>
      </c>
      <c r="Q39" s="26"/>
    </row>
    <row r="40" spans="2:17" ht="15.75" thickBot="1" x14ac:dyDescent="0.3">
      <c r="G40" s="27" t="s">
        <v>20</v>
      </c>
      <c r="H40" s="28"/>
      <c r="I40" s="29">
        <f>SUM(I15:I39)</f>
        <v>80309.19</v>
      </c>
      <c r="Q40" s="26"/>
    </row>
    <row r="41" spans="2:17" ht="15.75" thickBot="1" x14ac:dyDescent="0.3">
      <c r="G41" s="30" t="s">
        <v>21</v>
      </c>
      <c r="H41" s="31"/>
      <c r="I41" s="32">
        <f>SUM(I15:I39)</f>
        <v>80309.19</v>
      </c>
      <c r="Q41" s="26"/>
    </row>
    <row r="42" spans="2:17" ht="15.75" thickBot="1" x14ac:dyDescent="0.3">
      <c r="G42" s="33" t="s">
        <v>22</v>
      </c>
      <c r="H42" s="34"/>
      <c r="I42" s="35">
        <f>IFERROR(I41/I40,"")</f>
        <v>1</v>
      </c>
      <c r="Q42" s="26"/>
    </row>
    <row r="43" spans="2:17" x14ac:dyDescent="0.25">
      <c r="Q43" s="26"/>
    </row>
    <row r="44" spans="2:17" ht="15.75" thickBot="1" x14ac:dyDescent="0.3">
      <c r="Q44" s="26"/>
    </row>
    <row r="45" spans="2:17" x14ac:dyDescent="0.25">
      <c r="B45" s="116" t="s">
        <v>23</v>
      </c>
      <c r="C45" s="116"/>
      <c r="D45" s="37" t="s">
        <v>24</v>
      </c>
      <c r="E45" s="37" t="s">
        <v>25</v>
      </c>
      <c r="F45" s="37" t="s">
        <v>26</v>
      </c>
      <c r="G45" s="37" t="s">
        <v>27</v>
      </c>
      <c r="H45" s="37" t="s">
        <v>28</v>
      </c>
      <c r="I45" s="37" t="s">
        <v>29</v>
      </c>
      <c r="J45" s="37" t="s">
        <v>31</v>
      </c>
      <c r="K45" s="38" t="s">
        <v>30</v>
      </c>
      <c r="Q45" s="26"/>
    </row>
    <row r="46" spans="2:17" ht="15.75" thickBot="1" x14ac:dyDescent="0.3">
      <c r="B46" s="116"/>
      <c r="C46" s="117"/>
      <c r="D46" s="39">
        <f>SUMIFS(I15:I39,M15:M39,"&gt;="&amp;0)</f>
        <v>10704.810000000001</v>
      </c>
      <c r="E46" s="40">
        <f>SUMIFS(I15:I39,M15:M39,"&gt;="&amp;-30,M15:M39,"&lt;="&amp;-1)</f>
        <v>6227.81</v>
      </c>
      <c r="F46" s="39">
        <f>SUMIFS(I15:I39,M15:M39,"&gt;="&amp;-60,M15:M39,"&lt;="&amp;-31)</f>
        <v>14349.57</v>
      </c>
      <c r="G46" s="39">
        <f>SUMIFS(I15:I39,M15:M39,"&gt;="&amp;-90,M15:M39,"&lt;="&amp;-61)</f>
        <v>15231.25</v>
      </c>
      <c r="H46" s="39">
        <f>SUMIFS(I15:I39,M15:M39,"&gt;="&amp;-120,M15:M39,"&lt;="&amp;-91)</f>
        <v>702</v>
      </c>
      <c r="I46" s="39">
        <f>SUMIFS(I15:I39,M15:M39,"&lt;="&amp;-121)</f>
        <v>33093.75</v>
      </c>
      <c r="J46" s="41">
        <f>SUM(D46:I46)</f>
        <v>80309.19</v>
      </c>
      <c r="K46" s="42">
        <f>SUM(H46:I46)</f>
        <v>33795.75</v>
      </c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5:C46"/>
  </mergeCells>
  <conditionalFormatting sqref="M15:M39">
    <cfRule type="cellIs" dxfId="2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476544</v>
      </c>
      <c r="D15" s="15" t="s">
        <v>1707</v>
      </c>
      <c r="E15" s="15" t="s">
        <v>1708</v>
      </c>
      <c r="F15" s="14" t="s">
        <v>1709</v>
      </c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>
        <f>IF(Table118[[#This Row],[Account]]&lt;&gt;"",$N$8,"")</f>
        <v>0</v>
      </c>
      <c r="M15" s="105">
        <f>IF(Table118[[#This Row],[Account]]&lt;&gt;"",J15+L15-$N$7,"")</f>
        <v>105</v>
      </c>
      <c r="N15" s="74" t="str">
        <f>IF(Table118[[#This Row],[Account]]&lt;&gt;"",IF(Table118[[#This Row],[Aging ]]&lt;0,"OVERDUE","OK"),"")</f>
        <v>OK</v>
      </c>
    </row>
    <row r="16" spans="2:14" ht="15.75" thickBot="1" x14ac:dyDescent="0.3">
      <c r="B16" s="107">
        <f ca="1">IFERROR(IF(Table118[[#This Row],[Account]]&lt;&gt;"",OFFSET(B16,-1,0)+1,""),1)</f>
        <v>2</v>
      </c>
      <c r="C16" s="20">
        <v>476544</v>
      </c>
      <c r="D16" s="21" t="s">
        <v>1707</v>
      </c>
      <c r="E16" s="21" t="s">
        <v>1708</v>
      </c>
      <c r="F16" s="20" t="s">
        <v>1710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IF(Table118[[#This Row],[Account]]&lt;&gt;"",$N$8,"")</f>
        <v>0</v>
      </c>
      <c r="M16" s="24">
        <f>IF(Table118[[#This Row],[Account]]&lt;&gt;"",J16+L16-$N$7,"")</f>
        <v>189</v>
      </c>
      <c r="N16" s="25" t="str">
        <f>IF(Table118[[#This Row],[Account]]&lt;&gt;"",IF(Table118[[#This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2000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2000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450082</v>
      </c>
      <c r="D15" s="15" t="s">
        <v>1698</v>
      </c>
      <c r="E15" s="15" t="s">
        <v>1699</v>
      </c>
      <c r="F15" s="14" t="s">
        <v>1700</v>
      </c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>
        <f>IF(Table117[[#This Row],[Account]]&lt;&gt;"",$N$8,"")</f>
        <v>0</v>
      </c>
      <c r="M15" s="105">
        <f>IF(Table117[[#This Row],[Account]]&lt;&gt;"",J15+L15-$N$7,"")</f>
        <v>-424</v>
      </c>
      <c r="N15" s="74" t="str">
        <f>IF(Table117[[#This Row],[Account]]&lt;&gt;"",IF(Table117[[#This Row],[Aging ]]&lt;0,"OVERDUE","OK"),"")</f>
        <v>OVERDUE</v>
      </c>
    </row>
    <row r="16" spans="2:14" ht="15.75" thickBot="1" x14ac:dyDescent="0.3">
      <c r="B16" s="107">
        <f ca="1">IFERROR(IF(Table117[[#This Row],[Account]]&lt;&gt;"",OFFSET(B16,-1,0)+1,""),1)</f>
        <v>2</v>
      </c>
      <c r="C16" s="20">
        <v>450082</v>
      </c>
      <c r="D16" s="21" t="s">
        <v>1698</v>
      </c>
      <c r="E16" s="21" t="s">
        <v>1699</v>
      </c>
      <c r="F16" s="20" t="s">
        <v>1701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IF(Table117[[#This Row],[Account]]&lt;&gt;"",$N$8,"")</f>
        <v>0</v>
      </c>
      <c r="M16" s="24">
        <f>IF(Table117[[#This Row],[Account]]&lt;&gt;"",J16+L16-$N$7,"")</f>
        <v>-424</v>
      </c>
      <c r="N16" s="25" t="str">
        <f>IF(Table117[[#This Row],[Account]]&lt;&gt;"",IF(Table117[[#This Row],[Aging ]]&lt;0,"OVERDUE","OK"),"")</f>
        <v>OVERDUE</v>
      </c>
    </row>
    <row r="17" spans="2:17" ht="15.75" thickBot="1" x14ac:dyDescent="0.3">
      <c r="B17" s="106">
        <f ca="1">IFERROR(IF(Table117[[#This Row],[Account]]&lt;&gt;"",OFFSET(B17,-1,0)+1,""),1)</f>
        <v>3</v>
      </c>
      <c r="C17" s="14">
        <v>450082</v>
      </c>
      <c r="D17" s="15" t="s">
        <v>1698</v>
      </c>
      <c r="E17" s="15" t="s">
        <v>1699</v>
      </c>
      <c r="F17" s="14" t="s">
        <v>1702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IF(Table117[[#This Row],[Account]]&lt;&gt;"",$N$8,"")</f>
        <v>0</v>
      </c>
      <c r="M17" s="18">
        <f>IF(Table117[[#This Row],[Account]]&lt;&gt;"",J17+L17-$N$7,"")</f>
        <v>-199</v>
      </c>
      <c r="N17" s="19" t="str">
        <f>IF(Table117[[#This Row],[Account]]&lt;&gt;"",IF(Table117[[#This Row],[Aging ]]&lt;0,"OVERDUE","OK"),"")</f>
        <v>OVERDUE</v>
      </c>
    </row>
    <row r="18" spans="2:17" ht="15.75" thickBot="1" x14ac:dyDescent="0.3">
      <c r="B18" s="107">
        <f ca="1">IFERROR(IF(Table117[[#This Row],[Account]]&lt;&gt;"",OFFSET(B18,-1,0)+1,""),1)</f>
        <v>4</v>
      </c>
      <c r="C18" s="20">
        <v>450082</v>
      </c>
      <c r="D18" s="21" t="s">
        <v>1698</v>
      </c>
      <c r="E18" s="21" t="s">
        <v>1699</v>
      </c>
      <c r="F18" s="20" t="s">
        <v>1703</v>
      </c>
      <c r="G18" s="23">
        <v>43381</v>
      </c>
      <c r="H18" s="20" t="s">
        <v>1933</v>
      </c>
      <c r="I18" s="22">
        <v>-3875</v>
      </c>
      <c r="J18" s="23">
        <v>43381</v>
      </c>
      <c r="K18" s="23">
        <v>43173</v>
      </c>
      <c r="L18" s="20">
        <f>IF(Table117[[#This Row],[Account]]&lt;&gt;"",$N$8,"")</f>
        <v>0</v>
      </c>
      <c r="M18" s="24">
        <f>IF(Table117[[#This Row],[Account]]&lt;&gt;"",J18+L18-$N$7,"")</f>
        <v>210</v>
      </c>
      <c r="N18" s="25" t="str">
        <f>IF(Table117[[#This Row],[Account]]&lt;&gt;"",IF(Table117[[#This Row],[Aging ]]&lt;0,"OVERDUE","OK"),"")</f>
        <v>OK</v>
      </c>
    </row>
    <row r="19" spans="2:17" ht="15.75" thickBot="1" x14ac:dyDescent="0.3">
      <c r="B19" s="106">
        <f ca="1">IFERROR(IF(Table117[[#This Row],[Account]]&lt;&gt;"",OFFSET(B19,-1,0)+1,""),1)</f>
        <v>5</v>
      </c>
      <c r="C19" s="14">
        <v>450082</v>
      </c>
      <c r="D19" s="15" t="s">
        <v>1698</v>
      </c>
      <c r="E19" s="15" t="s">
        <v>1699</v>
      </c>
      <c r="F19" s="14" t="s">
        <v>1703</v>
      </c>
      <c r="G19" s="17">
        <v>43083</v>
      </c>
      <c r="H19" s="14">
        <v>9006114948</v>
      </c>
      <c r="I19" s="16">
        <v>9125</v>
      </c>
      <c r="J19" s="17">
        <v>43083</v>
      </c>
      <c r="K19" s="17">
        <v>43173</v>
      </c>
      <c r="L19" s="14">
        <f>IF(Table117[[#This Row],[Account]]&lt;&gt;"",$N$8,"")</f>
        <v>0</v>
      </c>
      <c r="M19" s="18">
        <f>IF(Table117[[#This Row],[Account]]&lt;&gt;"",J19+L19-$N$7,"")</f>
        <v>-88</v>
      </c>
      <c r="N19" s="19" t="str">
        <f>IF(Table117[[#This Row],[Account]]&lt;&gt;"",IF(Table117[[#This Row],[Aging ]]&lt;0,"OVERDUE","OK"),"")</f>
        <v>OVERDUE</v>
      </c>
    </row>
    <row r="20" spans="2:17" ht="15.75" thickBot="1" x14ac:dyDescent="0.3">
      <c r="B20" s="107">
        <f ca="1">IFERROR(IF(Table117[[#This Row],[Account]]&lt;&gt;"",OFFSET(B20,-1,0)+1,""),1)</f>
        <v>6</v>
      </c>
      <c r="C20" s="20">
        <v>450082</v>
      </c>
      <c r="D20" s="21" t="s">
        <v>1698</v>
      </c>
      <c r="E20" s="21" t="s">
        <v>1699</v>
      </c>
      <c r="F20" s="20" t="s">
        <v>1704</v>
      </c>
      <c r="G20" s="23">
        <v>43118</v>
      </c>
      <c r="H20" s="20">
        <v>9006535515</v>
      </c>
      <c r="I20" s="22">
        <v>3228.75</v>
      </c>
      <c r="J20" s="23">
        <v>43118</v>
      </c>
      <c r="K20" s="23">
        <v>43208</v>
      </c>
      <c r="L20" s="20">
        <f>IF(Table117[[#This Row],[Account]]&lt;&gt;"",$N$8,"")</f>
        <v>0</v>
      </c>
      <c r="M20" s="24">
        <f>IF(Table117[[#This Row],[Account]]&lt;&gt;"",J20+L20-$N$7,"")</f>
        <v>-53</v>
      </c>
      <c r="N20" s="25" t="str">
        <f>IF(Table117[[#This Row],[Account]]&lt;&gt;"",IF(Table117[[#This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9503.75</v>
      </c>
      <c r="Q21" s="26"/>
    </row>
    <row r="22" spans="2:17" ht="15.75" thickBot="1" x14ac:dyDescent="0.3">
      <c r="G22" s="30" t="s">
        <v>21</v>
      </c>
      <c r="H22" s="31"/>
      <c r="I22" s="32">
        <f>SUM(I15:I20)</f>
        <v>9503.75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-3875</v>
      </c>
      <c r="E27" s="40">
        <f>SUMIFS(I15:I20,M15:M20,"&gt;="&amp;-30,M15:M20,"&lt;="&amp;-1)</f>
        <v>0</v>
      </c>
      <c r="F27" s="39">
        <f>SUMIFS(I15:I20,M15:M20,"&gt;="&amp;-60,M15:M20,"&lt;="&amp;-31)</f>
        <v>3228.75</v>
      </c>
      <c r="G27" s="39">
        <f>SUMIFS(I15:I20,M15:M20,"&gt;="&amp;-90,M15:M20,"&lt;="&amp;-61)</f>
        <v>9125</v>
      </c>
      <c r="H27" s="39">
        <f>SUMIFS(I15:I20,M15:M20,"&gt;="&amp;-120,M15:M20,"&lt;="&amp;-91)</f>
        <v>0</v>
      </c>
      <c r="I27" s="39">
        <f>SUMIFS(I15:I20,M15:M20,"&lt;="&amp;-121)</f>
        <v>1025</v>
      </c>
      <c r="J27" s="41">
        <f>SUM(D27:I27)</f>
        <v>9503.75</v>
      </c>
      <c r="K27" s="42">
        <f>SUM(H27:I27)</f>
        <v>1025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450000</v>
      </c>
      <c r="D15" s="15" t="s">
        <v>1692</v>
      </c>
      <c r="E15" s="15" t="s">
        <v>1693</v>
      </c>
      <c r="F15" s="14" t="s">
        <v>1694</v>
      </c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>
        <f>IF(Table116[[#This Row],[Account]]&lt;&gt;"",$N$8,"")</f>
        <v>0</v>
      </c>
      <c r="M15" s="105">
        <f>IF(Table116[[#This Row],[Account]]&lt;&gt;"",J15+L15-$N$7,"")</f>
        <v>-81</v>
      </c>
      <c r="N15" s="74" t="str">
        <f>IF(Table116[[#This Row],[Account]]&lt;&gt;"",IF(Table116[[#This Row],[Aging ]]&lt;0,"OVERDUE","OK"),"")</f>
        <v>OVERDUE</v>
      </c>
    </row>
    <row r="16" spans="2:14" ht="15.75" thickBot="1" x14ac:dyDescent="0.3">
      <c r="B16" s="107">
        <f ca="1">IFERROR(IF(Table116[[#This Row],[Account]]&lt;&gt;"",OFFSET(B16,-1,0)+1,""),1)</f>
        <v>2</v>
      </c>
      <c r="C16" s="20">
        <v>450000</v>
      </c>
      <c r="D16" s="21" t="s">
        <v>1692</v>
      </c>
      <c r="E16" s="21" t="s">
        <v>1693</v>
      </c>
      <c r="F16" s="20" t="s">
        <v>1695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IF(Table116[[#This Row],[Account]]&lt;&gt;"",$N$8,"")</f>
        <v>0</v>
      </c>
      <c r="M16" s="24">
        <f>IF(Table116[[#This Row],[Account]]&lt;&gt;"",J16+L16-$N$7,"")</f>
        <v>221</v>
      </c>
      <c r="N16" s="25" t="str">
        <f>IF(Table116[[#This Row],[Account]]&lt;&gt;"",IF(Table116[[#This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4979.63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5750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10729.630000000001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1683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1684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427840</v>
      </c>
      <c r="D15" s="15" t="s">
        <v>1685</v>
      </c>
      <c r="E15" s="15" t="s">
        <v>1686</v>
      </c>
      <c r="F15" s="14" t="s">
        <v>1687</v>
      </c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>
        <f>IF(Table115[[#This Row],[Account]]&lt;&gt;"",$N$8,"")</f>
        <v>0</v>
      </c>
      <c r="M15" s="105">
        <f>IF(Table115[[#This Row],[Account]]&lt;&gt;"",J15+L15-$N$7,"")</f>
        <v>25</v>
      </c>
      <c r="N15" s="74" t="str">
        <f>IF(Table115[[#This Row],[Account]]&lt;&gt;"",IF(Table115[[#This Row],[Aging ]]&lt;0,"OVERDUE","OK"),"")</f>
        <v>OK</v>
      </c>
    </row>
    <row r="16" spans="2:14" ht="15.75" thickBot="1" x14ac:dyDescent="0.3">
      <c r="B16" s="107">
        <f ca="1">IFERROR(IF(Table115[[#This Row],[Account]]&lt;&gt;"",OFFSET(B16,-1,0)+1,""),1)</f>
        <v>2</v>
      </c>
      <c r="C16" s="20">
        <v>427840</v>
      </c>
      <c r="D16" s="21" t="s">
        <v>1685</v>
      </c>
      <c r="E16" s="21" t="s">
        <v>1686</v>
      </c>
      <c r="F16" s="20" t="s">
        <v>1929</v>
      </c>
      <c r="G16" s="23">
        <v>43340</v>
      </c>
      <c r="H16" s="20" t="s">
        <v>1933</v>
      </c>
      <c r="I16" s="22">
        <v>-250.78</v>
      </c>
      <c r="J16" s="23">
        <v>43340</v>
      </c>
      <c r="K16" s="23">
        <v>43340</v>
      </c>
      <c r="L16" s="20">
        <f>IF(Table115[[#This Row],[Account]]&lt;&gt;"",$N$8,"")</f>
        <v>0</v>
      </c>
      <c r="M16" s="24">
        <f>IF(Table115[[#This Row],[Account]]&lt;&gt;"",J16+L16-$N$7,"")</f>
        <v>169</v>
      </c>
      <c r="N16" s="25" t="str">
        <f>IF(Table115[[#This Row],[Account]]&lt;&gt;"",IF(Table115[[#This Row],[Aging ]]&lt;0,"OVERDUE","OK"),"")</f>
        <v>OK</v>
      </c>
    </row>
    <row r="17" spans="2:17" ht="15.75" thickBot="1" x14ac:dyDescent="0.3">
      <c r="B17" s="106">
        <f ca="1">IFERROR(IF(Table115[[#This Row],[Account]]&lt;&gt;"",OFFSET(B17,-1,0)+1,""),1)</f>
        <v>3</v>
      </c>
      <c r="C17" s="14">
        <v>427840</v>
      </c>
      <c r="D17" s="15" t="s">
        <v>1685</v>
      </c>
      <c r="E17" s="15" t="s">
        <v>1686</v>
      </c>
      <c r="F17" s="14" t="s">
        <v>1688</v>
      </c>
      <c r="G17" s="17">
        <v>43399</v>
      </c>
      <c r="H17" s="14">
        <v>7000206197</v>
      </c>
      <c r="I17" s="16">
        <v>1050</v>
      </c>
      <c r="J17" s="17">
        <v>43399</v>
      </c>
      <c r="K17" s="17">
        <v>43429</v>
      </c>
      <c r="L17" s="14">
        <f>IF(Table115[[#This Row],[Account]]&lt;&gt;"",$N$8,"")</f>
        <v>0</v>
      </c>
      <c r="M17" s="18">
        <f>IF(Table115[[#This Row],[Account]]&lt;&gt;"",J17+L17-$N$7,"")</f>
        <v>228</v>
      </c>
      <c r="N17" s="19" t="str">
        <f>IF(Table115[[#This Row],[Account]]&lt;&gt;"",IF(Table115[[#This Row],[Aging ]]&lt;0,"OVERDUE","OK"),"")</f>
        <v>OK</v>
      </c>
    </row>
    <row r="18" spans="2:17" ht="15.75" thickBot="1" x14ac:dyDescent="0.3">
      <c r="B18" s="107">
        <f ca="1">IFERROR(IF(Table115[[#This Row],[Account]]&lt;&gt;"",OFFSET(B18,-1,0)+1,""),1)</f>
        <v>4</v>
      </c>
      <c r="C18" s="20">
        <v>427840</v>
      </c>
      <c r="D18" s="21" t="s">
        <v>1685</v>
      </c>
      <c r="E18" s="21" t="s">
        <v>1686</v>
      </c>
      <c r="F18" s="20" t="s">
        <v>1689</v>
      </c>
      <c r="G18" s="23">
        <v>43460</v>
      </c>
      <c r="H18" s="20">
        <v>9012154012</v>
      </c>
      <c r="I18" s="22">
        <v>8143.8</v>
      </c>
      <c r="J18" s="23">
        <v>43460</v>
      </c>
      <c r="K18" s="23">
        <v>43490</v>
      </c>
      <c r="L18" s="20">
        <f>IF(Table115[[#This Row],[Account]]&lt;&gt;"",$N$8,"")</f>
        <v>0</v>
      </c>
      <c r="M18" s="24">
        <f>IF(Table115[[#This Row],[Account]]&lt;&gt;"",J18+L18-$N$7,"")</f>
        <v>289</v>
      </c>
      <c r="N18" s="25" t="str">
        <f>IF(Table115[[#This Row],[Account]]&lt;&gt;"",IF(Table115[[#This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14230.3</v>
      </c>
    </row>
    <row r="20" spans="2:17" ht="15.75" thickBot="1" x14ac:dyDescent="0.3">
      <c r="G20" s="30" t="s">
        <v>21</v>
      </c>
      <c r="H20" s="31"/>
      <c r="I20" s="32">
        <f>SUM(I15:I18)</f>
        <v>14230.3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14230.3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14230.3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427329</v>
      </c>
      <c r="D15" s="15" t="s">
        <v>1680</v>
      </c>
      <c r="E15" s="15" t="s">
        <v>1681</v>
      </c>
      <c r="F15" s="14" t="s">
        <v>1928</v>
      </c>
      <c r="G15" s="17">
        <v>43305</v>
      </c>
      <c r="H15" s="14" t="s">
        <v>1933</v>
      </c>
      <c r="I15" s="16">
        <v>-3.75</v>
      </c>
      <c r="J15" s="17">
        <v>43305</v>
      </c>
      <c r="K15" s="17">
        <v>43305</v>
      </c>
      <c r="L15" s="14">
        <f>IF(Table114[[#This Row],[Account]]&lt;&gt;"",$N$8,"")</f>
        <v>0</v>
      </c>
      <c r="M15" s="105">
        <f>IF(Table114[[#This Row],[Account]]&lt;&gt;"",J15+L15-$N$7,"")</f>
        <v>134</v>
      </c>
      <c r="N15" s="74" t="str">
        <f>IF(Table114[[#This Row],[Account]]&lt;&gt;"",IF(Table114[[#This Row],[Aging ]]&lt;0,"OVERDUE","OK"),"")</f>
        <v>OK</v>
      </c>
    </row>
    <row r="16" spans="2:14" ht="15.75" thickBot="1" x14ac:dyDescent="0.3">
      <c r="B16" s="107">
        <f ca="1">IFERROR(IF(Table114[[#This Row],[Account]]&lt;&gt;"",OFFSET(B16,-1,0)+1,""),1)</f>
        <v>2</v>
      </c>
      <c r="C16" s="20">
        <v>427329</v>
      </c>
      <c r="D16" s="21" t="s">
        <v>1680</v>
      </c>
      <c r="E16" s="21" t="s">
        <v>1681</v>
      </c>
      <c r="F16" s="20" t="s">
        <v>1682</v>
      </c>
      <c r="G16" s="23">
        <v>43373</v>
      </c>
      <c r="H16" s="20">
        <v>7000188715</v>
      </c>
      <c r="I16" s="22">
        <v>1000</v>
      </c>
      <c r="J16" s="23">
        <v>43373</v>
      </c>
      <c r="K16" s="23">
        <v>43403</v>
      </c>
      <c r="L16" s="20">
        <f>IF(Table114[[#This Row],[Account]]&lt;&gt;"",$N$8,"")</f>
        <v>0</v>
      </c>
      <c r="M16" s="24">
        <f>IF(Table114[[#This Row],[Account]]&lt;&gt;"",J16+L16-$N$7,"")</f>
        <v>202</v>
      </c>
      <c r="N16" s="25" t="str">
        <f>IF(Table114[[#This Row],[Account]]&lt;&gt;"",IF(Table114[[#This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996.25</v>
      </c>
    </row>
    <row r="18" spans="2:17" ht="15.75" thickBot="1" x14ac:dyDescent="0.3">
      <c r="G18" s="30" t="s">
        <v>21</v>
      </c>
      <c r="H18" s="31"/>
      <c r="I18" s="32">
        <f>SUM(I15:I16)</f>
        <v>996.25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996.25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996.25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424053</v>
      </c>
      <c r="D15" s="15" t="s">
        <v>1675</v>
      </c>
      <c r="E15" s="15" t="s">
        <v>1676</v>
      </c>
      <c r="F15" s="14" t="s">
        <v>1677</v>
      </c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>
        <f>IF(Table113[[#This Row],[Account]]&lt;&gt;"",$N$8,"")</f>
        <v>0</v>
      </c>
      <c r="M15" s="105">
        <f>IF(Table113[[#This Row],[Account]]&lt;&gt;"",J15+L15-$N$7,"")</f>
        <v>46</v>
      </c>
      <c r="N15" s="74" t="str">
        <f>IF(Table113[[#This Row],[Account]]&lt;&gt;"",IF(Table113[[#This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1155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1155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1663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1664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401828</v>
      </c>
      <c r="D15" s="15" t="s">
        <v>1665</v>
      </c>
      <c r="E15" s="15" t="s">
        <v>1666</v>
      </c>
      <c r="F15" s="14" t="s">
        <v>1667</v>
      </c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>
        <f>IF(Table112[[#This Row],[Account]]&lt;&gt;"",$N$8,"")</f>
        <v>0</v>
      </c>
      <c r="M15" s="105">
        <f>IF(Table112[[#This Row],[Account]]&lt;&gt;"",J15+L15-$N$7,"")</f>
        <v>59</v>
      </c>
      <c r="N15" s="74" t="str">
        <f>IF(Table112[[#This Row],[Account]]&lt;&gt;"",IF(Table112[[#This Row],[Aging ]]&lt;0,"OVERDUE","OK"),"")</f>
        <v>OK</v>
      </c>
    </row>
    <row r="16" spans="2:14" ht="15.75" thickBot="1" x14ac:dyDescent="0.3">
      <c r="B16" s="107">
        <f ca="1">IFERROR(IF(Table112[[#This Row],[Account]]&lt;&gt;"",OFFSET(B16,-1,0)+1,""),1)</f>
        <v>2</v>
      </c>
      <c r="C16" s="20">
        <v>401828</v>
      </c>
      <c r="D16" s="21" t="s">
        <v>1665</v>
      </c>
      <c r="E16" s="21" t="s">
        <v>1666</v>
      </c>
      <c r="F16" s="20" t="s">
        <v>1668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IF(Table112[[#This Row],[Account]]&lt;&gt;"",$N$8,"")</f>
        <v>0</v>
      </c>
      <c r="M16" s="24">
        <f>IF(Table112[[#This Row],[Account]]&lt;&gt;"",J16+L16-$N$7,"")</f>
        <v>130</v>
      </c>
      <c r="N16" s="25" t="str">
        <f>IF(Table112[[#This Row],[Account]]&lt;&gt;"",IF(Table112[[#This Row],[Aging ]]&lt;0,"OVERDUE","OK"),"")</f>
        <v>OK</v>
      </c>
    </row>
    <row r="17" spans="2:17" ht="15.75" thickBot="1" x14ac:dyDescent="0.3">
      <c r="B17" s="106">
        <f ca="1">IFERROR(IF(Table112[[#This Row],[Account]]&lt;&gt;"",OFFSET(B17,-1,0)+1,""),1)</f>
        <v>3</v>
      </c>
      <c r="C17" s="14">
        <v>401828</v>
      </c>
      <c r="D17" s="15" t="s">
        <v>1665</v>
      </c>
      <c r="E17" s="15" t="s">
        <v>1666</v>
      </c>
      <c r="F17" s="14" t="s">
        <v>1669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IF(Table112[[#This Row],[Account]]&lt;&gt;"",$N$8,"")</f>
        <v>0</v>
      </c>
      <c r="M17" s="18">
        <f>IF(Table112[[#This Row],[Account]]&lt;&gt;"",J17+L17-$N$7,"")</f>
        <v>189</v>
      </c>
      <c r="N17" s="19" t="str">
        <f>IF(Table112[[#This Row],[Account]]&lt;&gt;"",IF(Table112[[#This Row],[Aging ]]&lt;0,"OVERDUE","OK"),"")</f>
        <v>OK</v>
      </c>
    </row>
    <row r="18" spans="2:17" ht="15.75" thickBot="1" x14ac:dyDescent="0.3">
      <c r="B18" s="107">
        <f ca="1">IFERROR(IF(Table112[[#This Row],[Account]]&lt;&gt;"",OFFSET(B18,-1,0)+1,""),1)</f>
        <v>4</v>
      </c>
      <c r="C18" s="20">
        <v>401828</v>
      </c>
      <c r="D18" s="21" t="s">
        <v>1665</v>
      </c>
      <c r="E18" s="21" t="s">
        <v>1666</v>
      </c>
      <c r="F18" s="20" t="s">
        <v>1670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IF(Table112[[#This Row],[Account]]&lt;&gt;"",$N$8,"")</f>
        <v>0</v>
      </c>
      <c r="M18" s="24">
        <f>IF(Table112[[#This Row],[Account]]&lt;&gt;"",J18+L18-$N$7,"")</f>
        <v>189</v>
      </c>
      <c r="N18" s="25" t="str">
        <f>IF(Table112[[#This Row],[Account]]&lt;&gt;"",IF(Table112[[#This Row],[Aging ]]&lt;0,"OVERDUE","OK"),"")</f>
        <v>OK</v>
      </c>
    </row>
    <row r="19" spans="2:17" ht="15.75" thickBot="1" x14ac:dyDescent="0.3">
      <c r="B19" s="106">
        <f ca="1">IFERROR(IF(Table112[[#This Row],[Account]]&lt;&gt;"",OFFSET(B19,-1,0)+1,""),1)</f>
        <v>5</v>
      </c>
      <c r="C19" s="14">
        <v>401828</v>
      </c>
      <c r="D19" s="15" t="s">
        <v>1665</v>
      </c>
      <c r="E19" s="15" t="s">
        <v>1666</v>
      </c>
      <c r="F19" s="14" t="s">
        <v>1671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IF(Table112[[#This Row],[Account]]&lt;&gt;"",$N$8,"")</f>
        <v>0</v>
      </c>
      <c r="M19" s="18">
        <f>IF(Table112[[#This Row],[Account]]&lt;&gt;"",J19+L19-$N$7,"")</f>
        <v>256</v>
      </c>
      <c r="N19" s="19" t="str">
        <f>IF(Table112[[#This Row],[Account]]&lt;&gt;"",IF(Table112[[#This Row],[Aging ]]&lt;0,"OVERDUE","OK"),"")</f>
        <v>OK</v>
      </c>
    </row>
    <row r="20" spans="2:17" ht="15.75" thickBot="1" x14ac:dyDescent="0.3">
      <c r="B20" s="107">
        <f ca="1">IFERROR(IF(Table112[[#This Row],[Account]]&lt;&gt;"",OFFSET(B20,-1,0)+1,""),1)</f>
        <v>6</v>
      </c>
      <c r="C20" s="20">
        <v>401828</v>
      </c>
      <c r="D20" s="21" t="s">
        <v>1665</v>
      </c>
      <c r="E20" s="21" t="s">
        <v>1666</v>
      </c>
      <c r="F20" s="20" t="s">
        <v>1667</v>
      </c>
      <c r="G20" s="23">
        <v>43458</v>
      </c>
      <c r="H20" s="20" t="s">
        <v>1933</v>
      </c>
      <c r="I20" s="22">
        <v>-2000</v>
      </c>
      <c r="J20" s="23">
        <v>43458</v>
      </c>
      <c r="K20" s="23">
        <v>43458</v>
      </c>
      <c r="L20" s="20">
        <f>IF(Table112[[#This Row],[Account]]&lt;&gt;"",$N$8,"")</f>
        <v>0</v>
      </c>
      <c r="M20" s="24">
        <f>IF(Table112[[#This Row],[Account]]&lt;&gt;"",J20+L20-$N$7,"")</f>
        <v>287</v>
      </c>
      <c r="N20" s="25" t="str">
        <f>IF(Table112[[#This Row],[Account]]&lt;&gt;"",IF(Table112[[#This Row],[Aging ]]&lt;0,"OVERDUE","OK"),"")</f>
        <v>OK</v>
      </c>
      <c r="Q20" s="26"/>
    </row>
    <row r="21" spans="2:17" ht="15.75" thickBot="1" x14ac:dyDescent="0.3">
      <c r="B21" s="106">
        <f ca="1">IFERROR(IF(Table112[[#This Row],[Account]]&lt;&gt;"",OFFSET(B21,-1,0)+1,""),1)</f>
        <v>7</v>
      </c>
      <c r="C21" s="14">
        <v>401828</v>
      </c>
      <c r="D21" s="15" t="s">
        <v>1665</v>
      </c>
      <c r="E21" s="15" t="s">
        <v>1666</v>
      </c>
      <c r="F21" s="14" t="s">
        <v>1668</v>
      </c>
      <c r="G21" s="17">
        <v>43465</v>
      </c>
      <c r="H21" s="14" t="s">
        <v>1933</v>
      </c>
      <c r="I21" s="16">
        <v>-1566.6</v>
      </c>
      <c r="J21" s="17">
        <v>43465</v>
      </c>
      <c r="K21" s="17">
        <v>43465</v>
      </c>
      <c r="L21" s="14">
        <f>IF(Table112[[#This Row],[Account]]&lt;&gt;"",$N$8,"")</f>
        <v>0</v>
      </c>
      <c r="M21" s="18">
        <f>IF(Table112[[#This Row],[Account]]&lt;&gt;"",J21+L21-$N$7,"")</f>
        <v>294</v>
      </c>
      <c r="N21" s="19" t="str">
        <f>IF(Table112[[#This Row],[Account]]&lt;&gt;"",IF(Table112[[#This Row],[Aging ]]&lt;0,"OVERDUE","OK"),"")</f>
        <v>OK</v>
      </c>
      <c r="Q21" s="26"/>
    </row>
    <row r="22" spans="2:17" ht="15.75" thickBot="1" x14ac:dyDescent="0.3">
      <c r="B22" s="107">
        <f ca="1">IFERROR(IF(Table112[[#This Row],[Account]]&lt;&gt;"",OFFSET(B22,-1,0)+1,""),1)</f>
        <v>8</v>
      </c>
      <c r="C22" s="20">
        <v>401828</v>
      </c>
      <c r="D22" s="21" t="s">
        <v>1665</v>
      </c>
      <c r="E22" s="21" t="s">
        <v>1666</v>
      </c>
      <c r="F22" s="20" t="s">
        <v>1672</v>
      </c>
      <c r="G22" s="23">
        <v>43461</v>
      </c>
      <c r="H22" s="20">
        <v>7000242919</v>
      </c>
      <c r="I22" s="22">
        <v>1050</v>
      </c>
      <c r="J22" s="23">
        <v>43461</v>
      </c>
      <c r="K22" s="23">
        <v>43491</v>
      </c>
      <c r="L22" s="20">
        <f>IF(Table112[[#This Row],[Account]]&lt;&gt;"",$N$8,"")</f>
        <v>0</v>
      </c>
      <c r="M22" s="24">
        <f>IF(Table112[[#This Row],[Account]]&lt;&gt;"",J22+L22-$N$7,"")</f>
        <v>290</v>
      </c>
      <c r="N22" s="25" t="str">
        <f>IF(Table112[[#This Row],[Account]]&lt;&gt;"",IF(Table112[[#This Row],[Aging ]]&lt;0,"OVERDUE","OK"),"")</f>
        <v>OK</v>
      </c>
      <c r="Q22" s="26"/>
    </row>
    <row r="23" spans="2:17" ht="15.75" thickBot="1" x14ac:dyDescent="0.3">
      <c r="G23" s="27" t="s">
        <v>20</v>
      </c>
      <c r="H23" s="28"/>
      <c r="I23" s="29">
        <f>SUM(I15:I22)</f>
        <v>12774.56</v>
      </c>
      <c r="Q23" s="26"/>
    </row>
    <row r="24" spans="2:17" ht="15.75" thickBot="1" x14ac:dyDescent="0.3">
      <c r="G24" s="30" t="s">
        <v>21</v>
      </c>
      <c r="H24" s="31"/>
      <c r="I24" s="32">
        <f>SUM(I15:I22)</f>
        <v>12774.56</v>
      </c>
      <c r="Q24" s="26"/>
    </row>
    <row r="25" spans="2:17" ht="15.75" thickBot="1" x14ac:dyDescent="0.3">
      <c r="G25" s="33" t="s">
        <v>22</v>
      </c>
      <c r="H25" s="34"/>
      <c r="I25" s="35">
        <f>IFERROR(I24/I23,"")</f>
        <v>1</v>
      </c>
      <c r="Q25" s="26"/>
    </row>
    <row r="26" spans="2:17" x14ac:dyDescent="0.25">
      <c r="Q26" s="26"/>
    </row>
    <row r="27" spans="2:17" ht="15.75" thickBot="1" x14ac:dyDescent="0.3">
      <c r="Q27" s="26"/>
    </row>
    <row r="28" spans="2:17" x14ac:dyDescent="0.25">
      <c r="B28" s="116" t="s">
        <v>23</v>
      </c>
      <c r="C28" s="116"/>
      <c r="D28" s="37" t="s">
        <v>24</v>
      </c>
      <c r="E28" s="37" t="s">
        <v>25</v>
      </c>
      <c r="F28" s="37" t="s">
        <v>26</v>
      </c>
      <c r="G28" s="37" t="s">
        <v>27</v>
      </c>
      <c r="H28" s="37" t="s">
        <v>28</v>
      </c>
      <c r="I28" s="37" t="s">
        <v>29</v>
      </c>
      <c r="J28" s="37" t="s">
        <v>31</v>
      </c>
      <c r="K28" s="38" t="s">
        <v>30</v>
      </c>
      <c r="Q28" s="26"/>
    </row>
    <row r="29" spans="2:17" ht="15.75" thickBot="1" x14ac:dyDescent="0.3">
      <c r="B29" s="116"/>
      <c r="C29" s="117"/>
      <c r="D29" s="39">
        <f>SUMIFS(I15:I22,M15:M22,"&gt;="&amp;0)</f>
        <v>12774.56</v>
      </c>
      <c r="E29" s="40">
        <f>SUMIFS(I15:I22,M15:M22,"&gt;="&amp;-30,M15:M22,"&lt;="&amp;-1)</f>
        <v>0</v>
      </c>
      <c r="F29" s="39">
        <f>SUMIFS(I15:I22,M15:M22,"&gt;="&amp;-60,M15:M22,"&lt;="&amp;-31)</f>
        <v>0</v>
      </c>
      <c r="G29" s="39">
        <f>SUMIFS(I15:I22,M15:M22,"&gt;="&amp;-90,M15:M22,"&lt;="&amp;-61)</f>
        <v>0</v>
      </c>
      <c r="H29" s="39">
        <f>SUMIFS(I15:I22,M15:M22,"&gt;="&amp;-120,M15:M22,"&lt;="&amp;-91)</f>
        <v>0</v>
      </c>
      <c r="I29" s="39">
        <f>SUMIFS(I15:I22,M15:M22,"&lt;="&amp;-121)</f>
        <v>0</v>
      </c>
      <c r="J29" s="41">
        <f>SUM(D29:I29)</f>
        <v>12774.56</v>
      </c>
      <c r="K29" s="42">
        <f>SUM(H29:I29)</f>
        <v>0</v>
      </c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8:C29"/>
  </mergeCells>
  <conditionalFormatting sqref="M15:M22">
    <cfRule type="cellIs" dxfId="1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400634</v>
      </c>
      <c r="D15" s="15" t="s">
        <v>1660</v>
      </c>
      <c r="E15" s="15" t="s">
        <v>1661</v>
      </c>
      <c r="F15" s="14" t="s">
        <v>1662</v>
      </c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>
        <f>IF(Table111[[#This Row],[Account]]&lt;&gt;"",$N$8,"")</f>
        <v>0</v>
      </c>
      <c r="M15" s="105">
        <f>IF(Table111[[#This Row],[Account]]&lt;&gt;"",J15+L15-$N$7,"")</f>
        <v>59</v>
      </c>
      <c r="N15" s="74" t="str">
        <f>IF(Table111[[#This Row],[Account]]&lt;&gt;"",IF(Table111[[#This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9125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9125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399157</v>
      </c>
      <c r="D15" s="15" t="s">
        <v>1654</v>
      </c>
      <c r="E15" s="15" t="s">
        <v>1655</v>
      </c>
      <c r="F15" s="14" t="s">
        <v>1656</v>
      </c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>
        <f>IF(Table110[[#This Row],[Account]]&lt;&gt;"",$N$8,"")</f>
        <v>0</v>
      </c>
      <c r="M15" s="105">
        <f>IF(Table110[[#This Row],[Account]]&lt;&gt;"",J15+L15-$N$7,"")</f>
        <v>-74</v>
      </c>
      <c r="N15" s="74" t="str">
        <f>IF(Table110[[#This Row],[Account]]&lt;&gt;"",IF(Table110[[#This Row],[Aging ]]&lt;0,"OVERDUE","OK"),"")</f>
        <v>OVERDUE</v>
      </c>
    </row>
    <row r="16" spans="2:14" ht="15.75" thickBot="1" x14ac:dyDescent="0.3">
      <c r="B16" s="107">
        <f ca="1">IFERROR(IF(Table110[[#This Row],[Account]]&lt;&gt;"",OFFSET(B16,-1,0)+1,""),1)</f>
        <v>2</v>
      </c>
      <c r="C16" s="20">
        <v>399157</v>
      </c>
      <c r="D16" s="21" t="s">
        <v>1654</v>
      </c>
      <c r="E16" s="21" t="s">
        <v>1655</v>
      </c>
      <c r="F16" s="20" t="s">
        <v>1657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IF(Table110[[#This Row],[Account]]&lt;&gt;"",$N$8,"")</f>
        <v>0</v>
      </c>
      <c r="M16" s="24">
        <f>IF(Table110[[#This Row],[Account]]&lt;&gt;"",J16+L16-$N$7,"")</f>
        <v>-74</v>
      </c>
      <c r="N16" s="25" t="str">
        <f>IF(Table110[[#This Row],[Account]]&lt;&gt;"",IF(Table110[[#This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18250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18250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391220</v>
      </c>
      <c r="D15" s="15" t="s">
        <v>1649</v>
      </c>
      <c r="E15" s="15" t="s">
        <v>1650</v>
      </c>
      <c r="F15" s="14" t="s">
        <v>1651</v>
      </c>
      <c r="G15" s="17">
        <v>43187</v>
      </c>
      <c r="H15" s="14" t="s">
        <v>1933</v>
      </c>
      <c r="I15" s="16">
        <v>-100</v>
      </c>
      <c r="J15" s="17">
        <v>43187</v>
      </c>
      <c r="K15" s="17">
        <v>43187</v>
      </c>
      <c r="L15" s="14">
        <f>IF(Table19[[#This Row],[Account]]&lt;&gt;"",$N$8,"")</f>
        <v>0</v>
      </c>
      <c r="M15" s="105">
        <f>IF(Table19[[#This Row],[Account]]&lt;&gt;"",J15+L15-$N$7,"")</f>
        <v>16</v>
      </c>
      <c r="N15" s="74" t="str">
        <f>IF(Table19[[#This Row],[Account]]&lt;&gt;"",IF(Table19[[#This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-100</v>
      </c>
    </row>
    <row r="17" spans="2:17" ht="15.75" thickBot="1" x14ac:dyDescent="0.3">
      <c r="G17" s="30" t="s">
        <v>21</v>
      </c>
      <c r="H17" s="31"/>
      <c r="I17" s="32">
        <f>SUM(I15:I15)</f>
        <v>-100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387516</v>
      </c>
      <c r="D15" s="15" t="s">
        <v>1644</v>
      </c>
      <c r="E15" s="15" t="s">
        <v>1645</v>
      </c>
      <c r="F15" s="14" t="s">
        <v>1646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IF(Table18[[#This Row],[Account]]&lt;&gt;"",$N$8,"")</f>
        <v>0</v>
      </c>
      <c r="M15" s="105">
        <f>IF(Table18[[#This Row],[Account]]&lt;&gt;"",J15+L15-$N$7,"")</f>
        <v>-130</v>
      </c>
      <c r="N15" s="74" t="str">
        <f>IF(Table18[[#This Row],[Account]]&lt;&gt;"",IF(Table18[[#This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3900</v>
      </c>
      <c r="J22" s="41">
        <f>SUM(D22:I22)</f>
        <v>3900</v>
      </c>
      <c r="K22" s="42">
        <f>SUM(H22:I22)</f>
        <v>3900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380945</v>
      </c>
      <c r="D15" s="15" t="s">
        <v>1635</v>
      </c>
      <c r="E15" s="15" t="s">
        <v>1636</v>
      </c>
      <c r="F15" s="14" t="s">
        <v>1927</v>
      </c>
      <c r="G15" s="17">
        <v>43220</v>
      </c>
      <c r="H15" s="14" t="s">
        <v>1933</v>
      </c>
      <c r="I15" s="16">
        <v>-381.8</v>
      </c>
      <c r="J15" s="17">
        <v>43220</v>
      </c>
      <c r="K15" s="17">
        <v>43220</v>
      </c>
      <c r="L15" s="14">
        <f>IF(Table17[[#This Row],[Account]]&lt;&gt;"",$N$8,"")</f>
        <v>0</v>
      </c>
      <c r="M15" s="105">
        <f>IF(Table17[[#This Row],[Account]]&lt;&gt;"",J15+L15-$N$7,"")</f>
        <v>49</v>
      </c>
      <c r="N15" s="74" t="str">
        <f>IF(Table17[[#This Row],[Account]]&lt;&gt;"",IF(Table17[[#This Row],[Aging ]]&lt;0,"OVERDUE","OK"),"")</f>
        <v>OK</v>
      </c>
    </row>
    <row r="16" spans="2:14" ht="15.75" thickBot="1" x14ac:dyDescent="0.3">
      <c r="B16" s="107">
        <f ca="1">IFERROR(IF(Table17[[#This Row],[Account]]&lt;&gt;"",OFFSET(B16,-1,0)+1,""),1)</f>
        <v>2</v>
      </c>
      <c r="C16" s="20">
        <v>380945</v>
      </c>
      <c r="D16" s="21" t="s">
        <v>1635</v>
      </c>
      <c r="E16" s="21" t="s">
        <v>1636</v>
      </c>
      <c r="F16" s="20" t="s">
        <v>1637</v>
      </c>
      <c r="G16" s="23">
        <v>43427</v>
      </c>
      <c r="H16" s="20">
        <v>7000211597</v>
      </c>
      <c r="I16" s="22">
        <v>1050</v>
      </c>
      <c r="J16" s="23">
        <v>43427</v>
      </c>
      <c r="K16" s="23">
        <v>43457</v>
      </c>
      <c r="L16" s="20">
        <f>IF(Table17[[#This Row],[Account]]&lt;&gt;"",$N$8,"")</f>
        <v>0</v>
      </c>
      <c r="M16" s="24">
        <f>IF(Table17[[#This Row],[Account]]&lt;&gt;"",J16+L16-$N$7,"")</f>
        <v>256</v>
      </c>
      <c r="N16" s="25" t="str">
        <f>IF(Table17[[#This Row],[Account]]&lt;&gt;"",IF(Table17[[#This Row],[Aging ]]&lt;0,"OVERDUE","OK"),"")</f>
        <v>OK</v>
      </c>
    </row>
    <row r="17" spans="2:17" ht="15.75" thickBot="1" x14ac:dyDescent="0.3">
      <c r="B17" s="106">
        <f ca="1">IFERROR(IF(Table17[[#This Row],[Account]]&lt;&gt;"",OFFSET(B17,-1,0)+1,""),1)</f>
        <v>3</v>
      </c>
      <c r="C17" s="14">
        <v>380945</v>
      </c>
      <c r="D17" s="15" t="s">
        <v>1635</v>
      </c>
      <c r="E17" s="15" t="s">
        <v>1636</v>
      </c>
      <c r="F17" s="14" t="s">
        <v>1638</v>
      </c>
      <c r="G17" s="17">
        <v>43430</v>
      </c>
      <c r="H17" s="14">
        <v>9011623897</v>
      </c>
      <c r="I17" s="16">
        <v>5089.88</v>
      </c>
      <c r="J17" s="17">
        <v>43430</v>
      </c>
      <c r="K17" s="17">
        <v>43460</v>
      </c>
      <c r="L17" s="14">
        <f>IF(Table17[[#This Row],[Account]]&lt;&gt;"",$N$8,"")</f>
        <v>0</v>
      </c>
      <c r="M17" s="18">
        <f>IF(Table17[[#This Row],[Account]]&lt;&gt;"",J17+L17-$N$7,"")</f>
        <v>259</v>
      </c>
      <c r="N17" s="19" t="str">
        <f>IF(Table17[[#This Row],[Account]]&lt;&gt;"",IF(Table17[[#This Row],[Aging ]]&lt;0,"OVERDUE","OK"),"")</f>
        <v>OK</v>
      </c>
    </row>
    <row r="18" spans="2:17" ht="15.75" thickBot="1" x14ac:dyDescent="0.3">
      <c r="B18" s="107">
        <f ca="1">IFERROR(IF(Table17[[#This Row],[Account]]&lt;&gt;"",OFFSET(B18,-1,0)+1,""),1)</f>
        <v>4</v>
      </c>
      <c r="C18" s="20">
        <v>380945</v>
      </c>
      <c r="D18" s="21" t="s">
        <v>1635</v>
      </c>
      <c r="E18" s="21" t="s">
        <v>1636</v>
      </c>
      <c r="F18" s="20" t="s">
        <v>1639</v>
      </c>
      <c r="G18" s="23">
        <v>43434</v>
      </c>
      <c r="H18" s="20">
        <v>9011693203</v>
      </c>
      <c r="I18" s="22">
        <v>8143.8</v>
      </c>
      <c r="J18" s="23">
        <v>43434</v>
      </c>
      <c r="K18" s="23">
        <v>43464</v>
      </c>
      <c r="L18" s="20">
        <f>IF(Table17[[#This Row],[Account]]&lt;&gt;"",$N$8,"")</f>
        <v>0</v>
      </c>
      <c r="M18" s="24">
        <f>IF(Table17[[#This Row],[Account]]&lt;&gt;"",J18+L18-$N$7,"")</f>
        <v>263</v>
      </c>
      <c r="N18" s="25" t="str">
        <f>IF(Table17[[#This Row],[Account]]&lt;&gt;"",IF(Table17[[#This Row],[Aging ]]&lt;0,"OVERDUE","OK"),"")</f>
        <v>OK</v>
      </c>
    </row>
    <row r="19" spans="2:17" ht="15.75" thickBot="1" x14ac:dyDescent="0.3">
      <c r="B19" s="106">
        <f ca="1">IFERROR(IF(Table17[[#This Row],[Account]]&lt;&gt;"",OFFSET(B19,-1,0)+1,""),1)</f>
        <v>5</v>
      </c>
      <c r="C19" s="14">
        <v>380945</v>
      </c>
      <c r="D19" s="15" t="s">
        <v>1635</v>
      </c>
      <c r="E19" s="15" t="s">
        <v>1636</v>
      </c>
      <c r="F19" s="14" t="s">
        <v>1640</v>
      </c>
      <c r="G19" s="17">
        <v>43460</v>
      </c>
      <c r="H19" s="14">
        <v>9012154007</v>
      </c>
      <c r="I19" s="16">
        <v>8143.8</v>
      </c>
      <c r="J19" s="17">
        <v>43460</v>
      </c>
      <c r="K19" s="17">
        <v>43490</v>
      </c>
      <c r="L19" s="14">
        <f>IF(Table17[[#This Row],[Account]]&lt;&gt;"",$N$8,"")</f>
        <v>0</v>
      </c>
      <c r="M19" s="18">
        <f>IF(Table17[[#This Row],[Account]]&lt;&gt;"",J19+L19-$N$7,"")</f>
        <v>289</v>
      </c>
      <c r="N19" s="19" t="str">
        <f>IF(Table17[[#This Row],[Account]]&lt;&gt;"",IF(Table17[[#This Row],[Aging ]]&lt;0,"OVERDUE","OK"),"")</f>
        <v>OK</v>
      </c>
    </row>
    <row r="20" spans="2:17" ht="15.75" thickBot="1" x14ac:dyDescent="0.3">
      <c r="B20" s="107">
        <f ca="1">IFERROR(IF(Table17[[#This Row],[Account]]&lt;&gt;"",OFFSET(B20,-1,0)+1,""),1)</f>
        <v>6</v>
      </c>
      <c r="C20" s="20">
        <v>380945</v>
      </c>
      <c r="D20" s="21" t="s">
        <v>1635</v>
      </c>
      <c r="E20" s="21" t="s">
        <v>1636</v>
      </c>
      <c r="F20" s="20" t="s">
        <v>1641</v>
      </c>
      <c r="G20" s="23">
        <v>43475</v>
      </c>
      <c r="H20" s="20">
        <v>9012353204</v>
      </c>
      <c r="I20" s="22">
        <v>5090.3999999999996</v>
      </c>
      <c r="J20" s="23">
        <v>43475</v>
      </c>
      <c r="K20" s="23">
        <v>43505</v>
      </c>
      <c r="L20" s="20">
        <f>IF(Table17[[#This Row],[Account]]&lt;&gt;"",$N$8,"")</f>
        <v>0</v>
      </c>
      <c r="M20" s="24">
        <f>IF(Table17[[#This Row],[Account]]&lt;&gt;"",J20+L20-$N$7,"")</f>
        <v>304</v>
      </c>
      <c r="N20" s="25" t="str">
        <f>IF(Table17[[#This Row],[Account]]&lt;&gt;"",IF(Table17[[#This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27136.080000000002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27136.080000000002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27136.080000000002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27136.080000000002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375336</v>
      </c>
      <c r="D15" s="15" t="s">
        <v>1628</v>
      </c>
      <c r="E15" s="15" t="s">
        <v>1629</v>
      </c>
      <c r="F15" s="14" t="s">
        <v>1630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IF(Table16[[#This Row],[Account]]&lt;&gt;"",$N$8,"")</f>
        <v>0</v>
      </c>
      <c r="M15" s="105">
        <f>IF(Table16[[#This Row],[Account]]&lt;&gt;"",J15+L15-$N$7,"")</f>
        <v>17</v>
      </c>
      <c r="N15" s="74" t="str">
        <f>IF(Table16[[#This Row],[Account]]&lt;&gt;"",IF(Table16[[#This Row],[Aging ]]&lt;0,"OVERDUE","OK"),"")</f>
        <v>OK</v>
      </c>
    </row>
    <row r="16" spans="2:14" ht="15.75" thickBot="1" x14ac:dyDescent="0.3">
      <c r="B16" s="107">
        <f ca="1">IFERROR(IF(Table16[[#This Row],[Account]]&lt;&gt;"",OFFSET(B16,-1,0)+1,""),1)</f>
        <v>2</v>
      </c>
      <c r="C16" s="20">
        <v>375336</v>
      </c>
      <c r="D16" s="21" t="s">
        <v>1628</v>
      </c>
      <c r="E16" s="21" t="s">
        <v>1629</v>
      </c>
      <c r="F16" s="20" t="s">
        <v>1631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IF(Table16[[#This Row],[Account]]&lt;&gt;"",$N$8,"")</f>
        <v>0</v>
      </c>
      <c r="M16" s="24">
        <f>IF(Table16[[#This Row],[Account]]&lt;&gt;"",J16+L16-$N$7,"")</f>
        <v>59</v>
      </c>
      <c r="N16" s="25" t="str">
        <f>IF(Table16[[#This Row],[Account]]&lt;&gt;"",IF(Table16[[#This Row],[Aging ]]&lt;0,"OVERDUE","OK"),"")</f>
        <v>OK</v>
      </c>
    </row>
    <row r="17" spans="2:17" ht="15.75" thickBot="1" x14ac:dyDescent="0.3">
      <c r="B17" s="106">
        <f ca="1">IFERROR(IF(Table16[[#This Row],[Account]]&lt;&gt;"",OFFSET(B17,-1,0)+1,""),1)</f>
        <v>3</v>
      </c>
      <c r="C17" s="14">
        <v>375336</v>
      </c>
      <c r="D17" s="15" t="s">
        <v>1628</v>
      </c>
      <c r="E17" s="15" t="s">
        <v>1629</v>
      </c>
      <c r="F17" s="14" t="s">
        <v>1632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IF(Table16[[#This Row],[Account]]&lt;&gt;"",$N$8,"")</f>
        <v>0</v>
      </c>
      <c r="M17" s="18">
        <f>IF(Table16[[#This Row],[Account]]&lt;&gt;"",J17+L17-$N$7,"")</f>
        <v>67</v>
      </c>
      <c r="N17" s="19" t="str">
        <f>IF(Table16[[#This Row],[Account]]&lt;&gt;"",IF(Table16[[#This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2545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2545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366061</v>
      </c>
      <c r="D15" s="15" t="s">
        <v>1621</v>
      </c>
      <c r="E15" s="15" t="s">
        <v>1622</v>
      </c>
      <c r="F15" s="14" t="s">
        <v>1934</v>
      </c>
      <c r="G15" s="17">
        <v>43255</v>
      </c>
      <c r="H15" s="14" t="s">
        <v>1933</v>
      </c>
      <c r="I15" s="16">
        <v>-14827.26</v>
      </c>
      <c r="J15" s="17">
        <v>43255</v>
      </c>
      <c r="K15" s="17">
        <v>43255</v>
      </c>
      <c r="L15" s="14">
        <f>IF(Table15[[#This Row],[Account]]&lt;&gt;"",$N$8,"")</f>
        <v>0</v>
      </c>
      <c r="M15" s="105">
        <f>IF(Table15[[#This Row],[Account]]&lt;&gt;"",J15+L15-$N$7,"")</f>
        <v>84</v>
      </c>
      <c r="N15" s="74" t="str">
        <f>IF(Table15[[#This Row],[Account]]&lt;&gt;"",IF(Table15[[#This Row],[Aging ]]&lt;0,"OVERDUE","OK"),"")</f>
        <v>OK</v>
      </c>
    </row>
    <row r="16" spans="2:14" ht="15.75" thickBot="1" x14ac:dyDescent="0.3">
      <c r="B16" s="107">
        <f ca="1">IFERROR(IF(Table15[[#This Row],[Account]]&lt;&gt;"",OFFSET(B16,-1,0)+1,""),1)</f>
        <v>2</v>
      </c>
      <c r="C16" s="20">
        <v>366061</v>
      </c>
      <c r="D16" s="21" t="s">
        <v>1621</v>
      </c>
      <c r="E16" s="21" t="s">
        <v>1622</v>
      </c>
      <c r="F16" s="20" t="s">
        <v>1623</v>
      </c>
      <c r="G16" s="23">
        <v>43423</v>
      </c>
      <c r="H16" s="20">
        <v>9010236018</v>
      </c>
      <c r="I16" s="22">
        <v>-894</v>
      </c>
      <c r="J16" s="23">
        <v>43423</v>
      </c>
      <c r="K16" s="23">
        <v>43423</v>
      </c>
      <c r="L16" s="20">
        <f>IF(Table15[[#This Row],[Account]]&lt;&gt;"",$N$8,"")</f>
        <v>0</v>
      </c>
      <c r="M16" s="24">
        <f>IF(Table15[[#This Row],[Account]]&lt;&gt;"",J16+L16-$N$7,"")</f>
        <v>252</v>
      </c>
      <c r="N16" s="25" t="str">
        <f>IF(Table15[[#This Row],[Account]]&lt;&gt;"",IF(Table15[[#This Row],[Aging ]]&lt;0,"OVERDUE","OK"),"")</f>
        <v>OK</v>
      </c>
    </row>
    <row r="17" spans="2:17" ht="15.75" thickBot="1" x14ac:dyDescent="0.3">
      <c r="B17" s="106">
        <f ca="1">IFERROR(IF(Table15[[#This Row],[Account]]&lt;&gt;"",OFFSET(B17,-1,0)+1,""),1)</f>
        <v>3</v>
      </c>
      <c r="C17" s="14">
        <v>366061</v>
      </c>
      <c r="D17" s="15" t="s">
        <v>1621</v>
      </c>
      <c r="E17" s="15" t="s">
        <v>1622</v>
      </c>
      <c r="F17" s="14" t="s">
        <v>1624</v>
      </c>
      <c r="G17" s="17">
        <v>43423</v>
      </c>
      <c r="H17" s="14">
        <v>9010236019</v>
      </c>
      <c r="I17" s="16">
        <v>-894</v>
      </c>
      <c r="J17" s="17">
        <v>43423</v>
      </c>
      <c r="K17" s="17">
        <v>43423</v>
      </c>
      <c r="L17" s="14">
        <f>IF(Table15[[#This Row],[Account]]&lt;&gt;"",$N$8,"")</f>
        <v>0</v>
      </c>
      <c r="M17" s="18">
        <f>IF(Table15[[#This Row],[Account]]&lt;&gt;"",J17+L17-$N$7,"")</f>
        <v>252</v>
      </c>
      <c r="N17" s="19" t="str">
        <f>IF(Table15[[#This Row],[Account]]&lt;&gt;"",IF(Table15[[#This Row],[Aging ]]&lt;0,"OVERDUE","OK"),"")</f>
        <v>OK</v>
      </c>
    </row>
    <row r="18" spans="2:17" ht="15.75" thickBot="1" x14ac:dyDescent="0.3">
      <c r="B18" s="107">
        <f ca="1">IFERROR(IF(Table15[[#This Row],[Account]]&lt;&gt;"",OFFSET(B18,-1,0)+1,""),1)</f>
        <v>4</v>
      </c>
      <c r="C18" s="20">
        <v>366061</v>
      </c>
      <c r="D18" s="21" t="s">
        <v>1621</v>
      </c>
      <c r="E18" s="21" t="s">
        <v>1622</v>
      </c>
      <c r="F18" s="20" t="s">
        <v>1625</v>
      </c>
      <c r="G18" s="23">
        <v>43423</v>
      </c>
      <c r="H18" s="20">
        <v>9010354875</v>
      </c>
      <c r="I18" s="22">
        <v>-894</v>
      </c>
      <c r="J18" s="23">
        <v>43423</v>
      </c>
      <c r="K18" s="23">
        <v>43423</v>
      </c>
      <c r="L18" s="20">
        <f>IF(Table15[[#This Row],[Account]]&lt;&gt;"",$N$8,"")</f>
        <v>0</v>
      </c>
      <c r="M18" s="24">
        <f>IF(Table15[[#This Row],[Account]]&lt;&gt;"",J18+L18-$N$7,"")</f>
        <v>252</v>
      </c>
      <c r="N18" s="25" t="str">
        <f>IF(Table15[[#This Row],[Account]]&lt;&gt;"",IF(Table15[[#This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-17509.260000000002</v>
      </c>
    </row>
    <row r="20" spans="2:17" ht="15.75" thickBot="1" x14ac:dyDescent="0.3">
      <c r="G20" s="30" t="s">
        <v>21</v>
      </c>
      <c r="H20" s="31"/>
      <c r="I20" s="32">
        <f>SUM(I15:I18)</f>
        <v>-17509.260000000002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-17509.260000000002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-17509.260000000002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topLeftCell="A23" workbookViewId="0">
      <selection activeCell="H37" sqref="H37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1615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362302</v>
      </c>
      <c r="D15" s="15" t="s">
        <v>1616</v>
      </c>
      <c r="E15" s="15" t="s">
        <v>1617</v>
      </c>
      <c r="F15" s="14" t="s">
        <v>1618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IF(Table14[[#This Row],[Account]]&lt;&gt;"",$N$8,"")</f>
        <v>0</v>
      </c>
      <c r="M15" s="105">
        <f>IF(Table14[[#This Row],[Account]]&lt;&gt;"",J15+L15-$N$7,"")</f>
        <v>46</v>
      </c>
      <c r="N15" s="74" t="str">
        <f>IF(Table14[[#This Row],[Account]]&lt;&gt;"",IF(Table14[[#This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6142.5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6142.5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IF(Table13[[#This Row],[Account]]&lt;&gt;"",$N$8,"")</f>
        <v>0</v>
      </c>
      <c r="M15" s="105">
        <f>IF(Table13[[#This Row],[Account]]&lt;&gt;"",J15+L15-$N$7,"")</f>
        <v>-564</v>
      </c>
      <c r="N15" s="74" t="str">
        <f>IF(Table13[[#This Row],[Account]]&lt;&gt;"",IF(Table13[[#This Row],[Aging ]]&lt;0,"OVERDUE","OK"),"")</f>
        <v>OVERDUE</v>
      </c>
    </row>
    <row r="16" spans="2:14" ht="15.75" thickBot="1" x14ac:dyDescent="0.3">
      <c r="B16" s="107">
        <f ca="1">IFERROR(IF(Table13[[#This Row],[Account]]&lt;&gt;"",OFFSET(B16,-1,0)+1,""),1)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IF(Table13[[#This Row],[Account]]&lt;&gt;"",$N$8,"")</f>
        <v>0</v>
      </c>
      <c r="M16" s="24">
        <f>IF(Table13[[#This Row],[Account]]&lt;&gt;"",J16+L16-$N$7,"")</f>
        <v>-564</v>
      </c>
      <c r="N16" s="25" t="str">
        <f>IF(Table13[[#This Row],[Account]]&lt;&gt;"",IF(Table13[[#This Row],[Aging ]]&lt;0,"OVERDUE","OK"),"")</f>
        <v>OVERDUE</v>
      </c>
    </row>
    <row r="17" spans="2:17" ht="15.75" thickBot="1" x14ac:dyDescent="0.3">
      <c r="B17" s="106">
        <f ca="1">IFERROR(IF(Table13[[#This Row],[Account]]&lt;&gt;"",OFFSET(B17,-1,0)+1,""),1)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IF(Table13[[#This Row],[Account]]&lt;&gt;"",$N$8,"")</f>
        <v>0</v>
      </c>
      <c r="M17" s="18">
        <f>IF(Table13[[#This Row],[Account]]&lt;&gt;"",J17+L17-$N$7,"")</f>
        <v>-556</v>
      </c>
      <c r="N17" s="19" t="str">
        <f>IF(Table13[[#This Row],[Account]]&lt;&gt;"",IF(Table13[[#This Row],[Aging ]]&lt;0,"OVERDUE","OK"),"")</f>
        <v>OVERDUE</v>
      </c>
    </row>
    <row r="18" spans="2:17" ht="15.75" thickBot="1" x14ac:dyDescent="0.3">
      <c r="B18" s="107">
        <f ca="1">IFERROR(IF(Table13[[#This Row],[Account]]&lt;&gt;"",OFFSET(B18,-1,0)+1,""),1)</f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IF(Table13[[#This Row],[Account]]&lt;&gt;"",$N$8,"")</f>
        <v>0</v>
      </c>
      <c r="M18" s="24">
        <f>IF(Table13[[#This Row],[Account]]&lt;&gt;"",J18+L18-$N$7,"")</f>
        <v>-529</v>
      </c>
      <c r="N18" s="25" t="str">
        <f>IF(Table13[[#This Row],[Account]]&lt;&gt;"",IF(Table13[[#This Row],[Aging ]]&lt;0,"OVERDUE","OK"),"")</f>
        <v>OVERDUE</v>
      </c>
    </row>
    <row r="19" spans="2:17" ht="15.75" thickBot="1" x14ac:dyDescent="0.3">
      <c r="B19" s="106">
        <f ca="1">IFERROR(IF(Table13[[#This Row],[Account]]&lt;&gt;"",OFFSET(B19,-1,0)+1,""),1)</f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IF(Table13[[#This Row],[Account]]&lt;&gt;"",$N$8,"")</f>
        <v>0</v>
      </c>
      <c r="M19" s="18">
        <f>IF(Table13[[#This Row],[Account]]&lt;&gt;"",J19+L19-$N$7,"")</f>
        <v>-522</v>
      </c>
      <c r="N19" s="19" t="str">
        <f>IF(Table13[[#This Row],[Account]]&lt;&gt;"",IF(Table13[[#This Row],[Aging ]]&lt;0,"OVERDUE","OK"),"")</f>
        <v>OVERDUE</v>
      </c>
    </row>
    <row r="20" spans="2:17" ht="15.75" thickBot="1" x14ac:dyDescent="0.3">
      <c r="B20" s="107">
        <f ca="1">IFERROR(IF(Table13[[#This Row],[Account]]&lt;&gt;"",OFFSET(B20,-1,0)+1,""),1)</f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IF(Table13[[#This Row],[Account]]&lt;&gt;"",$N$8,"")</f>
        <v>0</v>
      </c>
      <c r="M20" s="24">
        <f>IF(Table13[[#This Row],[Account]]&lt;&gt;"",J20+L20-$N$7,"")</f>
        <v>-522</v>
      </c>
      <c r="N20" s="25" t="str">
        <f>IF(Table13[[#This Row],[Account]]&lt;&gt;"",IF(Table13[[#This Row],[Aging ]]&lt;0,"OVERDUE","OK"),"")</f>
        <v>OVERDUE</v>
      </c>
      <c r="Q20" s="26"/>
    </row>
    <row r="21" spans="2:17" ht="15.75" thickBot="1" x14ac:dyDescent="0.3">
      <c r="B21" s="106">
        <f ca="1">IFERROR(IF(Table13[[#This Row],[Account]]&lt;&gt;"",OFFSET(B21,-1,0)+1,""),1)</f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IF(Table13[[#This Row],[Account]]&lt;&gt;"",$N$8,"")</f>
        <v>0</v>
      </c>
      <c r="M21" s="18">
        <f>IF(Table13[[#This Row],[Account]]&lt;&gt;"",J21+L21-$N$7,"")</f>
        <v>-515</v>
      </c>
      <c r="N21" s="19" t="str">
        <f>IF(Table13[[#This Row],[Account]]&lt;&gt;"",IF(Table13[[#This Row],[Aging ]]&lt;0,"OVERDUE","OK"),"")</f>
        <v>OVERDUE</v>
      </c>
      <c r="Q21" s="26"/>
    </row>
    <row r="22" spans="2:17" ht="15.75" thickBot="1" x14ac:dyDescent="0.3">
      <c r="B22" s="107">
        <f ca="1">IFERROR(IF(Table13[[#This Row],[Account]]&lt;&gt;"",OFFSET(B22,-1,0)+1,""),1)</f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IF(Table13[[#This Row],[Account]]&lt;&gt;"",$N$8,"")</f>
        <v>0</v>
      </c>
      <c r="M22" s="24">
        <f>IF(Table13[[#This Row],[Account]]&lt;&gt;"",J22+L22-$N$7,"")</f>
        <v>-494</v>
      </c>
      <c r="N22" s="25" t="str">
        <f>IF(Table13[[#This Row],[Account]]&lt;&gt;"",IF(Table13[[#This Row],[Aging ]]&lt;0,"OVERDUE","OK"),"")</f>
        <v>OVERDUE</v>
      </c>
      <c r="Q22" s="26"/>
    </row>
    <row r="23" spans="2:17" ht="15.75" thickBot="1" x14ac:dyDescent="0.3">
      <c r="B23" s="106">
        <f ca="1">IFERROR(IF(Table13[[#This Row],[Account]]&lt;&gt;"",OFFSET(B23,-1,0)+1,""),1)</f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IF(Table13[[#This Row],[Account]]&lt;&gt;"",$N$8,"")</f>
        <v>0</v>
      </c>
      <c r="M23" s="18">
        <f>IF(Table13[[#This Row],[Account]]&lt;&gt;"",J23+L23-$N$7,"")</f>
        <v>-487</v>
      </c>
      <c r="N23" s="19" t="str">
        <f>IF(Table13[[#This Row],[Account]]&lt;&gt;"",IF(Table13[[#This Row],[Aging ]]&lt;0,"OVERDUE","OK"),"")</f>
        <v>OVERDUE</v>
      </c>
      <c r="Q23" s="26"/>
    </row>
    <row r="24" spans="2:17" ht="15.75" thickBot="1" x14ac:dyDescent="0.3">
      <c r="B24" s="107">
        <f ca="1">IFERROR(IF(Table13[[#This Row],[Account]]&lt;&gt;"",OFFSET(B24,-1,0)+1,""),1)</f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IF(Table13[[#This Row],[Account]]&lt;&gt;"",$N$8,"")</f>
        <v>0</v>
      </c>
      <c r="M24" s="24">
        <f>IF(Table13[[#This Row],[Account]]&lt;&gt;"",J24+L24-$N$7,"")</f>
        <v>-452</v>
      </c>
      <c r="N24" s="25" t="str">
        <f>IF(Table13[[#This Row],[Account]]&lt;&gt;"",IF(Table13[[#This Row],[Aging ]]&lt;0,"OVERDUE","OK"),"")</f>
        <v>OVERDUE</v>
      </c>
      <c r="Q24" s="26"/>
    </row>
    <row r="25" spans="2:17" ht="15.75" thickBot="1" x14ac:dyDescent="0.3">
      <c r="B25" s="106">
        <f ca="1">IFERROR(IF(Table13[[#This Row],[Account]]&lt;&gt;"",OFFSET(B25,-1,0)+1,""),1)</f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IF(Table13[[#This Row],[Account]]&lt;&gt;"",$N$8,"")</f>
        <v>0</v>
      </c>
      <c r="M25" s="18">
        <f>IF(Table13[[#This Row],[Account]]&lt;&gt;"",J25+L25-$N$7,"")</f>
        <v>-424</v>
      </c>
      <c r="N25" s="19" t="str">
        <f>IF(Table13[[#This Row],[Account]]&lt;&gt;"",IF(Table13[[#This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6" t="s">
        <v>23</v>
      </c>
      <c r="C31" s="116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6"/>
      <c r="C32" s="117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68627</v>
      </c>
      <c r="J32" s="41">
        <f>SUM(D32:I32)</f>
        <v>68627</v>
      </c>
      <c r="K32" s="42">
        <f>SUM(H32:I32)</f>
        <v>68627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2019-07-01T12:18:25Z</dcterms:modified>
</cp:coreProperties>
</file>