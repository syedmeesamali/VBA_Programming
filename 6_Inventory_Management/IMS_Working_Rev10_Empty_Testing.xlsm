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ownloads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<sst xmlns="http://schemas.openxmlformats.org/spreadsheetml/2006/main" count="4645" uniqueCount="4599">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</sst>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8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6" fillId="0" borderId="0"/>
  </cellStyleXfs>
  <cellXfs count="9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5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3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167" fontId="1" fillId="0" borderId="2" xfId="1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4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366768336"/>
        <c:axId val="-1366771056"/>
      </c:barChart>
      <c:catAx>
        <c:axId val="-136676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1366771056"/>
        <c:crosses val="autoZero"/>
        <c:auto val="1"/>
        <c:lblAlgn val="ctr"/>
        <c:lblOffset val="100"/>
        <c:noMultiLvlLbl val="0"/>
      </c:catAx>
      <c:valAx>
        <c:axId val="-1366771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1366768336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F GRANNY GOOSE TORTILLOS BBQ 50X100G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ED/Desktop/VBA_Programming/6_Inventory_Management/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84.086985648151" createdVersion="6" refreshedVersion="6" minRefreshableVersion="3" recordCount="2274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4">
  <r>
    <n v="1"/>
    <n v="106"/>
    <s v="MARVEL TEA RED PREMIUM 1KGX14"/>
    <m/>
    <x v="0"/>
    <m/>
    <s v=""/>
    <m/>
    <n v="0"/>
    <n v="0"/>
  </r>
  <r>
    <n v="2"/>
    <s v="A1"/>
    <s v="A1 ALUBUKHARA 200GX10"/>
    <m/>
    <x v="0"/>
    <m/>
    <s v=""/>
    <m/>
    <n v="0"/>
    <n v="0"/>
  </r>
  <r>
    <n v="3"/>
    <s v="A10"/>
    <s v="ALPAVIT MILK PWD 25KG X1"/>
    <m/>
    <x v="0"/>
    <m/>
    <s v=""/>
    <m/>
    <n v="0"/>
    <n v="0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s v=""/>
    <m/>
    <n v="0"/>
    <n v="0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s v=""/>
    <m/>
    <n v="0"/>
    <n v="0"/>
  </r>
  <r>
    <n v="11"/>
    <s v="A107"/>
    <s v="SEWING MACHINE WOODEN X 1"/>
    <m/>
    <x v="0"/>
    <m/>
    <s v=""/>
    <m/>
    <n v="0"/>
    <n v="0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s v=""/>
    <m/>
    <n v="0"/>
    <n v="0"/>
  </r>
  <r>
    <n v="14"/>
    <s v="A11"/>
    <s v="BIGEN  N59-6GX6"/>
    <m/>
    <x v="0"/>
    <m/>
    <s v=""/>
    <m/>
    <n v="0"/>
    <n v="0"/>
  </r>
  <r>
    <n v="15"/>
    <s v="A110"/>
    <s v="TATA TEA 1 KG X 12"/>
    <m/>
    <x v="0"/>
    <m/>
    <s v=""/>
    <m/>
    <n v="0"/>
    <n v="0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s v=""/>
    <m/>
    <n v="0"/>
    <n v="0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s v=""/>
    <m/>
    <n v="0"/>
    <n v="0"/>
  </r>
  <r>
    <n v="27"/>
    <s v="A121"/>
    <s v="VASLINE 50 G X 12"/>
    <m/>
    <x v="0"/>
    <m/>
    <s v=""/>
    <m/>
    <n v="0"/>
    <n v="0"/>
  </r>
  <r>
    <n v="28"/>
    <s v="A122"/>
    <s v="VICCO TOOTHPASTE 100GX10"/>
    <m/>
    <x v="0"/>
    <m/>
    <s v=""/>
    <m/>
    <n v="0"/>
    <n v="0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s v=""/>
    <m/>
    <n v="0"/>
    <n v="0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0"/>
    <n v="0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s v=""/>
    <m/>
    <n v="0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s v=""/>
    <m/>
    <n v="0"/>
    <n v="0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s v=""/>
    <m/>
    <n v="0"/>
    <n v="0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s v=""/>
    <m/>
    <n v="0"/>
    <n v="0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s v=""/>
    <m/>
    <n v="0"/>
    <n v="0"/>
  </r>
  <r>
    <n v="53"/>
    <s v="A150"/>
    <s v="SUPARI BOMBAY 1 X12"/>
    <m/>
    <x v="0"/>
    <m/>
    <s v=""/>
    <m/>
    <n v="0"/>
    <n v="0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s v=""/>
    <m/>
    <n v="0"/>
    <n v="0"/>
  </r>
  <r>
    <n v="61"/>
    <s v="A20"/>
    <s v="COUSCOUS MARAKISH FINE 1KGX10"/>
    <m/>
    <x v="0"/>
    <m/>
    <s v=""/>
    <m/>
    <n v="0"/>
    <n v="0"/>
  </r>
  <r>
    <n v="62"/>
    <s v="A200"/>
    <s v="TATA TEA 1KGX12 (UK)"/>
    <m/>
    <x v="0"/>
    <m/>
    <s v=""/>
    <m/>
    <n v="0"/>
    <n v="0"/>
  </r>
  <r>
    <n v="63"/>
    <s v="A21"/>
    <s v="COUSCOUS MARAKISH MEDIUM 1KGX10"/>
    <m/>
    <x v="0"/>
    <m/>
    <s v=""/>
    <m/>
    <n v="0"/>
    <n v="0"/>
  </r>
  <r>
    <n v="64"/>
    <s v="A22"/>
    <s v="COUSCOUS MEDIO 1KGX12"/>
    <m/>
    <x v="0"/>
    <m/>
    <s v=""/>
    <m/>
    <n v="0"/>
    <n v="0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s v=""/>
    <m/>
    <n v="0"/>
    <n v="0"/>
  </r>
  <r>
    <n v="72"/>
    <s v="A3"/>
    <s v="A1 BANFASHAX12"/>
    <m/>
    <x v="0"/>
    <m/>
    <s v=""/>
    <m/>
    <n v="0"/>
    <n v="0"/>
  </r>
  <r>
    <n v="73"/>
    <s v="A30"/>
    <s v="PEAR SOAP 125GX12"/>
    <m/>
    <x v="0"/>
    <m/>
    <s v=""/>
    <m/>
    <n v="0"/>
    <n v="0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s v=""/>
    <m/>
    <n v="0"/>
    <n v="0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s v=""/>
    <m/>
    <n v="0"/>
    <n v="0"/>
  </r>
  <r>
    <n v="78"/>
    <s v="A35"/>
    <s v="GREEN TEA 200 G X 60"/>
    <m/>
    <x v="0"/>
    <m/>
    <s v=""/>
    <m/>
    <n v="0"/>
    <n v="0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s v=""/>
    <m/>
    <n v="0"/>
    <n v="0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s v=""/>
    <m/>
    <n v="0"/>
    <n v="0"/>
  </r>
  <r>
    <n v="85"/>
    <s v="A41"/>
    <s v="HARISSA 380 G X 24"/>
    <m/>
    <x v="0"/>
    <m/>
    <s v=""/>
    <m/>
    <n v="0"/>
    <n v="0"/>
  </r>
  <r>
    <n v="86"/>
    <s v="A42"/>
    <s v="HASHMI KAJAL X10"/>
    <m/>
    <x v="0"/>
    <m/>
    <s v=""/>
    <m/>
    <n v="0"/>
    <n v="0"/>
  </r>
  <r>
    <n v="87"/>
    <s v="A43"/>
    <s v="HEAD &amp; SHOULDERS 250MLX6"/>
    <m/>
    <x v="0"/>
    <m/>
    <s v=""/>
    <m/>
    <n v="0"/>
    <n v="0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s v=""/>
    <m/>
    <n v="0"/>
    <n v="0"/>
  </r>
  <r>
    <n v="90"/>
    <s v="A46"/>
    <s v="HING 50 G X 10"/>
    <m/>
    <x v="0"/>
    <m/>
    <s v=""/>
    <m/>
    <n v="0"/>
    <n v="0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s v=""/>
    <m/>
    <n v="0"/>
    <n v="0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s v=""/>
    <m/>
    <n v="0"/>
    <n v="0"/>
  </r>
  <r>
    <n v="99"/>
    <s v="A54"/>
    <s v="JOHAR JOSHANDA 30 X 1"/>
    <m/>
    <x v="0"/>
    <m/>
    <s v=""/>
    <m/>
    <n v="0"/>
    <n v="0"/>
  </r>
  <r>
    <n v="100"/>
    <s v="A55"/>
    <s v="A1 JOSHANDA 35 G X 12"/>
    <m/>
    <x v="0"/>
    <m/>
    <s v=""/>
    <m/>
    <n v="0"/>
    <n v="0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s v=""/>
    <m/>
    <n v="0"/>
    <n v="0"/>
  </r>
  <r>
    <n v="103"/>
    <s v="A58"/>
    <s v="KALONJI OIL 60 ML X 12"/>
    <m/>
    <x v="0"/>
    <m/>
    <s v=""/>
    <m/>
    <n v="0"/>
    <n v="0"/>
  </r>
  <r>
    <n v="104"/>
    <s v="A59"/>
    <s v="KAYAM CHURAN 100 G X1 0"/>
    <m/>
    <x v="0"/>
    <m/>
    <s v=""/>
    <m/>
    <n v="0"/>
    <n v="0"/>
  </r>
  <r>
    <n v="105"/>
    <s v="A6"/>
    <s v="A1 MALTHI X12"/>
    <m/>
    <x v="0"/>
    <m/>
    <s v=""/>
    <m/>
    <n v="0"/>
    <n v="0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s v=""/>
    <m/>
    <n v="0"/>
    <n v="0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s v=""/>
    <m/>
    <n v="0"/>
    <n v="0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s v=""/>
    <m/>
    <n v="0"/>
    <n v="0"/>
  </r>
  <r>
    <n v="116"/>
    <s v="A7"/>
    <s v="A1 PHENNI 200GX24"/>
    <m/>
    <x v="0"/>
    <m/>
    <s v=""/>
    <m/>
    <n v="0"/>
    <n v="0"/>
  </r>
  <r>
    <n v="117"/>
    <s v="A70"/>
    <s v="NIDO 400 G X 24"/>
    <m/>
    <x v="0"/>
    <m/>
    <s v=""/>
    <m/>
    <n v="0"/>
    <n v="0"/>
  </r>
  <r>
    <n v="118"/>
    <s v="A71"/>
    <s v="NIDO 900 G X 12"/>
    <m/>
    <x v="0"/>
    <m/>
    <s v=""/>
    <m/>
    <n v="0"/>
    <n v="0"/>
  </r>
  <r>
    <n v="119"/>
    <s v="A72"/>
    <s v="NIDO 2500 X 6"/>
    <m/>
    <x v="0"/>
    <m/>
    <s v=""/>
    <m/>
    <n v="0"/>
    <n v="0"/>
  </r>
  <r>
    <n v="120"/>
    <s v="A73"/>
    <s v="PAN PARAG 100 G X 10"/>
    <m/>
    <x v="0"/>
    <m/>
    <s v=""/>
    <m/>
    <n v="0"/>
    <n v="0"/>
  </r>
  <r>
    <n v="121"/>
    <s v="A74"/>
    <s v="PATATE FRESCO 5 KG"/>
    <m/>
    <x v="0"/>
    <m/>
    <s v=""/>
    <m/>
    <n v="0"/>
    <n v="0"/>
  </r>
  <r>
    <n v="122"/>
    <s v="A75"/>
    <s v="PHATKARY X 12"/>
    <m/>
    <x v="0"/>
    <m/>
    <s v=""/>
    <m/>
    <n v="0"/>
    <n v="0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s v=""/>
    <m/>
    <n v="0"/>
    <n v="0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s v=""/>
    <m/>
    <n v="0"/>
    <n v="0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s v=""/>
    <m/>
    <n v="0"/>
    <n v="0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s v=""/>
    <m/>
    <n v="0"/>
    <n v="0"/>
  </r>
  <r>
    <n v="137"/>
    <s v="A89"/>
    <s v="RAKHI FOR KIDS 24 PCS"/>
    <m/>
    <x v="0"/>
    <m/>
    <s v=""/>
    <m/>
    <n v="0"/>
    <n v="0"/>
  </r>
  <r>
    <n v="138"/>
    <s v="A9"/>
    <s v="AGLIO FRESHX1"/>
    <m/>
    <x v="0"/>
    <m/>
    <s v=""/>
    <m/>
    <n v="0"/>
    <n v="0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s v=""/>
    <m/>
    <n v="0"/>
    <n v="0"/>
  </r>
  <r>
    <n v="143"/>
    <s v="A94"/>
    <s v="WSA REWDI 200 G X 15 "/>
    <m/>
    <x v="0"/>
    <m/>
    <s v=""/>
    <m/>
    <n v="0"/>
    <n v="0"/>
  </r>
  <r>
    <n v="144"/>
    <s v="A95"/>
    <s v="ROOH AFZA 800MLX12 *Offerta*"/>
    <m/>
    <x v="0"/>
    <m/>
    <s v=""/>
    <m/>
    <n v="0"/>
    <n v="0"/>
  </r>
  <r>
    <n v="145"/>
    <s v="A96"/>
    <s v="SAFFRAN SPANISH 1 GM X 12"/>
    <m/>
    <x v="0"/>
    <m/>
    <s v=""/>
    <m/>
    <n v="0"/>
    <n v="0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s v=""/>
    <m/>
    <n v="0"/>
    <n v="0"/>
  </r>
  <r>
    <n v="153"/>
    <s v="AFT11"/>
    <s v="AFT SOYA CHUNKS 200GX24"/>
    <m/>
    <x v="0"/>
    <m/>
    <s v=""/>
    <m/>
    <n v="0"/>
    <n v="0"/>
  </r>
  <r>
    <n v="154"/>
    <s v="AFT2"/>
    <s v="FARINA KHUSHBOO CHAKKI 5KG X 2"/>
    <m/>
    <x v="0"/>
    <m/>
    <s v=""/>
    <m/>
    <n v="0"/>
    <n v="0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s v=""/>
    <m/>
    <n v="0"/>
    <n v="0"/>
  </r>
  <r>
    <n v="159"/>
    <s v="AFT8"/>
    <s v="AFT SOYA CHUNKS 400GX12"/>
    <m/>
    <x v="0"/>
    <m/>
    <s v=""/>
    <m/>
    <n v="0"/>
    <n v="0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s v=""/>
    <m/>
    <n v="0"/>
    <n v="0"/>
  </r>
  <r>
    <n v="163"/>
    <s v="AG11"/>
    <s v="AG KHUSHBOO  MIX 1x6"/>
    <m/>
    <x v="0"/>
    <m/>
    <s v=""/>
    <m/>
    <n v="0"/>
    <n v="0"/>
  </r>
  <r>
    <n v="164"/>
    <s v="AG12"/>
    <s v="AG MIX1x6"/>
    <m/>
    <x v="0"/>
    <m/>
    <s v=""/>
    <m/>
    <n v="0"/>
    <n v="0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s v=""/>
    <m/>
    <n v="0"/>
    <n v="0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s v=""/>
    <m/>
    <n v="0"/>
    <n v="0"/>
  </r>
  <r>
    <n v="176"/>
    <s v="AG23"/>
    <s v="AG THREE IN ONE 25GX12"/>
    <m/>
    <x v="0"/>
    <m/>
    <s v=""/>
    <m/>
    <n v="0"/>
    <n v="0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s v=""/>
    <m/>
    <n v="0"/>
    <n v="0"/>
  </r>
  <r>
    <n v="179"/>
    <s v="AG26"/>
    <s v="AG AGRBATI INDIA 1 X12PCS"/>
    <m/>
    <x v="0"/>
    <m/>
    <s v=""/>
    <m/>
    <n v="0"/>
    <n v="0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s v=""/>
    <m/>
    <n v="0"/>
    <n v="0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s v=""/>
    <m/>
    <n v="0"/>
    <n v="0"/>
  </r>
  <r>
    <n v="190"/>
    <s v="AG5"/>
    <s v="AG MDH MOGRA 20GX12"/>
    <m/>
    <x v="0"/>
    <m/>
    <s v=""/>
    <m/>
    <n v="0"/>
    <n v="0"/>
  </r>
  <r>
    <n v="191"/>
    <s v="AG6"/>
    <s v="AG MDH CHANDAN 20GX12"/>
    <m/>
    <x v="0"/>
    <m/>
    <s v=""/>
    <m/>
    <n v="0"/>
    <n v="0"/>
  </r>
  <r>
    <n v="192"/>
    <s v="AG7"/>
    <s v="AG MDH ROOH 20GX12"/>
    <m/>
    <x v="0"/>
    <m/>
    <s v=""/>
    <m/>
    <n v="0"/>
    <n v="0"/>
  </r>
  <r>
    <n v="193"/>
    <s v="AG8"/>
    <s v="AG MDH ROSE 20GX12"/>
    <m/>
    <x v="0"/>
    <m/>
    <s v=""/>
    <m/>
    <n v="0"/>
    <n v="0"/>
  </r>
  <r>
    <n v="194"/>
    <s v="AG9"/>
    <s v="AG MDH SANDAL 20GX12"/>
    <m/>
    <x v="0"/>
    <m/>
    <s v=""/>
    <m/>
    <n v="0"/>
    <n v="0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s v=""/>
    <m/>
    <n v="0"/>
    <n v="0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s v=""/>
    <m/>
    <n v="0"/>
    <n v="0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s v=""/>
    <m/>
    <n v="0"/>
    <n v="0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s v=""/>
    <m/>
    <n v="0"/>
    <n v="0"/>
  </r>
  <r>
    <n v="226"/>
    <s v="AS1"/>
    <s v="ASHOKA MATAR PANEER 280GX10"/>
    <m/>
    <x v="0"/>
    <m/>
    <s v=""/>
    <m/>
    <n v="0"/>
    <n v="0"/>
  </r>
  <r>
    <n v="227"/>
    <s v="AS10"/>
    <s v="ASHOKA BOMBAY PAV BHAJI 280GX10"/>
    <m/>
    <x v="0"/>
    <m/>
    <s v=""/>
    <m/>
    <n v="0"/>
    <n v="0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s v=""/>
    <m/>
    <n v="0"/>
    <n v="0"/>
  </r>
  <r>
    <n v="230"/>
    <s v="AS3"/>
    <s v="ASHOKA PUNJABI CHOLAY 280GX10  "/>
    <m/>
    <x v="0"/>
    <m/>
    <s v=""/>
    <m/>
    <n v="0"/>
    <n v="0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s v=""/>
    <m/>
    <n v="0"/>
    <n v="0"/>
  </r>
  <r>
    <n v="233"/>
    <s v="AS6"/>
    <s v="ASHOKA DAL MAKHANI 280GX10"/>
    <m/>
    <x v="0"/>
    <m/>
    <s v=""/>
    <m/>
    <n v="0"/>
    <n v="0"/>
  </r>
  <r>
    <n v="234"/>
    <s v="AS7"/>
    <s v="ASHOKA BENGAN BHARTA 280GX10"/>
    <m/>
    <x v="0"/>
    <m/>
    <s v=""/>
    <m/>
    <n v="0"/>
    <n v="0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s v=""/>
    <m/>
    <n v="0"/>
    <n v="0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s v=""/>
    <m/>
    <n v="0"/>
    <n v="0"/>
  </r>
  <r>
    <n v="242"/>
    <s v="B14"/>
    <s v="BEST MIX LATINA 250MLX30"/>
    <m/>
    <x v="0"/>
    <m/>
    <s v=""/>
    <m/>
    <n v="0"/>
    <n v="0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s v=""/>
    <m/>
    <n v="0"/>
    <n v="0"/>
  </r>
  <r>
    <n v="245"/>
    <s v="B2"/>
    <s v="BEST GUAVA BOTTLE 1LTX6"/>
    <m/>
    <x v="0"/>
    <m/>
    <s v=""/>
    <m/>
    <n v="0"/>
    <n v="0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s v=""/>
    <m/>
    <n v="0"/>
    <n v="0"/>
  </r>
  <r>
    <n v="248"/>
    <s v="B22"/>
    <s v="B GAJJACK PEANUT 400GX28"/>
    <m/>
    <x v="0"/>
    <m/>
    <s v=""/>
    <m/>
    <n v="0"/>
    <n v="0"/>
  </r>
  <r>
    <n v="249"/>
    <s v="B23"/>
    <s v="B SOAN CAKE 480GX12"/>
    <m/>
    <x v="0"/>
    <m/>
    <s v=""/>
    <m/>
    <n v="0"/>
    <n v="0"/>
  </r>
  <r>
    <n v="250"/>
    <s v="B24"/>
    <s v="B GAJJACK AGRA GUR 400GX24"/>
    <m/>
    <x v="0"/>
    <m/>
    <s v=""/>
    <m/>
    <n v="0"/>
    <n v="0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s v=""/>
    <m/>
    <n v="0"/>
    <n v="0"/>
  </r>
  <r>
    <n v="253"/>
    <s v="B4"/>
    <s v="BEST GUAVA CARTA 1LTX6"/>
    <m/>
    <x v="0"/>
    <m/>
    <s v=""/>
    <m/>
    <n v="0"/>
    <n v="0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s v=""/>
    <m/>
    <n v="0"/>
    <n v="0"/>
  </r>
  <r>
    <n v="256"/>
    <s v="B6"/>
    <s v="BEST MANGO BOTTLE 1LTX6"/>
    <m/>
    <x v="0"/>
    <m/>
    <s v=""/>
    <m/>
    <n v="0"/>
    <n v="0"/>
  </r>
  <r>
    <n v="257"/>
    <s v="B7"/>
    <s v="BEST MANGO BOTTLE 250MLX24"/>
    <m/>
    <x v="0"/>
    <m/>
    <s v=""/>
    <m/>
    <n v="0"/>
    <n v="0"/>
  </r>
  <r>
    <n v="258"/>
    <s v="B8"/>
    <s v="BEST MANGO CARTA 1LTX6"/>
    <m/>
    <x v="0"/>
    <m/>
    <s v=""/>
    <m/>
    <n v="0"/>
    <n v="0"/>
  </r>
  <r>
    <n v="259"/>
    <s v="B9"/>
    <s v="BEST MANGO CARTA 200MLX27"/>
    <m/>
    <x v="0"/>
    <m/>
    <s v=""/>
    <m/>
    <n v="0"/>
    <n v="0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s v=""/>
    <m/>
    <n v="0"/>
    <n v="0"/>
  </r>
  <r>
    <n v="263"/>
    <s v="BG1"/>
    <s v="BG BOMBAY MIX 400G X 12"/>
    <m/>
    <x v="0"/>
    <m/>
    <s v=""/>
    <m/>
    <n v="0"/>
    <n v="0"/>
  </r>
  <r>
    <n v="264"/>
    <s v="BG10"/>
    <s v="BG SPICY CHICK PEAS 400G X12"/>
    <m/>
    <x v="0"/>
    <m/>
    <s v=""/>
    <m/>
    <n v="0"/>
    <n v="0"/>
  </r>
  <r>
    <n v="265"/>
    <s v="BG11"/>
    <s v="BG TRADITIONAL MIX 400GX12"/>
    <m/>
    <x v="0"/>
    <m/>
    <s v=""/>
    <m/>
    <n v="0"/>
    <n v="0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s v=""/>
    <m/>
    <n v="0"/>
    <n v="0"/>
  </r>
  <r>
    <n v="270"/>
    <s v="BG16"/>
    <s v="BGD GARLIC PASTE 1KGX6"/>
    <m/>
    <x v="0"/>
    <m/>
    <s v=""/>
    <m/>
    <n v="0"/>
    <n v="0"/>
  </r>
  <r>
    <n v="271"/>
    <s v="BG17"/>
    <s v="BGD GINGER PASTE 1KGX6"/>
    <m/>
    <x v="0"/>
    <m/>
    <s v=""/>
    <m/>
    <n v="0"/>
    <n v="0"/>
  </r>
  <r>
    <n v="272"/>
    <s v="BG18"/>
    <s v="BGD GINGER&amp;GARLIC PASTE1KGX6"/>
    <m/>
    <x v="0"/>
    <m/>
    <s v=""/>
    <m/>
    <n v="0"/>
    <n v="0"/>
  </r>
  <r>
    <n v="273"/>
    <s v="BG19"/>
    <s v="BGD GOOR ( IND)MASALA 1KGX12"/>
    <m/>
    <x v="0"/>
    <m/>
    <s v=""/>
    <m/>
    <n v="0"/>
    <n v="0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s v=""/>
    <m/>
    <n v="0"/>
    <n v="0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s v=""/>
    <m/>
    <n v="0"/>
    <n v="0"/>
  </r>
  <r>
    <n v="282"/>
    <s v="BG27"/>
    <s v="BGD SHAKAR (IND) 500GX12"/>
    <m/>
    <x v="0"/>
    <m/>
    <s v=""/>
    <m/>
    <n v="0"/>
    <n v="0"/>
  </r>
  <r>
    <n v="283"/>
    <s v="BG28"/>
    <s v="BGD SHAKKAR JAR PACK 500GX12"/>
    <m/>
    <x v="0"/>
    <m/>
    <s v=""/>
    <m/>
    <n v="0"/>
    <n v="0"/>
  </r>
  <r>
    <n v="284"/>
    <s v="BG29"/>
    <s v="BGD TEA JAR PACK 500GX20"/>
    <m/>
    <x v="0"/>
    <m/>
    <s v=""/>
    <m/>
    <n v="0"/>
    <n v="0"/>
  </r>
  <r>
    <n v="285"/>
    <s v="BG3"/>
    <s v="BG CHIN CHIN 400G X12"/>
    <m/>
    <x v="0"/>
    <m/>
    <s v=""/>
    <m/>
    <n v="0"/>
    <n v="0"/>
  </r>
  <r>
    <n v="286"/>
    <s v="BG30"/>
    <s v="BGD TEA JAR PACK 1KGX12"/>
    <m/>
    <x v="0"/>
    <m/>
    <s v=""/>
    <m/>
    <n v="0"/>
    <n v="0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s v=""/>
    <m/>
    <n v="0"/>
    <n v="0"/>
  </r>
  <r>
    <n v="291"/>
    <s v="BG35"/>
    <s v="BGD GOOR(IND)MASALA 500GX12"/>
    <m/>
    <x v="0"/>
    <m/>
    <s v=""/>
    <m/>
    <n v="0"/>
    <n v="0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s v=""/>
    <m/>
    <n v="0"/>
    <n v="0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s v=""/>
    <m/>
    <n v="0"/>
    <n v="0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s v=""/>
    <m/>
    <n v="0"/>
    <n v="0"/>
  </r>
  <r>
    <n v="300"/>
    <s v="BG43"/>
    <s v="SUPARI SHAHI MEWA 1 X12"/>
    <m/>
    <x v="0"/>
    <m/>
    <s v=""/>
    <m/>
    <n v="0"/>
    <n v="0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s v=""/>
    <m/>
    <n v="0"/>
    <n v="0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s v=""/>
    <m/>
    <n v="0"/>
    <n v="0"/>
  </r>
  <r>
    <n v="312"/>
    <s v="BG54"/>
    <s v="BGD BIS JEERA 300G X20"/>
    <m/>
    <x v="0"/>
    <m/>
    <s v=""/>
    <m/>
    <n v="0"/>
    <n v="0"/>
  </r>
  <r>
    <n v="313"/>
    <s v="BG55"/>
    <s v="BGD BIS SUJI 300G X20 "/>
    <m/>
    <x v="0"/>
    <m/>
    <s v=""/>
    <m/>
    <n v="0"/>
    <n v="0"/>
  </r>
  <r>
    <n v="314"/>
    <s v="BG56"/>
    <s v="BGD BIS KALONJI 300G X20"/>
    <m/>
    <x v="0"/>
    <m/>
    <s v=""/>
    <m/>
    <n v="0"/>
    <n v="0"/>
  </r>
  <r>
    <n v="315"/>
    <s v="BG57"/>
    <s v="BGD BIS DRY FRUIT 300G X20 "/>
    <m/>
    <x v="0"/>
    <m/>
    <s v=""/>
    <m/>
    <n v="0"/>
    <n v="0"/>
  </r>
  <r>
    <n v="316"/>
    <s v="BG58"/>
    <s v="BGD BIS ALMOND 300G X20  "/>
    <m/>
    <x v="0"/>
    <m/>
    <s v=""/>
    <m/>
    <n v="0"/>
    <n v="0"/>
  </r>
  <r>
    <n v="317"/>
    <s v="BG59"/>
    <s v="BGD CAKE RUSK 400G X20"/>
    <m/>
    <x v="0"/>
    <m/>
    <s v=""/>
    <m/>
    <n v="0"/>
    <n v="0"/>
  </r>
  <r>
    <n v="318"/>
    <s v="BG6"/>
    <s v="BG GUJRATI MIX 400G X12"/>
    <m/>
    <x v="0"/>
    <m/>
    <s v=""/>
    <m/>
    <n v="0"/>
    <n v="0"/>
  </r>
  <r>
    <n v="319"/>
    <s v="BG60"/>
    <s v="BGD CHANA+MAKHANA JAR 350GX12"/>
    <m/>
    <x v="0"/>
    <m/>
    <s v=""/>
    <m/>
    <n v="0"/>
    <n v="0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s v=""/>
    <m/>
    <n v="0"/>
    <n v="0"/>
  </r>
  <r>
    <n v="322"/>
    <s v="BG7"/>
    <s v="BG KASHMIRI MIX 400G X12"/>
    <m/>
    <x v="0"/>
    <m/>
    <s v=""/>
    <m/>
    <n v="0"/>
    <n v="0"/>
  </r>
  <r>
    <n v="323"/>
    <s v="BG8"/>
    <s v="BG LAHORI MIX 400G X 12"/>
    <m/>
    <x v="0"/>
    <m/>
    <s v=""/>
    <m/>
    <n v="0"/>
    <n v="0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s v=""/>
    <m/>
    <n v="0"/>
    <n v="0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s v=""/>
    <m/>
    <n v="0"/>
    <n v="0"/>
  </r>
  <r>
    <n v="328"/>
    <s v="BGD52"/>
    <s v="BGD SUNFLOWER OIL 1 L  X 15"/>
    <m/>
    <x v="0"/>
    <m/>
    <s v=""/>
    <m/>
    <n v="0"/>
    <n v="0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s v=""/>
    <m/>
    <n v="0"/>
    <n v="0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s v=""/>
    <m/>
    <n v="0"/>
    <n v="0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s v=""/>
    <m/>
    <n v="0"/>
    <n v="0"/>
  </r>
  <r>
    <n v="341"/>
    <s v="BGD70"/>
    <s v="BGD KARELA IN BRINE 400GX12"/>
    <m/>
    <x v="0"/>
    <m/>
    <s v=""/>
    <m/>
    <n v="0"/>
    <n v="0"/>
  </r>
  <r>
    <n v="342"/>
    <s v="BGD71"/>
    <s v="BGD PICKLE MIX 1KGX 12"/>
    <m/>
    <x v="0"/>
    <m/>
    <s v=""/>
    <m/>
    <n v="0"/>
    <n v="0"/>
  </r>
  <r>
    <n v="343"/>
    <s v="BGD72"/>
    <s v="BGD PICKLE MANGO 1KGX12"/>
    <m/>
    <x v="0"/>
    <m/>
    <s v=""/>
    <m/>
    <n v="0"/>
    <n v="0"/>
  </r>
  <r>
    <n v="344"/>
    <s v="BGD73"/>
    <s v="BGD PICKLE MIX 2KGX4"/>
    <m/>
    <x v="0"/>
    <m/>
    <s v=""/>
    <m/>
    <n v="0"/>
    <n v="0"/>
  </r>
  <r>
    <n v="345"/>
    <s v="BGD74"/>
    <s v="BGD GOOR BHILLI 500GX24 offerta "/>
    <m/>
    <x v="0"/>
    <m/>
    <s v=""/>
    <m/>
    <n v="0"/>
    <n v="0"/>
  </r>
  <r>
    <n v="346"/>
    <s v="BGD75"/>
    <s v="BGD MANGO PULP KESAR 850X6"/>
    <m/>
    <x v="0"/>
    <m/>
    <s v=""/>
    <m/>
    <n v="0"/>
    <n v="0"/>
  </r>
  <r>
    <n v="347"/>
    <s v="BGD76"/>
    <s v="BGD MANGO PULP ALPHONSO SLICE 850GX6"/>
    <m/>
    <x v="0"/>
    <m/>
    <s v=""/>
    <m/>
    <n v="0"/>
    <n v="0"/>
  </r>
  <r>
    <n v="348"/>
    <s v="BGD77"/>
    <s v="BGD PICKLE LIME 1KGX12"/>
    <m/>
    <x v="0"/>
    <m/>
    <s v=""/>
    <m/>
    <n v="0"/>
    <n v="0"/>
  </r>
  <r>
    <n v="349"/>
    <s v="BGD78"/>
    <s v="BGD PICKLE GREEN CHILLI 1KGX12"/>
    <m/>
    <x v="0"/>
    <m/>
    <s v=""/>
    <m/>
    <n v="0"/>
    <n v="0"/>
  </r>
  <r>
    <n v="350"/>
    <s v="BGD79"/>
    <s v="BGD GOOR JAR PACK 2KGX6  offerta "/>
    <m/>
    <x v="0"/>
    <m/>
    <s v=""/>
    <m/>
    <n v="0"/>
    <n v="0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s v=""/>
    <m/>
    <n v="0"/>
    <n v="0"/>
  </r>
  <r>
    <n v="353"/>
    <s v="BI2"/>
    <s v="B TASTY NUT 150GX10"/>
    <m/>
    <x v="0"/>
    <m/>
    <s v=""/>
    <m/>
    <n v="0"/>
    <n v="0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s v=""/>
    <m/>
    <n v="0"/>
    <n v="0"/>
  </r>
  <r>
    <n v="358"/>
    <s v="BI8"/>
    <s v="B SOAN PAPADI 250GX48"/>
    <m/>
    <x v="0"/>
    <m/>
    <s v=""/>
    <m/>
    <n v="0"/>
    <n v="0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s v=""/>
    <m/>
    <n v="0"/>
    <n v="0"/>
  </r>
  <r>
    <n v="361"/>
    <s v="BR2"/>
    <s v="BRAGA CORNMEAL 5KG X1"/>
    <m/>
    <x v="0"/>
    <m/>
    <s v=""/>
    <m/>
    <n v="0"/>
    <n v="0"/>
  </r>
  <r>
    <n v="362"/>
    <s v="BT1"/>
    <s v="BRIT MILK RUSK 504GX6"/>
    <m/>
    <x v="0"/>
    <m/>
    <s v=""/>
    <m/>
    <n v="0"/>
    <n v="0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s v=""/>
    <m/>
    <n v="0"/>
    <n v="0"/>
  </r>
  <r>
    <n v="372"/>
    <s v="BT7"/>
    <s v="BRIT CASHEW COOKIES 72GX24 "/>
    <m/>
    <x v="0"/>
    <m/>
    <s v=""/>
    <m/>
    <n v="0"/>
    <n v="0"/>
  </r>
  <r>
    <n v="373"/>
    <s v="BT8"/>
    <s v="BRIT PISTA/BADAM COOKIES 72GX24 "/>
    <m/>
    <x v="0"/>
    <m/>
    <s v=""/>
    <m/>
    <n v="0"/>
    <n v="0"/>
  </r>
  <r>
    <n v="374"/>
    <s v="BT9"/>
    <s v="BRIT PUNJABI COOKIES 620GX8"/>
    <m/>
    <x v="0"/>
    <m/>
    <s v=""/>
    <m/>
    <n v="0"/>
    <n v="0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s v=""/>
    <m/>
    <n v="0"/>
    <n v="0"/>
  </r>
  <r>
    <n v="377"/>
    <s v="D11"/>
    <s v="DABUR CHAYWANPRASH 250GX6"/>
    <m/>
    <x v="0"/>
    <m/>
    <s v=""/>
    <m/>
    <n v="0"/>
    <n v="0"/>
  </r>
  <r>
    <n v="378"/>
    <s v="D12"/>
    <s v="DABUR CHAYWANPRASH 500GX6"/>
    <m/>
    <x v="0"/>
    <m/>
    <s v=""/>
    <m/>
    <n v="0"/>
    <n v="0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s v=""/>
    <m/>
    <n v="0"/>
    <n v="0"/>
  </r>
  <r>
    <n v="385"/>
    <s v="D19"/>
    <s v="DABUR HAJMOLA PODINA 130GX12"/>
    <m/>
    <x v="0"/>
    <m/>
    <s v=""/>
    <m/>
    <n v="0"/>
    <n v="0"/>
  </r>
  <r>
    <n v="386"/>
    <s v="D2"/>
    <s v="DABUR AMLA GOLD 200MLX6"/>
    <m/>
    <x v="0"/>
    <m/>
    <s v=""/>
    <m/>
    <n v="0"/>
    <n v="0"/>
  </r>
  <r>
    <n v="387"/>
    <s v="D20"/>
    <s v="DABUR HAJMULA IMLY 130GX12"/>
    <m/>
    <x v="0"/>
    <m/>
    <s v=""/>
    <m/>
    <n v="0"/>
    <n v="0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s v=""/>
    <m/>
    <n v="0"/>
    <n v="0"/>
  </r>
  <r>
    <n v="390"/>
    <s v="D23"/>
    <s v="DABUR SOAP ALMOND X4"/>
    <m/>
    <x v="0"/>
    <m/>
    <s v=""/>
    <m/>
    <n v="0"/>
    <n v="0"/>
  </r>
  <r>
    <n v="391"/>
    <s v="D24"/>
    <s v="DABUR SOAP BLACK SEED X4"/>
    <m/>
    <x v="0"/>
    <m/>
    <s v=""/>
    <m/>
    <n v="0"/>
    <n v="0"/>
  </r>
  <r>
    <n v="392"/>
    <s v="D25"/>
    <s v="DABUR SOAP NEEM X4"/>
    <m/>
    <x v="0"/>
    <m/>
    <s v=""/>
    <m/>
    <n v="0"/>
    <n v="0"/>
  </r>
  <r>
    <n v="393"/>
    <s v="D26"/>
    <s v="DABUR SOAP OLIVE X4"/>
    <m/>
    <x v="0"/>
    <m/>
    <s v=""/>
    <m/>
    <n v="0"/>
    <n v="0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s v=""/>
    <m/>
    <n v="0"/>
    <n v="0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s v=""/>
    <m/>
    <n v="0"/>
    <n v="0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s v=""/>
    <m/>
    <n v="0"/>
    <n v="0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s v=""/>
    <m/>
    <n v="0"/>
    <n v="0"/>
  </r>
  <r>
    <n v="404"/>
    <s v="D36"/>
    <s v="DABUR OIL VATIKA ARGAN HAIR 200MLX6"/>
    <m/>
    <x v="0"/>
    <m/>
    <s v=""/>
    <m/>
    <n v="0"/>
    <n v="0"/>
  </r>
  <r>
    <n v="405"/>
    <s v="D37"/>
    <s v="DABUR OIL VATIKA BLACK SEED  200MLX6"/>
    <m/>
    <x v="0"/>
    <m/>
    <s v=""/>
    <m/>
    <n v="0"/>
    <n v="0"/>
  </r>
  <r>
    <n v="406"/>
    <s v="D38"/>
    <s v="DABUR OIL VATIKA CACTUS  200MLX6"/>
    <m/>
    <x v="0"/>
    <m/>
    <s v=""/>
    <m/>
    <n v="0"/>
    <n v="0"/>
  </r>
  <r>
    <n v="407"/>
    <s v="D39"/>
    <s v="DABUR OIL VATIKA COCONUT 200ML X6"/>
    <m/>
    <x v="0"/>
    <m/>
    <s v=""/>
    <m/>
    <n v="0"/>
    <n v="0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s v=""/>
    <m/>
    <n v="0"/>
    <n v="0"/>
  </r>
  <r>
    <n v="412"/>
    <s v="D43"/>
    <s v="DABUR OIL VATIKA COCO HAIR  300MLX6"/>
    <m/>
    <x v="0"/>
    <m/>
    <s v=""/>
    <m/>
    <n v="0"/>
    <n v="0"/>
  </r>
  <r>
    <n v="413"/>
    <s v="D44"/>
    <s v="DABUR OIL VATIKA SHIKAKAI 200MLX6"/>
    <m/>
    <x v="0"/>
    <m/>
    <s v=""/>
    <m/>
    <n v="0"/>
    <n v="0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s v=""/>
    <m/>
    <n v="0"/>
    <n v="0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s v=""/>
    <m/>
    <n v="0"/>
    <n v="0"/>
  </r>
  <r>
    <n v="430"/>
    <s v="D6"/>
    <s v="DABUR AMLA OIL 200MLX6"/>
    <m/>
    <x v="0"/>
    <m/>
    <s v=""/>
    <m/>
    <n v="0"/>
    <n v="0"/>
  </r>
  <r>
    <n v="431"/>
    <s v="D60"/>
    <s v="DABUR TOOTHPASTE BASIL100GX6"/>
    <m/>
    <x v="0"/>
    <m/>
    <s v=""/>
    <m/>
    <n v="0"/>
    <n v="0"/>
  </r>
  <r>
    <n v="432"/>
    <s v="D61"/>
    <s v="DABUR TOOTHPASTE CLOVE 100GX6"/>
    <m/>
    <x v="0"/>
    <m/>
    <s v=""/>
    <m/>
    <n v="0"/>
    <n v="0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s v=""/>
    <m/>
    <n v="0"/>
    <n v="0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s v=""/>
    <m/>
    <n v="0"/>
    <n v="0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s v=""/>
    <m/>
    <n v="0"/>
    <n v="0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s v=""/>
    <m/>
    <n v="0"/>
    <n v="0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s v=""/>
    <m/>
    <n v="0"/>
    <n v="0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s v=""/>
    <m/>
    <n v="0"/>
    <n v="0"/>
  </r>
  <r>
    <n v="467"/>
    <s v="F1"/>
    <s v="FARINA BARAGA CHAPATI 10 KG X 1 "/>
    <m/>
    <x v="0"/>
    <m/>
    <s v=""/>
    <m/>
    <n v="0"/>
    <n v="0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s v=""/>
    <m/>
    <n v="0"/>
    <n v="0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s v=""/>
    <m/>
    <n v="0"/>
    <n v="0"/>
  </r>
  <r>
    <n v="472"/>
    <s v="F3"/>
    <s v="FARINA LAILA BROWN 10 KG X 1"/>
    <m/>
    <x v="0"/>
    <m/>
    <s v=""/>
    <m/>
    <n v="0"/>
    <n v="0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s v=""/>
    <m/>
    <n v="0"/>
    <n v="0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s v=""/>
    <m/>
    <n v="0"/>
    <n v="0"/>
  </r>
  <r>
    <n v="480"/>
    <s v="FC2"/>
    <s v="FOOD COLOUR ORANGE SMALL X 12"/>
    <m/>
    <x v="0"/>
    <m/>
    <s v=""/>
    <m/>
    <n v="0"/>
    <n v="0"/>
  </r>
  <r>
    <n v="481"/>
    <s v="FC3"/>
    <s v="FOOD COLOUR ORANGE BIG(4) X 20"/>
    <m/>
    <x v="0"/>
    <m/>
    <s v=""/>
    <m/>
    <n v="0"/>
    <n v="0"/>
  </r>
  <r>
    <n v="482"/>
    <s v="FC4"/>
    <s v="FOOD COLOUR ORANGE BIG(5)X 20"/>
    <m/>
    <x v="0"/>
    <m/>
    <s v=""/>
    <m/>
    <n v="0"/>
    <n v="0"/>
  </r>
  <r>
    <n v="483"/>
    <s v="FC5"/>
    <s v="FOOD COLOUR RED SMALL X 12"/>
    <m/>
    <x v="0"/>
    <m/>
    <s v=""/>
    <m/>
    <n v="0"/>
    <n v="0"/>
  </r>
  <r>
    <n v="484"/>
    <s v="FC6"/>
    <s v="FOOD COLOUR RED BIG X 20"/>
    <m/>
    <x v="0"/>
    <m/>
    <s v=""/>
    <m/>
    <n v="0"/>
    <n v="0"/>
  </r>
  <r>
    <n v="485"/>
    <s v="FC7"/>
    <s v="FOOD COLOUR YELLOW SMALL X 12"/>
    <m/>
    <x v="0"/>
    <m/>
    <s v=""/>
    <m/>
    <n v="0"/>
    <n v="0"/>
  </r>
  <r>
    <n v="486"/>
    <s v="FC8"/>
    <s v="FOOD COLOUR YELLOW BIG X 20"/>
    <m/>
    <x v="0"/>
    <m/>
    <s v=""/>
    <m/>
    <n v="0"/>
    <n v="0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s v=""/>
    <m/>
    <n v="0"/>
    <n v="0"/>
  </r>
  <r>
    <n v="489"/>
    <s v="FK10"/>
    <s v="SALAM BASMATI RICE 20 KG X 1"/>
    <m/>
    <x v="0"/>
    <m/>
    <s v=""/>
    <m/>
    <n v="0"/>
    <n v="0"/>
  </r>
  <r>
    <n v="490"/>
    <s v="FK11"/>
    <s v="FALAK SUPER RICE 20 KG X 1"/>
    <m/>
    <x v="0"/>
    <m/>
    <s v=""/>
    <m/>
    <n v="0"/>
    <n v="0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s v=""/>
    <m/>
    <n v="0"/>
    <n v="0"/>
  </r>
  <r>
    <n v="493"/>
    <s v="FK4"/>
    <s v="FALAK BASMATI RICE 2 KG X 10"/>
    <m/>
    <x v="0"/>
    <m/>
    <s v=""/>
    <m/>
    <n v="0"/>
    <n v="0"/>
  </r>
  <r>
    <n v="494"/>
    <s v="FK5"/>
    <s v="FALAK BASMATI RICE 5 KG X 4"/>
    <m/>
    <x v="0"/>
    <m/>
    <s v=""/>
    <m/>
    <n v="0"/>
    <n v="0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s v=""/>
    <m/>
    <n v="0"/>
    <n v="0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s v=""/>
    <m/>
    <n v="0"/>
    <n v="0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s v=""/>
    <m/>
    <n v="0"/>
    <n v="0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s v=""/>
    <m/>
    <n v="0"/>
    <n v="0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s v=""/>
    <m/>
    <n v="0"/>
    <n v="0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s v=""/>
    <m/>
    <n v="0"/>
    <n v="0"/>
  </r>
  <r>
    <n v="558"/>
    <s v="HD11"/>
    <s v="HR BOONDI 200 G X 10"/>
    <m/>
    <x v="0"/>
    <m/>
    <s v=""/>
    <m/>
    <n v="0"/>
    <n v="0"/>
  </r>
  <r>
    <n v="559"/>
    <s v="HD110"/>
    <s v="HR GATHIYA MIX 200G X5"/>
    <m/>
    <x v="0"/>
    <m/>
    <s v=""/>
    <m/>
    <n v="0"/>
    <n v="0"/>
  </r>
  <r>
    <n v="560"/>
    <s v="HD111"/>
    <s v="HR LONG SEV 200GX10"/>
    <m/>
    <x v="0"/>
    <m/>
    <s v=""/>
    <m/>
    <n v="0"/>
    <n v="0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s v=""/>
    <m/>
    <n v="0"/>
    <n v="0"/>
  </r>
  <r>
    <n v="566"/>
    <s v="HD115"/>
    <s v="HR GOLDEN MIXTURE 150GX 12"/>
    <m/>
    <x v="0"/>
    <m/>
    <s v=""/>
    <m/>
    <n v="0"/>
    <n v="0"/>
  </r>
  <r>
    <n v="567"/>
    <s v="HD116"/>
    <s v="HR BANANA CHIPS 180G X6"/>
    <m/>
    <x v="0"/>
    <m/>
    <s v=""/>
    <m/>
    <n v="0"/>
    <n v="0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s v=""/>
    <m/>
    <n v="0"/>
    <n v="0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s v=""/>
    <m/>
    <n v="0"/>
    <n v="0"/>
  </r>
  <r>
    <n v="572"/>
    <s v="HD120"/>
    <s v="HR SWEETS MOTICHOOR LADOO 300G X16"/>
    <m/>
    <x v="0"/>
    <m/>
    <s v=""/>
    <m/>
    <n v="0"/>
    <n v="0"/>
  </r>
  <r>
    <n v="573"/>
    <s v="HD121"/>
    <s v="HR SWEETS MILK CAKE 300G X16"/>
    <m/>
    <x v="0"/>
    <m/>
    <s v=""/>
    <m/>
    <n v="0"/>
    <n v="0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s v=""/>
    <m/>
    <n v="0"/>
    <n v="0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s v=""/>
    <m/>
    <n v="0"/>
    <n v="0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s v=""/>
    <m/>
    <n v="0"/>
    <n v="0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s v=""/>
    <m/>
    <n v="0"/>
    <n v="0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s v=""/>
    <m/>
    <n v="0"/>
    <n v="0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s v=""/>
    <m/>
    <n v="0"/>
    <n v="0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s v=""/>
    <m/>
    <n v="0"/>
    <n v="0"/>
  </r>
  <r>
    <n v="601"/>
    <s v="HD37"/>
    <s v="HR KHATTA METHA 400 G X 5"/>
    <m/>
    <x v="0"/>
    <m/>
    <s v=""/>
    <m/>
    <n v="0"/>
    <n v="0"/>
  </r>
  <r>
    <n v="602"/>
    <s v="HD38"/>
    <s v="HR MATHRI 200 G X 10"/>
    <m/>
    <x v="0"/>
    <m/>
    <s v=""/>
    <m/>
    <n v="0"/>
    <n v="0"/>
  </r>
  <r>
    <n v="603"/>
    <s v="HD39"/>
    <s v="HR MINT LACHHA 200 G X 5"/>
    <m/>
    <x v="0"/>
    <m/>
    <s v=""/>
    <m/>
    <n v="0"/>
    <n v="0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s v=""/>
    <m/>
    <n v="0"/>
    <n v="0"/>
  </r>
  <r>
    <n v="606"/>
    <s v="HD41"/>
    <s v="HR MOONG DAL 200 G X 10"/>
    <m/>
    <x v="0"/>
    <m/>
    <s v=""/>
    <m/>
    <n v="0"/>
    <n v="0"/>
  </r>
  <r>
    <n v="607"/>
    <s v="HD42"/>
    <s v="HR NAVRATAN 200 G X 10"/>
    <m/>
    <x v="0"/>
    <m/>
    <s v=""/>
    <m/>
    <n v="0"/>
    <n v="0"/>
  </r>
  <r>
    <n v="608"/>
    <s v="HD43"/>
    <s v="HR NIMBU MAS 200 G X 10"/>
    <m/>
    <x v="0"/>
    <m/>
    <s v=""/>
    <m/>
    <n v="0"/>
    <n v="0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s v=""/>
    <m/>
    <n v="0"/>
    <n v="0"/>
  </r>
  <r>
    <n v="612"/>
    <s v="HD47"/>
    <s v="HR PANI PURI 360 G X 12"/>
    <m/>
    <x v="0"/>
    <m/>
    <s v=""/>
    <m/>
    <n v="0"/>
    <n v="0"/>
  </r>
  <r>
    <n v="613"/>
    <s v="HD48"/>
    <s v="HR PATISHA 500 G X 20"/>
    <m/>
    <x v="0"/>
    <m/>
    <s v=""/>
    <m/>
    <n v="0"/>
    <n v="0"/>
  </r>
  <r>
    <n v="614"/>
    <s v="HD49"/>
    <s v="HR PUNJABI TAKDA 200 G X 10 "/>
    <m/>
    <x v="0"/>
    <m/>
    <s v=""/>
    <m/>
    <n v="0"/>
    <n v="0"/>
  </r>
  <r>
    <n v="615"/>
    <s v="HD5"/>
    <s v="HR BHELPURI 200 G X 10"/>
    <m/>
    <x v="0"/>
    <m/>
    <s v=""/>
    <m/>
    <n v="0"/>
    <n v="0"/>
  </r>
  <r>
    <n v="616"/>
    <s v="HD50"/>
    <s v="HR SWEETS RASGULLA 1 KG X 12 offerta"/>
    <m/>
    <x v="0"/>
    <m/>
    <s v=""/>
    <m/>
    <n v="0"/>
    <n v="0"/>
  </r>
  <r>
    <n v="617"/>
    <s v="HD51"/>
    <s v="HR SWEETS RASMALAI 1 KG X 12 offerta "/>
    <m/>
    <x v="0"/>
    <m/>
    <s v=""/>
    <m/>
    <n v="0"/>
    <n v="0"/>
  </r>
  <r>
    <n v="618"/>
    <s v="HD52"/>
    <s v="HR SAMOSA 200 G X 10"/>
    <m/>
    <x v="0"/>
    <m/>
    <s v=""/>
    <m/>
    <n v="0"/>
    <n v="0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s v=""/>
    <m/>
    <n v="0"/>
    <n v="0"/>
  </r>
  <r>
    <n v="621"/>
    <s v="HD55"/>
    <s v="HR SOAN PAPDI 500 G X 20"/>
    <m/>
    <x v="0"/>
    <m/>
    <s v=""/>
    <m/>
    <n v="0"/>
    <n v="0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s v=""/>
    <m/>
    <n v="0"/>
    <n v="0"/>
  </r>
  <r>
    <n v="624"/>
    <s v="HD58"/>
    <s v="HRR CHOLEY MASALA300 G X 40"/>
    <m/>
    <x v="0"/>
    <m/>
    <s v=""/>
    <m/>
    <n v="0"/>
    <n v="0"/>
  </r>
  <r>
    <n v="625"/>
    <s v="HD59"/>
    <s v="HRR DAL MAKHANI 300 G X 40"/>
    <m/>
    <x v="0"/>
    <m/>
    <s v=""/>
    <m/>
    <n v="0"/>
    <n v="0"/>
  </r>
  <r>
    <n v="626"/>
    <s v="HD6"/>
    <s v="HR BHUJIA MAS 200 G X 10"/>
    <m/>
    <x v="0"/>
    <m/>
    <s v=""/>
    <m/>
    <n v="0"/>
    <n v="0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s v=""/>
    <m/>
    <n v="0"/>
    <n v="0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s v=""/>
    <m/>
    <n v="0"/>
    <n v="0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s v=""/>
    <m/>
    <n v="0"/>
    <n v="0"/>
  </r>
  <r>
    <n v="636"/>
    <s v="HD69"/>
    <s v="HRR PALAK PANNER 300GX40"/>
    <m/>
    <x v="0"/>
    <m/>
    <s v=""/>
    <m/>
    <n v="0"/>
    <n v="0"/>
  </r>
  <r>
    <n v="637"/>
    <s v="HD7"/>
    <s v="HR BHUJJIA PLAIN 200 G X 10 "/>
    <m/>
    <x v="0"/>
    <m/>
    <s v=""/>
    <m/>
    <n v="0"/>
    <n v="0"/>
  </r>
  <r>
    <n v="638"/>
    <s v="HD70"/>
    <s v="HRR MUTTER PANNER300GX40"/>
    <m/>
    <x v="0"/>
    <m/>
    <s v=""/>
    <m/>
    <n v="0"/>
    <n v="0"/>
  </r>
  <r>
    <n v="639"/>
    <s v="HD71"/>
    <s v="HR BHELPURI  WITH CHUTNEY 200GX10"/>
    <m/>
    <x v="0"/>
    <m/>
    <s v=""/>
    <m/>
    <n v="0"/>
    <n v="0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s v=""/>
    <m/>
    <n v="0"/>
    <n v="0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s v=""/>
    <m/>
    <n v="0"/>
    <n v="0"/>
  </r>
  <r>
    <n v="644"/>
    <s v="HD76"/>
    <s v="HR KARANCHI MIX 200 G X 10"/>
    <m/>
    <x v="0"/>
    <m/>
    <s v=""/>
    <m/>
    <n v="0"/>
    <n v="0"/>
  </r>
  <r>
    <n v="645"/>
    <s v="HD77"/>
    <s v="HR CHANA DAL NIBULA 200 G X 10"/>
    <m/>
    <x v="0"/>
    <m/>
    <s v=""/>
    <m/>
    <n v="0"/>
    <n v="0"/>
  </r>
  <r>
    <n v="646"/>
    <s v="HD78"/>
    <s v="HR RATLAMI 200 G X 10"/>
    <m/>
    <x v="0"/>
    <m/>
    <s v=""/>
    <m/>
    <n v="0"/>
    <n v="0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s v=""/>
    <m/>
    <n v="0"/>
    <n v="0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s v=""/>
    <m/>
    <n v="0"/>
    <n v="0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s v=""/>
    <m/>
    <n v="0"/>
    <n v="0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s v=""/>
    <m/>
    <n v="0"/>
    <n v="0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s v=""/>
    <m/>
    <n v="0"/>
    <n v="0"/>
  </r>
  <r>
    <n v="681"/>
    <s v="HE2"/>
    <s v="HEERA CORN FLOUR 500G X 12"/>
    <m/>
    <x v="0"/>
    <m/>
    <s v=""/>
    <m/>
    <n v="0"/>
    <n v="0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s v=""/>
    <m/>
    <n v="0"/>
    <n v="0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s v=""/>
    <m/>
    <n v="0"/>
    <n v="0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s v=""/>
    <m/>
    <n v="0"/>
    <n v="0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s v=""/>
    <m/>
    <n v="0"/>
    <n v="0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s v=""/>
    <m/>
    <n v="0"/>
    <n v="0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s v=""/>
    <m/>
    <n v="0"/>
    <n v="0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s v=""/>
    <m/>
    <n v="0"/>
    <n v="0"/>
  </r>
  <r>
    <n v="700"/>
    <s v="HE37"/>
    <s v="HEERA TIN KARRI PAKORA 450 G X 12"/>
    <m/>
    <x v="0"/>
    <m/>
    <s v=""/>
    <m/>
    <n v="0"/>
    <n v="0"/>
  </r>
  <r>
    <n v="701"/>
    <s v="HE38"/>
    <s v="HEERA TIN MATTAR PANEER 450 G X 12"/>
    <m/>
    <x v="0"/>
    <m/>
    <s v=""/>
    <m/>
    <n v="0"/>
    <n v="0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s v=""/>
    <m/>
    <n v="0"/>
    <n v="0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s v=""/>
    <m/>
    <n v="0"/>
    <n v="0"/>
  </r>
  <r>
    <n v="710"/>
    <s v="HE46"/>
    <s v="HEERA SARSON KA SAAG 800 G X 12"/>
    <m/>
    <x v="0"/>
    <m/>
    <s v=""/>
    <m/>
    <n v="0"/>
    <n v="0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s v=""/>
    <m/>
    <n v="0"/>
    <n v="0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s v=""/>
    <m/>
    <n v="0"/>
    <n v="0"/>
  </r>
  <r>
    <n v="722"/>
    <s v="HE57"/>
    <s v="HEERA TIN NAVRATAN KORMA450GX12"/>
    <m/>
    <x v="0"/>
    <m/>
    <s v=""/>
    <m/>
    <n v="0"/>
    <n v="0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s v=""/>
    <m/>
    <n v="0"/>
    <n v="0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0"/>
    <n v="0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s v=""/>
    <m/>
    <n v="0"/>
    <n v="0"/>
  </r>
  <r>
    <n v="754"/>
    <s v="HM20"/>
    <s v="HM OIL HAIR ARGAN 200ML X12"/>
    <m/>
    <x v="0"/>
    <m/>
    <s v=""/>
    <m/>
    <n v="0"/>
    <n v="0"/>
  </r>
  <r>
    <n v="755"/>
    <s v="HM21"/>
    <s v="HM OIL AMLA GREEN BOX 200ML X12"/>
    <m/>
    <x v="0"/>
    <m/>
    <s v=""/>
    <m/>
    <n v="0"/>
    <n v="0"/>
  </r>
  <r>
    <n v="756"/>
    <s v="HM22"/>
    <s v="HM OIL BLACKSEEDS 60ML X12"/>
    <m/>
    <x v="0"/>
    <m/>
    <s v=""/>
    <m/>
    <n v="0"/>
    <n v="0"/>
  </r>
  <r>
    <n v="757"/>
    <s v="HM23"/>
    <s v="HM OIL NEEM 60ML X12"/>
    <m/>
    <x v="0"/>
    <m/>
    <s v=""/>
    <m/>
    <n v="0"/>
    <n v="0"/>
  </r>
  <r>
    <n v="758"/>
    <s v="HM24"/>
    <s v="HM OIL HAIR ANTI DANDRUFF 75ML X 6"/>
    <m/>
    <x v="0"/>
    <m/>
    <s v=""/>
    <m/>
    <n v="0"/>
    <n v="0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s v=""/>
    <m/>
    <n v="0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s v=""/>
    <m/>
    <n v="0"/>
    <n v="0"/>
  </r>
  <r>
    <n v="766"/>
    <s v="HM31"/>
    <s v="HM OIL CUCUMBER 30ML X12"/>
    <m/>
    <x v="0"/>
    <m/>
    <s v=""/>
    <m/>
    <n v="0"/>
    <n v="0"/>
  </r>
  <r>
    <n v="767"/>
    <s v="HM32"/>
    <s v="HM MIXTURE TEA COLDX 1 (20PCS)"/>
    <m/>
    <x v="0"/>
    <m/>
    <s v=""/>
    <m/>
    <n v="0"/>
    <n v="0"/>
  </r>
  <r>
    <n v="768"/>
    <s v="HM33"/>
    <s v="HM SOAP BLACK SEED 75GM X12"/>
    <m/>
    <x v="0"/>
    <m/>
    <s v=""/>
    <m/>
    <n v="0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s v=""/>
    <m/>
    <n v="0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s v=""/>
    <m/>
    <n v="0"/>
    <n v="0"/>
  </r>
  <r>
    <n v="774"/>
    <s v="HM39"/>
    <s v="HM FS POMEGRANATE/ ALOE VERA 150MLX12"/>
    <m/>
    <x v="0"/>
    <m/>
    <s v=""/>
    <m/>
    <n v="0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s v=""/>
    <m/>
    <n v="0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s v=""/>
    <m/>
    <n v="0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s v=""/>
    <m/>
    <n v="0"/>
    <n v="0"/>
  </r>
  <r>
    <n v="813"/>
    <s v="ID102"/>
    <s v="Z PEAK EVAPORATED 410 G X 24 *"/>
    <m/>
    <x v="0"/>
    <m/>
    <s v=""/>
    <m/>
    <n v="0"/>
    <n v="0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s v=""/>
    <m/>
    <n v="0"/>
    <n v="0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s v=""/>
    <m/>
    <n v="0"/>
    <n v="0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s v=""/>
    <m/>
    <n v="0"/>
    <n v="0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s v=""/>
    <m/>
    <n v="0"/>
    <n v="0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s v=""/>
    <m/>
    <n v="0"/>
    <n v="0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0"/>
    <n v="0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0"/>
    <n v="0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s v=""/>
    <m/>
    <n v="0"/>
    <n v="0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0"/>
  </r>
  <r>
    <n v="943"/>
    <s v="ID22"/>
    <s v="Z CHICKEN CUBE X16*"/>
    <m/>
    <x v="0"/>
    <m/>
    <s v=""/>
    <m/>
    <n v="0"/>
    <n v="0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s v=""/>
    <m/>
    <n v="0"/>
    <n v="0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s v=""/>
    <m/>
    <n v="0"/>
    <n v="0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s v=""/>
    <m/>
    <n v="0"/>
    <n v="0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s v=""/>
    <m/>
    <n v="0"/>
    <n v="0"/>
  </r>
  <r>
    <n v="1008"/>
    <s v="ID38"/>
    <s v="Z ELEPHANT RISO 1 VOLTA 20KG X1*"/>
    <m/>
    <x v="0"/>
    <m/>
    <s v=""/>
    <m/>
    <n v="0"/>
    <n v="0"/>
  </r>
  <r>
    <n v="1009"/>
    <s v="ID39"/>
    <s v="Z ELEPHANT RISO 1 VOLTA 5KGX5*"/>
    <m/>
    <x v="0"/>
    <m/>
    <s v=""/>
    <m/>
    <n v="0"/>
    <n v="0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0"/>
    <n v="0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0"/>
    <n v="0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s v=""/>
    <m/>
    <n v="0"/>
    <n v="0"/>
  </r>
  <r>
    <n v="1022"/>
    <s v="ID50"/>
    <s v="Z FLYING RICE 10KGX1 *"/>
    <m/>
    <x v="0"/>
    <m/>
    <s v=""/>
    <m/>
    <n v="0"/>
    <n v="0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0"/>
    <n v="0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s v=""/>
    <m/>
    <n v="0"/>
    <n v="0"/>
  </r>
  <r>
    <n v="1072"/>
    <s v="ID96"/>
    <s v="Z PAN MAIS 1KG BIANCOX10*"/>
    <m/>
    <x v="0"/>
    <m/>
    <s v=""/>
    <m/>
    <n v="0"/>
    <n v="0"/>
  </r>
  <r>
    <n v="1073"/>
    <s v="ID97"/>
    <s v="Z PAN MAIS 1KG YELLOW X10*"/>
    <m/>
    <x v="0"/>
    <m/>
    <s v=""/>
    <m/>
    <n v="0"/>
    <n v="0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s v=""/>
    <m/>
    <n v="0"/>
    <n v="0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s v=""/>
    <m/>
    <n v="0"/>
    <n v="0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s v=""/>
    <m/>
    <n v="0"/>
    <n v="0"/>
  </r>
  <r>
    <n v="1084"/>
    <s v="JA1"/>
    <s v="JUHAYNA MANGO 1LTX12"/>
    <m/>
    <x v="0"/>
    <m/>
    <s v=""/>
    <m/>
    <n v="0"/>
    <n v="0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s v=""/>
    <m/>
    <n v="0"/>
    <n v="0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s v=""/>
    <m/>
    <n v="0"/>
    <n v="0"/>
  </r>
  <r>
    <n v="1090"/>
    <s v="JO4"/>
    <s v="JNS BABY OIL 500 ML X 6"/>
    <m/>
    <x v="0"/>
    <m/>
    <s v=""/>
    <m/>
    <n v="0"/>
    <n v="0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s v=""/>
    <m/>
    <n v="0"/>
    <n v="0"/>
  </r>
  <r>
    <n v="1098"/>
    <s v="K4"/>
    <s v="KH MUSTARD OIL 1LTX12"/>
    <m/>
    <x v="0"/>
    <m/>
    <s v=""/>
    <m/>
    <n v="0"/>
    <n v="0"/>
  </r>
  <r>
    <n v="1099"/>
    <s v="K5"/>
    <s v="KH MUSTARD OIL 750MLX12"/>
    <m/>
    <x v="0"/>
    <m/>
    <s v=""/>
    <m/>
    <n v="0"/>
    <n v="0"/>
  </r>
  <r>
    <n v="1100"/>
    <s v="K6"/>
    <s v="KH MUSTARD OIL 500MLX12"/>
    <m/>
    <x v="0"/>
    <m/>
    <s v=""/>
    <m/>
    <n v="0"/>
    <n v="0"/>
  </r>
  <r>
    <n v="1101"/>
    <s v="K7"/>
    <s v="KH COCONUT OIL 250MLX12"/>
    <m/>
    <x v="0"/>
    <m/>
    <s v=""/>
    <m/>
    <n v="0"/>
    <n v="0"/>
  </r>
  <r>
    <n v="1102"/>
    <s v="K8"/>
    <s v="KH COCONUT OIL 500MLX12"/>
    <m/>
    <x v="0"/>
    <m/>
    <s v=""/>
    <m/>
    <n v="0"/>
    <n v="0"/>
  </r>
  <r>
    <n v="1103"/>
    <s v="K9"/>
    <s v="KH MUSTARD OIL 250MLX12"/>
    <m/>
    <x v="0"/>
    <m/>
    <s v=""/>
    <m/>
    <n v="0"/>
    <n v="0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s v=""/>
    <m/>
    <n v="0"/>
    <n v="0"/>
  </r>
  <r>
    <n v="1106"/>
    <s v="KH2"/>
    <s v="KHANUM GHEE 2 KG X 6"/>
    <m/>
    <x v="0"/>
    <m/>
    <s v=""/>
    <m/>
    <n v="0"/>
    <n v="0"/>
  </r>
  <r>
    <n v="1107"/>
    <s v="KH3"/>
    <s v="KHANUM GHEE 500 G X 12 "/>
    <m/>
    <x v="0"/>
    <m/>
    <s v=""/>
    <m/>
    <n v="0"/>
    <n v="0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s v=""/>
    <m/>
    <n v="0"/>
    <n v="0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s v=""/>
    <m/>
    <n v="0"/>
    <n v="0"/>
  </r>
  <r>
    <n v="1119"/>
    <s v="KI18"/>
    <s v="KITCHEN ART TAWA SIZE 13&quot; X 10"/>
    <m/>
    <x v="0"/>
    <m/>
    <s v=""/>
    <m/>
    <n v="0"/>
    <n v="0"/>
  </r>
  <r>
    <n v="1120"/>
    <s v="KI19"/>
    <s v="KITCHEN ART TAWA SIZE 9&quot; X 10"/>
    <m/>
    <x v="0"/>
    <m/>
    <s v=""/>
    <m/>
    <n v="0"/>
    <n v="0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s v=""/>
    <m/>
    <n v="0"/>
    <n v="0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s v=""/>
    <m/>
    <n v="0"/>
    <n v="0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s v=""/>
    <m/>
    <n v="0"/>
    <n v="0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s v=""/>
    <m/>
    <n v="0"/>
    <n v="0"/>
  </r>
  <r>
    <n v="1135"/>
    <s v="KI8"/>
    <s v="KITCHEN ART IRON KADAI 12&quot;"/>
    <m/>
    <x v="0"/>
    <m/>
    <s v=""/>
    <m/>
    <n v="0"/>
    <n v="0"/>
  </r>
  <r>
    <n v="1136"/>
    <s v="KI9"/>
    <s v="KITCHEN ART IRON KADAI 14&quot;"/>
    <m/>
    <x v="0"/>
    <m/>
    <s v=""/>
    <m/>
    <n v="0"/>
    <n v="0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s v=""/>
    <m/>
    <n v="0"/>
    <n v="0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s v=""/>
    <m/>
    <n v="0"/>
    <n v="0"/>
  </r>
  <r>
    <n v="1162"/>
    <s v="KT12"/>
    <s v="KTC COCONUT OIL 250 ML X 12"/>
    <m/>
    <x v="0"/>
    <m/>
    <s v=""/>
    <m/>
    <n v="0"/>
    <n v="0"/>
  </r>
  <r>
    <n v="1163"/>
    <s v="KT13"/>
    <s v="KTC COCONUT OIL 500 ML X 12"/>
    <m/>
    <x v="0"/>
    <m/>
    <s v=""/>
    <m/>
    <n v="0"/>
    <n v="0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s v=""/>
    <m/>
    <n v="0"/>
    <n v="0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s v=""/>
    <m/>
    <n v="0"/>
    <n v="0"/>
  </r>
  <r>
    <n v="1171"/>
    <s v="KT20"/>
    <s v="KTC MUSTARD OIL 250 ML X 12"/>
    <m/>
    <x v="0"/>
    <m/>
    <s v=""/>
    <m/>
    <n v="0"/>
    <n v="0"/>
  </r>
  <r>
    <n v="1172"/>
    <s v="KT21"/>
    <s v="KTC MUSTARD OIL 4LT X 4"/>
    <m/>
    <x v="0"/>
    <m/>
    <s v=""/>
    <m/>
    <n v="0"/>
    <n v="0"/>
  </r>
  <r>
    <n v="1173"/>
    <s v="KT22"/>
    <s v="KTC MUSTARD OIL 500 ML X 12"/>
    <m/>
    <x v="0"/>
    <m/>
    <s v=""/>
    <m/>
    <n v="0"/>
    <n v="0"/>
  </r>
  <r>
    <n v="1174"/>
    <s v="KT23"/>
    <s v="KTC MUSTARD OIL 750 ML X 12"/>
    <m/>
    <x v="0"/>
    <m/>
    <s v=""/>
    <m/>
    <n v="0"/>
    <n v="0"/>
  </r>
  <r>
    <n v="1175"/>
    <s v="KT24"/>
    <s v="KTC OLIVE OIL 5 LT X 4"/>
    <m/>
    <x v="0"/>
    <m/>
    <s v=""/>
    <m/>
    <n v="0"/>
    <n v="0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s v=""/>
    <m/>
    <n v="0"/>
    <n v="0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s v=""/>
    <m/>
    <n v="0"/>
    <n v="0"/>
  </r>
  <r>
    <n v="1181"/>
    <s v="KT3"/>
    <s v="KTC ALMOND OIL 500 ML X 12"/>
    <m/>
    <x v="0"/>
    <m/>
    <s v=""/>
    <m/>
    <n v="0"/>
    <n v="0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s v=""/>
    <m/>
    <n v="0"/>
    <n v="0"/>
  </r>
  <r>
    <n v="1185"/>
    <s v="KT5"/>
    <s v="KTC ALSI OIL 250 ML X 12"/>
    <m/>
    <x v="0"/>
    <m/>
    <s v=""/>
    <m/>
    <n v="0"/>
    <n v="0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s v=""/>
    <m/>
    <n v="0"/>
    <n v="0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s v=""/>
    <m/>
    <n v="0"/>
    <n v="0"/>
  </r>
  <r>
    <n v="1192"/>
    <s v="LA3"/>
    <s v="LAILA BROKEN RICE 20 KG"/>
    <m/>
    <x v="0"/>
    <m/>
    <s v=""/>
    <m/>
    <n v="0"/>
    <n v="0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s v=""/>
    <m/>
    <n v="0"/>
    <n v="0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s v=""/>
    <m/>
    <n v="0"/>
    <n v="0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s v=""/>
    <m/>
    <n v="0"/>
    <n v="0"/>
  </r>
  <r>
    <n v="1208"/>
    <s v="LZ12"/>
    <s v="LAZ DELHI PULAO BIR 100 GX 6"/>
    <m/>
    <x v="0"/>
    <m/>
    <s v=""/>
    <m/>
    <n v="0"/>
    <n v="0"/>
  </r>
  <r>
    <n v="1209"/>
    <s v="LZ13"/>
    <s v="LAZ FISH MASALA 100 G X 6"/>
    <m/>
    <x v="0"/>
    <m/>
    <s v=""/>
    <m/>
    <n v="0"/>
    <n v="0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s v=""/>
    <m/>
    <n v="0"/>
    <n v="0"/>
  </r>
  <r>
    <n v="1213"/>
    <s v="LZ17"/>
    <s v="LAZ HALEEM MIX MASALA 375 G X 6"/>
    <m/>
    <x v="0"/>
    <m/>
    <s v=""/>
    <m/>
    <n v="0"/>
    <n v="0"/>
  </r>
  <r>
    <n v="1214"/>
    <s v="LZ18"/>
    <s v="LAZ FALOODA JELLY 235 G X 6"/>
    <m/>
    <x v="0"/>
    <m/>
    <s v=""/>
    <m/>
    <n v="0"/>
    <n v="0"/>
  </r>
  <r>
    <n v="1215"/>
    <s v="LZ19"/>
    <s v="LAZ KARAHI/FRY GHOST MAS 90 G X 6 "/>
    <m/>
    <x v="0"/>
    <m/>
    <s v=""/>
    <m/>
    <n v="0"/>
    <n v="0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s v=""/>
    <m/>
    <n v="0"/>
    <n v="0"/>
  </r>
  <r>
    <n v="1218"/>
    <s v="LZ21"/>
    <s v="LAZ KHEER A+S 155 G X 6"/>
    <m/>
    <x v="0"/>
    <m/>
    <s v=""/>
    <m/>
    <n v="0"/>
    <n v="0"/>
  </r>
  <r>
    <n v="1219"/>
    <s v="LZ22"/>
    <s v="LAZ KHEER MIX P+C 155 G X 6"/>
    <m/>
    <x v="0"/>
    <m/>
    <s v=""/>
    <m/>
    <n v="0"/>
    <n v="0"/>
  </r>
  <r>
    <n v="1220"/>
    <s v="LZ23"/>
    <s v="LAZ KHEER MIX STD 155 G X 6"/>
    <m/>
    <x v="0"/>
    <m/>
    <s v=""/>
    <m/>
    <n v="0"/>
    <n v="0"/>
  </r>
  <r>
    <n v="1221"/>
    <s v="LZ24"/>
    <s v="LAZ KOFTA MASALA 130 G X 6"/>
    <m/>
    <x v="0"/>
    <m/>
    <s v=""/>
    <m/>
    <n v="0"/>
    <n v="0"/>
  </r>
  <r>
    <n v="1222"/>
    <s v="LZ25"/>
    <s v="LAZ KULFA KHOYA STD X 6"/>
    <m/>
    <x v="0"/>
    <m/>
    <s v=""/>
    <m/>
    <n v="0"/>
    <n v="0"/>
  </r>
  <r>
    <n v="1223"/>
    <s v="LZ26"/>
    <s v="LAZ KULFI MALAI MIX X 6"/>
    <m/>
    <x v="0"/>
    <m/>
    <s v=""/>
    <m/>
    <n v="0"/>
    <n v="0"/>
  </r>
  <r>
    <n v="1224"/>
    <s v="LZ27"/>
    <s v="LAZ LAHORI CHARGA X 6"/>
    <m/>
    <x v="0"/>
    <m/>
    <s v=""/>
    <m/>
    <n v="0"/>
    <n v="0"/>
  </r>
  <r>
    <n v="1225"/>
    <s v="LZ28"/>
    <s v="LAZ MANGO PICKLE 1 KG X 12"/>
    <m/>
    <x v="0"/>
    <m/>
    <s v=""/>
    <m/>
    <n v="0"/>
    <n v="0"/>
  </r>
  <r>
    <n v="1226"/>
    <s v="LZ29"/>
    <s v="LAZ MIXED PICKLE 1 KG X 12"/>
    <m/>
    <x v="0"/>
    <m/>
    <s v=""/>
    <m/>
    <n v="0"/>
    <n v="0"/>
  </r>
  <r>
    <n v="1227"/>
    <s v="LZ3"/>
    <s v="LAZ BARYANI MASALA 100GX6"/>
    <m/>
    <x v="0"/>
    <m/>
    <s v=""/>
    <m/>
    <n v="0"/>
    <n v="0"/>
  </r>
  <r>
    <n v="1228"/>
    <s v="LZ30"/>
    <s v="LAZ NEHARI MASALA 130 G X 6"/>
    <m/>
    <x v="0"/>
    <m/>
    <s v=""/>
    <m/>
    <n v="0"/>
    <n v="0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s v=""/>
    <m/>
    <n v="0"/>
    <n v="0"/>
  </r>
  <r>
    <n v="1231"/>
    <s v="LZ33"/>
    <s v="LAZ PAYA MASALA 130 G X 6"/>
    <m/>
    <x v="0"/>
    <m/>
    <s v=""/>
    <m/>
    <n v="0"/>
    <n v="0"/>
  </r>
  <r>
    <n v="1232"/>
    <s v="LZ34"/>
    <s v="LAZ FALOODA PISTA X 6"/>
    <m/>
    <x v="0"/>
    <m/>
    <s v=""/>
    <m/>
    <n v="0"/>
    <n v="0"/>
  </r>
  <r>
    <n v="1233"/>
    <s v="LZ35"/>
    <s v="LAZ PLUM CHUTNEY 275 G X 6"/>
    <m/>
    <x v="0"/>
    <m/>
    <s v=""/>
    <m/>
    <n v="0"/>
    <n v="0"/>
  </r>
  <r>
    <n v="1234"/>
    <s v="LZ36"/>
    <s v="LAZ QEEMA MAS 100 G X 6 "/>
    <m/>
    <x v="0"/>
    <m/>
    <s v=""/>
    <m/>
    <n v="0"/>
    <n v="0"/>
  </r>
  <r>
    <n v="1235"/>
    <s v="LZ37"/>
    <s v="LAZ QORMA MASALA 130 G X 6"/>
    <m/>
    <x v="0"/>
    <m/>
    <s v=""/>
    <m/>
    <n v="0"/>
    <n v="0"/>
  </r>
  <r>
    <n v="1236"/>
    <s v="LZ38"/>
    <s v="LAZ FALOODA RABARI 200 G X 6"/>
    <m/>
    <x v="0"/>
    <m/>
    <s v=""/>
    <m/>
    <n v="0"/>
    <n v="0"/>
  </r>
  <r>
    <n v="1237"/>
    <s v="LZ39"/>
    <s v="LAZ RASMALAI PISTA X 6"/>
    <m/>
    <x v="0"/>
    <m/>
    <s v=""/>
    <m/>
    <n v="0"/>
    <n v="0"/>
  </r>
  <r>
    <n v="1238"/>
    <s v="LZ4"/>
    <s v="LAZ CHANA MASALA 100GX6"/>
    <m/>
    <x v="0"/>
    <m/>
    <s v=""/>
    <m/>
    <n v="0"/>
    <n v="0"/>
  </r>
  <r>
    <n v="1239"/>
    <s v="LZ40"/>
    <s v="LAZ RASMALI ALMOND X 6"/>
    <m/>
    <x v="0"/>
    <m/>
    <s v=""/>
    <m/>
    <n v="0"/>
    <n v="0"/>
  </r>
  <r>
    <n v="1240"/>
    <s v="LZ41"/>
    <s v="LAZ RASMALI SAFFRON X 6"/>
    <m/>
    <x v="0"/>
    <m/>
    <s v=""/>
    <m/>
    <n v="0"/>
    <n v="0"/>
  </r>
  <r>
    <n v="1241"/>
    <s v="LZ42"/>
    <s v="LAZ RASMALI STDX 6"/>
    <m/>
    <x v="0"/>
    <m/>
    <s v=""/>
    <m/>
    <n v="0"/>
    <n v="0"/>
  </r>
  <r>
    <n v="1242"/>
    <s v="LZ43"/>
    <s v="LAZ SABAZI MASALA 100 G X 6 "/>
    <m/>
    <x v="0"/>
    <m/>
    <s v=""/>
    <m/>
    <n v="0"/>
    <n v="0"/>
  </r>
  <r>
    <n v="1243"/>
    <s v="LZ44"/>
    <s v="LAZ SEEKH MAS 100 G X 6"/>
    <m/>
    <x v="0"/>
    <m/>
    <s v=""/>
    <m/>
    <n v="0"/>
    <n v="0"/>
  </r>
  <r>
    <n v="1244"/>
    <s v="LZ45"/>
    <s v="LAZ SHAMI KEBAB MASALA 130 G X 6"/>
    <m/>
    <x v="0"/>
    <m/>
    <s v=""/>
    <m/>
    <n v="0"/>
    <n v="0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s v=""/>
    <m/>
    <n v="0"/>
    <n v="0"/>
  </r>
  <r>
    <n v="1247"/>
    <s v="LZ48"/>
    <s v="LAZ FALOODA STRAWBERRY 200 G X 6"/>
    <m/>
    <x v="0"/>
    <m/>
    <s v=""/>
    <m/>
    <n v="0"/>
    <n v="0"/>
  </r>
  <r>
    <n v="1248"/>
    <s v="LZ49"/>
    <s v="LAZ TANDOORI PASTE X 12"/>
    <m/>
    <x v="0"/>
    <m/>
    <s v=""/>
    <m/>
    <n v="0"/>
    <n v="0"/>
  </r>
  <r>
    <n v="1249"/>
    <s v="LZ5"/>
    <s v="LAZ CHAPLI KEBAB 100GX6"/>
    <m/>
    <x v="0"/>
    <m/>
    <s v=""/>
    <m/>
    <n v="0"/>
    <n v="0"/>
  </r>
  <r>
    <n v="1250"/>
    <s v="LZ50"/>
    <s v="LAZ TANDOORI/B.B.Q 100 G X 6"/>
    <m/>
    <x v="0"/>
    <m/>
    <s v=""/>
    <m/>
    <n v="0"/>
    <n v="0"/>
  </r>
  <r>
    <n v="1251"/>
    <s v="LZ51"/>
    <s v="LAZ TIKKA BOTTI MASALA 100 G X 6"/>
    <m/>
    <x v="0"/>
    <m/>
    <s v=""/>
    <m/>
    <n v="0"/>
    <n v="0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s v=""/>
    <m/>
    <n v="0"/>
    <n v="0"/>
  </r>
  <r>
    <n v="1254"/>
    <s v="LZ54"/>
    <s v="LAZ KATKAT MASALA100GX6"/>
    <m/>
    <x v="0"/>
    <m/>
    <s v=""/>
    <m/>
    <n v="0"/>
    <n v="0"/>
  </r>
  <r>
    <n v="1255"/>
    <s v="LZ55"/>
    <s v="LAZ KHEER DRY FRUIT 166GX6"/>
    <m/>
    <x v="0"/>
    <m/>
    <s v=""/>
    <m/>
    <n v="0"/>
    <n v="0"/>
  </r>
  <r>
    <n v="1256"/>
    <s v="LZ56"/>
    <s v="LAZ KHEER VERMICELLI 155GX6"/>
    <m/>
    <x v="0"/>
    <m/>
    <s v=""/>
    <m/>
    <n v="0"/>
    <n v="0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s v=""/>
    <m/>
    <n v="0"/>
    <n v="0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s v=""/>
    <m/>
    <n v="0"/>
    <n v="0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s v=""/>
    <m/>
    <n v="0"/>
    <n v="0"/>
  </r>
  <r>
    <n v="1265"/>
    <s v="LZ8"/>
    <s v="LAZ CHICKEN GINGER X 6"/>
    <m/>
    <x v="0"/>
    <m/>
    <s v=""/>
    <m/>
    <n v="0"/>
    <n v="0"/>
  </r>
  <r>
    <n v="1266"/>
    <s v="LZ9"/>
    <s v="LAZ CHICKEN MASALA X 6"/>
    <m/>
    <x v="0"/>
    <m/>
    <s v=""/>
    <m/>
    <n v="0"/>
    <n v="0"/>
  </r>
  <r>
    <n v="1267"/>
    <s v="M1"/>
    <s v="MEHNDI BLACK ROSE KALI  X 10"/>
    <m/>
    <x v="0"/>
    <m/>
    <s v=""/>
    <m/>
    <n v="0"/>
    <n v="0"/>
  </r>
  <r>
    <n v="1268"/>
    <s v="M10"/>
    <s v="MEHNDI JAMILA HEENA PWD 100GX12"/>
    <m/>
    <x v="0"/>
    <m/>
    <s v=""/>
    <m/>
    <n v="0"/>
    <n v="0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s v=""/>
    <m/>
    <n v="0"/>
    <n v="0"/>
  </r>
  <r>
    <n v="1274"/>
    <s v="M16"/>
    <s v="MEHNDI RED 500G X 10"/>
    <m/>
    <x v="0"/>
    <m/>
    <s v=""/>
    <m/>
    <n v="0"/>
    <n v="0"/>
  </r>
  <r>
    <n v="1275"/>
    <s v="M17"/>
    <s v="MEHNDI ZARQA RED 100 G X 10"/>
    <m/>
    <x v="0"/>
    <m/>
    <s v=""/>
    <m/>
    <n v="0"/>
    <n v="0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s v=""/>
    <m/>
    <n v="0"/>
    <n v="0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s v=""/>
    <m/>
    <n v="0"/>
    <n v="0"/>
  </r>
  <r>
    <n v="1290"/>
    <s v="MH14"/>
    <s v="MDH MEAT MASALA 100GX10"/>
    <m/>
    <x v="0"/>
    <m/>
    <s v=""/>
    <m/>
    <n v="0"/>
    <n v="0"/>
  </r>
  <r>
    <n v="1291"/>
    <s v="MH15"/>
    <s v="MDH KASOORI METHI LEV 100 G X 6"/>
    <m/>
    <x v="0"/>
    <m/>
    <s v=""/>
    <m/>
    <n v="0"/>
    <n v="0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s v=""/>
    <m/>
    <n v="0"/>
    <n v="0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s v=""/>
    <m/>
    <n v="0"/>
    <n v="0"/>
  </r>
  <r>
    <n v="1305"/>
    <s v="MH28"/>
    <s v="MDH GARAM MASALA 100GX10"/>
    <m/>
    <x v="0"/>
    <m/>
    <s v=""/>
    <m/>
    <n v="0"/>
    <n v="0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s v=""/>
    <m/>
    <n v="0"/>
    <n v="0"/>
  </r>
  <r>
    <n v="1309"/>
    <s v="MH31"/>
    <s v="MDH KITCHEN KING 500G X4"/>
    <m/>
    <x v="0"/>
    <m/>
    <s v=""/>
    <m/>
    <n v="0"/>
    <n v="0"/>
  </r>
  <r>
    <n v="1310"/>
    <s v="MH32"/>
    <s v="MDH KASHMIRI MIRCH 100GX10"/>
    <m/>
    <x v="0"/>
    <m/>
    <s v=""/>
    <m/>
    <n v="0"/>
    <n v="0"/>
  </r>
  <r>
    <n v="1311"/>
    <s v="MH4"/>
    <s v="MDH CHANNA MASALA 100 G X 10"/>
    <m/>
    <x v="0"/>
    <m/>
    <s v=""/>
    <m/>
    <n v="0"/>
    <n v="0"/>
  </r>
  <r>
    <n v="1312"/>
    <s v="MH5"/>
    <s v="MDH CHICKEN MASALA 100GX10"/>
    <m/>
    <x v="0"/>
    <m/>
    <s v=""/>
    <m/>
    <n v="0"/>
    <n v="0"/>
  </r>
  <r>
    <n v="1313"/>
    <s v="MH6"/>
    <s v="MDH CHUNKY CHAT MAS 100 G X 10"/>
    <m/>
    <x v="0"/>
    <m/>
    <s v=""/>
    <m/>
    <n v="0"/>
    <n v="0"/>
  </r>
  <r>
    <n v="1314"/>
    <s v="MH7"/>
    <s v="MDH DAHIVADA RAITA 100 G X 10"/>
    <m/>
    <x v="0"/>
    <m/>
    <s v=""/>
    <m/>
    <n v="0"/>
    <n v="0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s v=""/>
    <m/>
    <n v="0"/>
    <n v="0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s v=""/>
    <m/>
    <n v="0"/>
    <n v="0"/>
  </r>
  <r>
    <n v="1320"/>
    <s v="NT11"/>
    <s v="NAT CHICKEN TANDOORI 100 G X 12"/>
    <m/>
    <x v="0"/>
    <m/>
    <s v=""/>
    <m/>
    <n v="0"/>
    <n v="0"/>
  </r>
  <r>
    <n v="1321"/>
    <s v="NT12"/>
    <s v="NAT CHICKEN TIKKA 100 G X 12"/>
    <m/>
    <x v="0"/>
    <m/>
    <s v=""/>
    <m/>
    <n v="0"/>
    <n v="0"/>
  </r>
  <r>
    <n v="1322"/>
    <s v="NT13"/>
    <s v="NAT CHILL&amp;GARLIC SAUCE 300 G X 12"/>
    <m/>
    <x v="0"/>
    <m/>
    <s v=""/>
    <m/>
    <n v="0"/>
    <n v="0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s v=""/>
    <m/>
    <n v="0"/>
    <n v="0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s v=""/>
    <m/>
    <n v="0"/>
    <n v="0"/>
  </r>
  <r>
    <n v="1334"/>
    <s v="NT24"/>
    <s v="NAT GARLIC PICKLE 1 KG X 6"/>
    <m/>
    <x v="0"/>
    <m/>
    <s v=""/>
    <m/>
    <n v="0"/>
    <n v="0"/>
  </r>
  <r>
    <n v="1335"/>
    <s v="NT25"/>
    <s v="NAT GARLIC PASTE BIG X 12 offerta "/>
    <m/>
    <x v="0"/>
    <m/>
    <s v=""/>
    <m/>
    <n v="0"/>
    <n v="0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s v=""/>
    <m/>
    <n v="0"/>
    <n v="0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s v=""/>
    <m/>
    <n v="0"/>
    <n v="0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s v=""/>
    <m/>
    <n v="0"/>
    <n v="0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s v=""/>
    <m/>
    <n v="0"/>
    <n v="0"/>
  </r>
  <r>
    <n v="1356"/>
    <s v="NT44"/>
    <s v="NAT KHEER PISTA 155 G X 12"/>
    <m/>
    <x v="0"/>
    <m/>
    <s v=""/>
    <m/>
    <n v="0"/>
    <n v="0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s v=""/>
    <m/>
    <n v="0"/>
    <n v="0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s v=""/>
    <m/>
    <n v="0"/>
    <n v="0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s v=""/>
    <m/>
    <n v="0"/>
    <n v="0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s v=""/>
    <m/>
    <n v="0"/>
    <n v="0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s v=""/>
    <m/>
    <n v="0"/>
    <n v="0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0"/>
    <n v="0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s v=""/>
    <m/>
    <n v="0"/>
    <n v="0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s v=""/>
    <m/>
    <n v="0"/>
    <n v="0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s v=""/>
    <m/>
    <n v="0"/>
    <n v="0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s v=""/>
    <m/>
    <n v="0"/>
    <n v="0"/>
  </r>
  <r>
    <n v="1387"/>
    <s v="NT72"/>
    <s v="NAT SINDHI BIRYANI 100 G X 12"/>
    <m/>
    <x v="0"/>
    <m/>
    <s v=""/>
    <m/>
    <n v="0"/>
    <n v="0"/>
  </r>
  <r>
    <n v="1388"/>
    <s v="NT73"/>
    <s v="NAT TAMRIND CHUTNEY 325 G X 12"/>
    <m/>
    <x v="0"/>
    <m/>
    <s v=""/>
    <m/>
    <n v="0"/>
    <n v="0"/>
  </r>
  <r>
    <n v="1389"/>
    <s v="NT74"/>
    <s v="NAT TIKKA BOTTI MASALA X 12 "/>
    <m/>
    <x v="0"/>
    <m/>
    <s v=""/>
    <m/>
    <n v="0"/>
    <n v="0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s v=""/>
    <m/>
    <n v="0"/>
    <n v="0"/>
  </r>
  <r>
    <n v="1393"/>
    <s v="NT78"/>
    <s v="NAT YAKHNI PULAO 140 G X 12"/>
    <m/>
    <x v="0"/>
    <m/>
    <s v=""/>
    <m/>
    <n v="0"/>
    <n v="0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s v=""/>
    <m/>
    <n v="0"/>
    <n v="0"/>
  </r>
  <r>
    <n v="1397"/>
    <s v="NT9"/>
    <s v="NAT CHICKEN BROAST X 12"/>
    <m/>
    <x v="0"/>
    <m/>
    <s v=""/>
    <m/>
    <n v="0"/>
    <n v="0"/>
  </r>
  <r>
    <n v="1398"/>
    <s v="PG1"/>
    <s v="PG TEA 1.5 KG LOOSE TEA X 4  offerta "/>
    <m/>
    <x v="0"/>
    <m/>
    <s v=""/>
    <m/>
    <n v="0"/>
    <n v="0"/>
  </r>
  <r>
    <n v="1399"/>
    <s v="PG2"/>
    <s v="PG TEA 160 TEA BAGS X 8 "/>
    <m/>
    <x v="0"/>
    <m/>
    <s v=""/>
    <m/>
    <n v="0"/>
    <n v="0"/>
  </r>
  <r>
    <n v="1400"/>
    <s v="PG3"/>
    <s v="PG TEA 240 TEA BAGS X 4"/>
    <m/>
    <x v="0"/>
    <m/>
    <s v=""/>
    <m/>
    <n v="0"/>
    <n v="0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s v=""/>
    <m/>
    <n v="0"/>
    <n v="0"/>
  </r>
  <r>
    <n v="1403"/>
    <s v="PG6"/>
    <s v="PG TEA 40 TEA BAGS X 12 "/>
    <m/>
    <x v="0"/>
    <m/>
    <s v=""/>
    <m/>
    <n v="0"/>
    <n v="0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s v=""/>
    <m/>
    <n v="0"/>
    <n v="0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s v=""/>
    <m/>
    <n v="0"/>
    <n v="0"/>
  </r>
  <r>
    <n v="1414"/>
    <s v="PJ16"/>
    <s v="PJ FACE WASH NEEM &amp;TULSI 60GMX96"/>
    <m/>
    <x v="0"/>
    <m/>
    <s v=""/>
    <m/>
    <n v="0"/>
    <n v="0"/>
  </r>
  <r>
    <n v="1415"/>
    <s v="PJ17"/>
    <s v="PJ FACE WASH ORANGE&amp;ALOVERA 60GMX96"/>
    <m/>
    <x v="0"/>
    <m/>
    <s v=""/>
    <m/>
    <n v="0"/>
    <n v="0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s v=""/>
    <m/>
    <n v="0"/>
    <n v="0"/>
  </r>
  <r>
    <n v="1427"/>
    <s v="PJ28"/>
    <s v="PJ CAPSULE SHILAJIT 11 GM"/>
    <m/>
    <x v="0"/>
    <m/>
    <s v=""/>
    <m/>
    <n v="0"/>
    <n v="0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s v=""/>
    <m/>
    <n v="0"/>
    <n v="0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s v=""/>
    <m/>
    <n v="0"/>
    <n v="0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s v=""/>
    <m/>
    <n v="0"/>
    <n v="0"/>
  </r>
  <r>
    <n v="1442"/>
    <s v="PR15"/>
    <s v="SP GINGER LIME&amp;CHILLI 800GX12"/>
    <m/>
    <x v="0"/>
    <m/>
    <s v=""/>
    <m/>
    <n v="0"/>
    <n v="0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s v=""/>
    <m/>
    <n v="0"/>
    <n v="0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s v=""/>
    <m/>
    <n v="0"/>
    <n v="0"/>
  </r>
  <r>
    <n v="1449"/>
    <s v="PR21"/>
    <s v="SP LIME PICKLE 800GX12"/>
    <m/>
    <x v="0"/>
    <m/>
    <s v=""/>
    <m/>
    <n v="0"/>
    <n v="0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s v=""/>
    <m/>
    <n v="0"/>
    <n v="0"/>
  </r>
  <r>
    <n v="1452"/>
    <s v="PR24"/>
    <s v="SP MIX PICKLE 2 KG X 12"/>
    <m/>
    <x v="0"/>
    <m/>
    <s v=""/>
    <m/>
    <n v="0"/>
    <n v="0"/>
  </r>
  <r>
    <n v="1453"/>
    <s v="PR25"/>
    <s v="SP MIX PICKLE 800 G X 12"/>
    <m/>
    <x v="0"/>
    <m/>
    <s v=""/>
    <m/>
    <n v="0"/>
    <n v="0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s v=""/>
    <m/>
    <n v="0"/>
    <n v="0"/>
  </r>
  <r>
    <n v="1460"/>
    <s v="PR31"/>
    <s v="SP ZIMIKAND PICKLE 800GX12"/>
    <m/>
    <x v="0"/>
    <m/>
    <s v=""/>
    <m/>
    <n v="0"/>
    <n v="0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s v=""/>
    <m/>
    <n v="0"/>
    <n v="0"/>
  </r>
  <r>
    <n v="1467"/>
    <s v="Q1"/>
    <s v="QARSHI BAZOOROI SYRUP 800MLX12"/>
    <m/>
    <x v="0"/>
    <m/>
    <s v=""/>
    <m/>
    <n v="0"/>
    <n v="0"/>
  </r>
  <r>
    <n v="1468"/>
    <s v="Q2"/>
    <s v="QARSHI CARDAMOM SYRUP 800MLX12"/>
    <m/>
    <x v="0"/>
    <m/>
    <s v=""/>
    <m/>
    <n v="0"/>
    <n v="0"/>
  </r>
  <r>
    <n v="1469"/>
    <s v="Q3"/>
    <s v="QARSHI JAME SHIRIN SYRUP 800MLX12"/>
    <m/>
    <x v="0"/>
    <m/>
    <s v=""/>
    <m/>
    <n v="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s v=""/>
    <m/>
    <n v="0"/>
    <n v="0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s v=""/>
    <m/>
    <n v="0"/>
    <n v="0"/>
  </r>
  <r>
    <n v="1475"/>
    <s v="R100"/>
    <s v="RAW CHANA DAL 25KGX1"/>
    <m/>
    <x v="0"/>
    <m/>
    <s v=""/>
    <m/>
    <n v="0"/>
    <n v="0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s v=""/>
    <m/>
    <n v="0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s v=""/>
    <m/>
    <n v="0"/>
    <n v="0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s v=""/>
    <m/>
    <n v="0"/>
    <n v="0"/>
  </r>
  <r>
    <n v="1492"/>
    <s v="R13"/>
    <s v="PAK KERNEL BASMATI 20 KG X 1"/>
    <m/>
    <x v="0"/>
    <m/>
    <s v=""/>
    <m/>
    <n v="0"/>
    <n v="0"/>
  </r>
  <r>
    <n v="1493"/>
    <s v="R14"/>
    <s v="PAK KERNEL BASMATI 2 KG X 10"/>
    <m/>
    <x v="0"/>
    <m/>
    <s v=""/>
    <m/>
    <n v="0"/>
    <n v="0"/>
  </r>
  <r>
    <n v="1494"/>
    <s v="R15"/>
    <s v="PAK KERNEL BASMATI 5 KG X 4 "/>
    <m/>
    <x v="0"/>
    <m/>
    <s v=""/>
    <m/>
    <n v="0"/>
    <n v="0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s v=""/>
    <m/>
    <n v="0"/>
    <n v="0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s v=""/>
    <m/>
    <n v="0"/>
    <n v="0"/>
  </r>
  <r>
    <n v="1500"/>
    <s v="R200"/>
    <s v="RAW BAJARA FLOUR 30KGX1"/>
    <m/>
    <x v="0"/>
    <m/>
    <s v=""/>
    <m/>
    <n v="0"/>
    <n v="0"/>
  </r>
  <r>
    <n v="1501"/>
    <s v="R201"/>
    <s v="RAW BLACK BEANS 25KG X1"/>
    <m/>
    <x v="0"/>
    <m/>
    <s v=""/>
    <m/>
    <n v="0"/>
    <n v="0"/>
  </r>
  <r>
    <n v="1502"/>
    <s v="R204"/>
    <s v="RAW SAMO 30KGX1"/>
    <m/>
    <x v="0"/>
    <m/>
    <s v=""/>
    <m/>
    <n v="0"/>
    <n v="0"/>
  </r>
  <r>
    <n v="1503"/>
    <s v="R21"/>
    <s v="PUNJAB KERNEL BAS PARBOILED20KGX1"/>
    <m/>
    <x v="0"/>
    <m/>
    <s v=""/>
    <m/>
    <n v="0"/>
    <n v="0"/>
  </r>
  <r>
    <n v="1504"/>
    <s v="R22"/>
    <s v="RAW DHANIA WHOLE 20KGX1"/>
    <m/>
    <x v="0"/>
    <m/>
    <s v=""/>
    <m/>
    <n v="0"/>
    <n v="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s v=""/>
    <m/>
    <n v="0"/>
    <n v="0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s v=""/>
    <m/>
    <n v="0"/>
    <n v="0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s v=""/>
    <m/>
    <n v="0"/>
    <n v="0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s v=""/>
    <m/>
    <n v="0"/>
    <n v="0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s v=""/>
    <m/>
    <n v="0"/>
    <n v="0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s v=""/>
    <m/>
    <n v="0"/>
    <n v="0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s v=""/>
    <m/>
    <n v="0"/>
    <n v="0"/>
  </r>
  <r>
    <n v="1522"/>
    <s v="R39"/>
    <s v="RAW MASOOR WHOLE 25KGX1"/>
    <m/>
    <x v="0"/>
    <m/>
    <s v=""/>
    <m/>
    <n v="0"/>
    <n v="0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s v=""/>
    <m/>
    <n v="0"/>
    <n v="0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s v=""/>
    <m/>
    <n v="0"/>
    <n v="0"/>
  </r>
  <r>
    <n v="1528"/>
    <s v="R44"/>
    <s v="RAW MOONG DAL CHILKA 25KGX1"/>
    <m/>
    <x v="0"/>
    <m/>
    <s v=""/>
    <m/>
    <n v="0"/>
    <n v="0"/>
  </r>
  <r>
    <n v="1529"/>
    <s v="R45"/>
    <s v="RAW MOONG WHOLE 25KGX1"/>
    <m/>
    <x v="0"/>
    <m/>
    <s v=""/>
    <m/>
    <n v="0"/>
    <n v="0"/>
  </r>
  <r>
    <n v="1530"/>
    <s v="R46"/>
    <s v="RAW MOTH 25KGX1"/>
    <m/>
    <x v="0"/>
    <m/>
    <s v=""/>
    <m/>
    <n v="0"/>
    <n v="0"/>
  </r>
  <r>
    <n v="1531"/>
    <s v="R47"/>
    <s v="RAW MUSTARD SEEDS 25KGX1"/>
    <m/>
    <x v="0"/>
    <m/>
    <s v=""/>
    <m/>
    <n v="0"/>
    <n v="0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s v=""/>
    <m/>
    <n v="0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s v=""/>
    <m/>
    <n v="0"/>
    <n v="0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s v=""/>
    <m/>
    <n v="0"/>
    <n v="0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s v=""/>
    <m/>
    <n v="0"/>
    <n v="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s v=""/>
    <m/>
    <n v="0"/>
    <n v="0"/>
  </r>
  <r>
    <n v="1553"/>
    <s v="R67"/>
    <s v="RAW SOYA CHUNKS2OKGX1"/>
    <m/>
    <x v="0"/>
    <m/>
    <s v=""/>
    <m/>
    <n v="0"/>
    <n v="0"/>
  </r>
  <r>
    <n v="1554"/>
    <s v="R68"/>
    <s v="RAW SOYA MINCE 20KG"/>
    <m/>
    <x v="0"/>
    <m/>
    <s v=""/>
    <m/>
    <n v="0"/>
    <n v="0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s v=""/>
    <m/>
    <n v="0"/>
    <n v="0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s v=""/>
    <m/>
    <n v="0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s v=""/>
    <m/>
    <n v="0"/>
    <n v="0"/>
  </r>
  <r>
    <n v="1563"/>
    <s v="R76"/>
    <s v="RAW URID DAL CHILKA 25KGX1"/>
    <m/>
    <x v="0"/>
    <m/>
    <s v=""/>
    <m/>
    <n v="0"/>
    <n v="0"/>
  </r>
  <r>
    <n v="1564"/>
    <s v="R77"/>
    <s v="RAW URID DAL 25KGX1"/>
    <m/>
    <x v="0"/>
    <m/>
    <s v=""/>
    <m/>
    <n v="0"/>
    <n v="0"/>
  </r>
  <r>
    <n v="1565"/>
    <s v="R78"/>
    <s v="RAW URID WHOLE 25KGX1"/>
    <m/>
    <x v="0"/>
    <m/>
    <s v=""/>
    <m/>
    <n v="0"/>
    <n v="0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s v=""/>
    <m/>
    <n v="0"/>
    <n v="0"/>
  </r>
  <r>
    <n v="1568"/>
    <s v="R81"/>
    <s v="RAW AJWAIN 25 KG X 1"/>
    <m/>
    <x v="0"/>
    <m/>
    <s v=""/>
    <m/>
    <n v="0"/>
    <n v="0"/>
  </r>
  <r>
    <n v="1569"/>
    <s v="R82"/>
    <s v="RAW CHICK PEAS 25KGX1"/>
    <m/>
    <x v="0"/>
    <m/>
    <s v=""/>
    <m/>
    <n v="0"/>
    <n v="0"/>
  </r>
  <r>
    <n v="1570"/>
    <s v="R83"/>
    <s v="RAW CLOVES 25KGX1"/>
    <m/>
    <x v="0"/>
    <m/>
    <s v=""/>
    <m/>
    <n v="0"/>
    <n v="0"/>
  </r>
  <r>
    <n v="1571"/>
    <s v="R84"/>
    <s v="RAW COCO PWD25KGX1"/>
    <m/>
    <x v="0"/>
    <m/>
    <s v=""/>
    <m/>
    <n v="0"/>
    <n v="0"/>
  </r>
  <r>
    <n v="1572"/>
    <s v="R85"/>
    <s v="RAW ALMONDS 50 LB X 1"/>
    <m/>
    <x v="0"/>
    <m/>
    <s v=""/>
    <m/>
    <n v="0"/>
    <n v="0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s v=""/>
    <m/>
    <n v="0"/>
    <n v="0"/>
  </r>
  <r>
    <n v="1576"/>
    <s v="R89"/>
    <s v="RAW BLACK EYE BEANS 25KGX1"/>
    <m/>
    <x v="0"/>
    <m/>
    <s v=""/>
    <m/>
    <n v="0"/>
    <n v="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s v=""/>
    <m/>
    <n v="0"/>
    <n v="0"/>
  </r>
  <r>
    <n v="1580"/>
    <s v="R96"/>
    <s v="RAW CARDAMOM BLACK 25KGX1"/>
    <m/>
    <x v="0"/>
    <m/>
    <s v=""/>
    <m/>
    <n v="0"/>
    <n v="0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s v=""/>
    <m/>
    <n v="0"/>
    <n v="0"/>
  </r>
  <r>
    <n v="1585"/>
    <s v="RA29"/>
    <s v="RAW JEERA WHOLE 30KG"/>
    <m/>
    <x v="0"/>
    <m/>
    <s v=""/>
    <m/>
    <n v="0"/>
    <n v="0"/>
  </r>
  <r>
    <n v="1586"/>
    <s v="RA58"/>
    <s v="RAW ROASTED CHANA 30KG"/>
    <m/>
    <x v="0"/>
    <m/>
    <s v=""/>
    <m/>
    <n v="0"/>
    <n v="0"/>
  </r>
  <r>
    <n v="1587"/>
    <s v="RB1"/>
    <s v="RB ANAR JUICE 1 LT X 12"/>
    <m/>
    <x v="0"/>
    <m/>
    <s v=""/>
    <m/>
    <n v="0"/>
    <n v="0"/>
  </r>
  <r>
    <n v="1588"/>
    <s v="RB10"/>
    <s v="RB LYCHEE CANS 330 ML X 24"/>
    <m/>
    <x v="0"/>
    <m/>
    <s v=""/>
    <m/>
    <n v="0"/>
    <n v="0"/>
  </r>
  <r>
    <n v="1589"/>
    <s v="RB11"/>
    <s v="RB LYCHEE JUICE 1 LT X 12 "/>
    <m/>
    <x v="0"/>
    <m/>
    <s v=""/>
    <m/>
    <n v="0"/>
    <n v="0"/>
  </r>
  <r>
    <n v="1590"/>
    <s v="RB12"/>
    <s v="RB LYCHEE JUICE 288 ML X 27"/>
    <m/>
    <x v="0"/>
    <m/>
    <s v=""/>
    <m/>
    <n v="0"/>
    <n v="0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s v=""/>
    <m/>
    <n v="0"/>
    <n v="0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s v=""/>
    <m/>
    <n v="0"/>
    <n v="0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s v=""/>
    <m/>
    <n v="0"/>
    <n v="0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s v=""/>
    <m/>
    <n v="0"/>
    <n v="0"/>
  </r>
  <r>
    <n v="1602"/>
    <s v="RB6"/>
    <s v="RB GUANABNA 1 LT X 12"/>
    <m/>
    <x v="0"/>
    <m/>
    <s v=""/>
    <m/>
    <n v="0"/>
    <n v="0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s v=""/>
    <m/>
    <n v="0"/>
    <n v="0"/>
  </r>
  <r>
    <n v="1605"/>
    <s v="RB9"/>
    <s v="RB GUAVA JUICE 288 ML X 27"/>
    <m/>
    <x v="0"/>
    <m/>
    <s v=""/>
    <m/>
    <n v="0"/>
    <n v="0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s v=""/>
    <m/>
    <n v="0"/>
    <n v="0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s v=""/>
    <m/>
    <n v="0"/>
    <n v="0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s v=""/>
    <m/>
    <n v="0"/>
    <n v="0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s v=""/>
    <m/>
    <n v="0"/>
    <n v="0"/>
  </r>
  <r>
    <n v="1659"/>
    <s v="RP6"/>
    <s v="RP MUTTON CURRY MAS 100GX10"/>
    <m/>
    <x v="0"/>
    <m/>
    <s v=""/>
    <m/>
    <n v="0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s v=""/>
    <m/>
    <n v="0"/>
    <n v="0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s v=""/>
    <m/>
    <n v="0"/>
    <n v="0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s v=""/>
    <m/>
    <n v="0"/>
    <n v="0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s v=""/>
    <m/>
    <n v="0"/>
    <n v="0"/>
  </r>
  <r>
    <n v="1671"/>
    <s v="SF16"/>
    <s v="SFI SWEET CHILLI SAUCE SMALL X 24"/>
    <m/>
    <x v="0"/>
    <m/>
    <s v=""/>
    <m/>
    <n v="0"/>
    <n v="0"/>
  </r>
  <r>
    <n v="1672"/>
    <s v="SF17"/>
    <s v="SFI TANDOOR X 1"/>
    <m/>
    <x v="0"/>
    <m/>
    <s v=""/>
    <m/>
    <n v="0"/>
    <n v="0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s v=""/>
    <m/>
    <n v="0"/>
    <n v="0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s v=""/>
    <m/>
    <n v="0"/>
    <n v="0"/>
  </r>
  <r>
    <n v="1684"/>
    <s v="SF28"/>
    <s v="SFI OIL MUSTARD 750MLX12"/>
    <m/>
    <x v="0"/>
    <m/>
    <s v=""/>
    <m/>
    <n v="0"/>
    <n v="0"/>
  </r>
  <r>
    <n v="1685"/>
    <s v="SF29"/>
    <s v="SFI OIL COCONUT 500MLX12"/>
    <m/>
    <x v="0"/>
    <m/>
    <s v=""/>
    <m/>
    <n v="0"/>
    <n v="0"/>
  </r>
  <r>
    <n v="1686"/>
    <s v="SF3"/>
    <s v="SFI BS DRINK COCKTAIL 290 ML X 24"/>
    <m/>
    <x v="0"/>
    <m/>
    <s v=""/>
    <m/>
    <n v="0"/>
    <n v="0"/>
  </r>
  <r>
    <n v="1687"/>
    <s v="SF30"/>
    <s v="SFI OIL MUSTARD 250MLX12"/>
    <m/>
    <x v="0"/>
    <m/>
    <s v=""/>
    <m/>
    <n v="0"/>
    <n v="0"/>
  </r>
  <r>
    <n v="1688"/>
    <s v="SF4"/>
    <s v="SFI BS DRINK COCONUT 290 ML X 24"/>
    <m/>
    <x v="0"/>
    <m/>
    <s v=""/>
    <m/>
    <n v="0"/>
    <n v="0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s v=""/>
    <m/>
    <n v="0"/>
    <n v="0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s v=""/>
    <m/>
    <n v="0"/>
    <n v="0"/>
  </r>
  <r>
    <n v="1694"/>
    <s v="SH1"/>
    <s v="SHAN MANGO PICKLE 1 KG X 6"/>
    <m/>
    <x v="0"/>
    <m/>
    <s v=""/>
    <m/>
    <n v="0"/>
    <n v="0"/>
  </r>
  <r>
    <n v="1695"/>
    <s v="SH10"/>
    <s v="SHAN TANDOORI MASALA 100GX6"/>
    <m/>
    <x v="0"/>
    <m/>
    <s v=""/>
    <m/>
    <n v="0"/>
    <n v="0"/>
  </r>
  <r>
    <n v="1696"/>
    <s v="SH11"/>
    <s v="SHAN SEEKH KEBAB 100GX6"/>
    <m/>
    <x v="0"/>
    <m/>
    <s v=""/>
    <m/>
    <n v="0"/>
    <n v="0"/>
  </r>
  <r>
    <n v="1697"/>
    <s v="SH12"/>
    <s v="SHAN SINDHI BIRYANI MAS 120GX6"/>
    <m/>
    <x v="0"/>
    <m/>
    <s v=""/>
    <m/>
    <n v="0"/>
    <n v="0"/>
  </r>
  <r>
    <n v="1698"/>
    <s v="SH13"/>
    <s v="SHAN PAULO BIRYANI MAS 120GX6"/>
    <m/>
    <x v="0"/>
    <m/>
    <s v=""/>
    <m/>
    <n v="0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s v=""/>
    <m/>
    <n v="0"/>
    <n v="0"/>
  </r>
  <r>
    <n v="1701"/>
    <s v="SH16"/>
    <s v="SHAN KARAHI GOHST 100GX6"/>
    <m/>
    <x v="0"/>
    <m/>
    <s v=""/>
    <m/>
    <n v="0"/>
    <n v="0"/>
  </r>
  <r>
    <n v="1702"/>
    <s v="SH17"/>
    <s v="SHAN CUSTARD BANANA 200GX6"/>
    <m/>
    <x v="0"/>
    <m/>
    <s v=""/>
    <m/>
    <n v="0"/>
    <n v="0"/>
  </r>
  <r>
    <n v="1703"/>
    <s v="SH18"/>
    <s v="SHAN CUSTARD STRAWBERRY 200GX6"/>
    <m/>
    <x v="0"/>
    <m/>
    <s v=""/>
    <m/>
    <n v="0"/>
    <n v="0"/>
  </r>
  <r>
    <n v="1704"/>
    <s v="SH19"/>
    <s v="SHAN NEHARI MASALA 120GX6"/>
    <m/>
    <x v="0"/>
    <m/>
    <s v=""/>
    <m/>
    <n v="0"/>
    <n v="0"/>
  </r>
  <r>
    <n v="1705"/>
    <s v="SH2"/>
    <s v="SHAN MIX PICKLE 1 KG X 6"/>
    <m/>
    <x v="0"/>
    <m/>
    <s v=""/>
    <m/>
    <n v="0"/>
    <n v="0"/>
  </r>
  <r>
    <n v="1706"/>
    <s v="SH20"/>
    <s v="SHAN GAJAR HALWA 100GX6"/>
    <m/>
    <x v="0"/>
    <m/>
    <s v=""/>
    <m/>
    <n v="0"/>
    <n v="0"/>
  </r>
  <r>
    <n v="1707"/>
    <s v="SH21"/>
    <s v="SHAN CHIKEN BROST 100GX6"/>
    <m/>
    <x v="0"/>
    <m/>
    <s v=""/>
    <m/>
    <n v="0"/>
    <n v="0"/>
  </r>
  <r>
    <n v="1708"/>
    <s v="SH22"/>
    <s v="SHAN GREEN CHILLI PICKLE 1KGX6"/>
    <m/>
    <x v="0"/>
    <m/>
    <s v=""/>
    <m/>
    <n v="0"/>
    <n v="0"/>
  </r>
  <r>
    <n v="1709"/>
    <s v="SH23"/>
    <s v="SHAN CUSTARD VANILLA 200GX6"/>
    <m/>
    <x v="0"/>
    <m/>
    <s v=""/>
    <m/>
    <n v="0"/>
    <n v="0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s v=""/>
    <m/>
    <n v="0"/>
    <n v="0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s v=""/>
    <m/>
    <n v="0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s v=""/>
    <m/>
    <n v="0"/>
    <n v="0"/>
  </r>
  <r>
    <n v="1731"/>
    <s v="SO1"/>
    <s v="SOHNA KADI PAKORA 450GX24"/>
    <m/>
    <x v="0"/>
    <m/>
    <s v=""/>
    <m/>
    <n v="0"/>
    <n v="0"/>
  </r>
  <r>
    <n v="1732"/>
    <s v="SO2"/>
    <s v="SOHNA PALAK PANEER 450GX24"/>
    <m/>
    <x v="0"/>
    <m/>
    <s v=""/>
    <m/>
    <n v="0"/>
    <n v="0"/>
  </r>
  <r>
    <n v="1733"/>
    <s v="SO3"/>
    <s v="SOHNA SAAG 450GX24"/>
    <m/>
    <x v="0"/>
    <m/>
    <s v=""/>
    <m/>
    <n v="0"/>
    <n v="0"/>
  </r>
  <r>
    <n v="1734"/>
    <s v="SO4"/>
    <s v="SOHNA SAAG 850GX12"/>
    <m/>
    <x v="0"/>
    <m/>
    <s v=""/>
    <m/>
    <n v="0"/>
    <n v="0"/>
  </r>
  <r>
    <n v="1735"/>
    <s v="SO5"/>
    <s v="SOHNA DAL MAKHANI 450GX24 "/>
    <m/>
    <x v="0"/>
    <m/>
    <s v=""/>
    <m/>
    <n v="0"/>
    <n v="0"/>
  </r>
  <r>
    <n v="1736"/>
    <s v="SO6"/>
    <s v="SOHNA CHATPATEY CHOLEY 450GX24"/>
    <m/>
    <x v="0"/>
    <m/>
    <s v=""/>
    <m/>
    <n v="0"/>
    <n v="0"/>
  </r>
  <r>
    <n v="1737"/>
    <s v="SO7"/>
    <s v="SOHNA AMLA MURABA 1KGX12"/>
    <m/>
    <x v="0"/>
    <m/>
    <s v=""/>
    <m/>
    <n v="0"/>
    <n v="0"/>
  </r>
  <r>
    <n v="1738"/>
    <s v="SO8"/>
    <s v="SOHNA CARROT MURABA 1KGX12"/>
    <m/>
    <x v="0"/>
    <m/>
    <s v=""/>
    <m/>
    <n v="0"/>
    <n v="0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s v=""/>
    <m/>
    <n v="0"/>
    <n v="0"/>
  </r>
  <r>
    <n v="1747"/>
    <s v="SW1"/>
    <s v="SWEET MIX X 1"/>
    <m/>
    <x v="0"/>
    <m/>
    <s v=""/>
    <m/>
    <n v="0"/>
    <n v="0"/>
  </r>
  <r>
    <n v="1748"/>
    <s v="T 248"/>
    <s v="TRS PUFFED RICE 400GX10"/>
    <m/>
    <x v="0"/>
    <m/>
    <s v=""/>
    <m/>
    <n v="0"/>
    <n v="0"/>
  </r>
  <r>
    <n v="1749"/>
    <s v="T1"/>
    <s v="TRS AJWAIN 100GX20"/>
    <m/>
    <x v="0"/>
    <m/>
    <s v=""/>
    <m/>
    <n v="0"/>
    <n v="0"/>
  </r>
  <r>
    <n v="1750"/>
    <s v="T10"/>
    <s v="TRS MOTH 1KG X10"/>
    <m/>
    <x v="0"/>
    <m/>
    <s v=""/>
    <m/>
    <n v="0"/>
    <n v="0"/>
  </r>
  <r>
    <n v="1751"/>
    <s v="T100"/>
    <s v="TRS HALDI PWD(TURMERIC) 100G X 20"/>
    <m/>
    <x v="0"/>
    <m/>
    <s v=""/>
    <m/>
    <n v="0"/>
    <n v="0"/>
  </r>
  <r>
    <n v="1752"/>
    <s v="T101"/>
    <s v="TRS HALDI PWD(TURMERIC) 1KG X 6"/>
    <m/>
    <x v="0"/>
    <m/>
    <s v=""/>
    <m/>
    <n v="0"/>
    <n v="0"/>
  </r>
  <r>
    <n v="1753"/>
    <s v="T102"/>
    <s v="TRS HALDI PWD(TURMERIC) 400G X10"/>
    <m/>
    <x v="0"/>
    <m/>
    <s v=""/>
    <m/>
    <n v="0"/>
    <n v="0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s v=""/>
    <m/>
    <n v="0"/>
    <n v="0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s v=""/>
    <m/>
    <n v="0"/>
    <n v="0"/>
  </r>
  <r>
    <n v="1759"/>
    <s v="T108"/>
    <s v="TRS JEERA PWD 1KGX6"/>
    <m/>
    <x v="0"/>
    <m/>
    <s v=""/>
    <m/>
    <n v="0"/>
    <n v="0"/>
  </r>
  <r>
    <n v="1760"/>
    <s v="T109"/>
    <s v="TRS JEERA PWD 400GX10"/>
    <m/>
    <x v="0"/>
    <m/>
    <s v=""/>
    <m/>
    <n v="0"/>
    <n v="0"/>
  </r>
  <r>
    <n v="1761"/>
    <s v="T11"/>
    <s v="TRS BAY LEAVES 30GX15  "/>
    <m/>
    <x v="0"/>
    <m/>
    <s v=""/>
    <m/>
    <n v="0"/>
    <n v="0"/>
  </r>
  <r>
    <n v="1762"/>
    <s v="T110"/>
    <s v="TRS JEERA WHOLE 100GX20"/>
    <m/>
    <x v="0"/>
    <m/>
    <s v=""/>
    <m/>
    <n v="0"/>
    <n v="0"/>
  </r>
  <r>
    <n v="1763"/>
    <s v="T111"/>
    <s v="TRS JEERA WHOLE 1KGX6"/>
    <m/>
    <x v="0"/>
    <m/>
    <s v=""/>
    <m/>
    <n v="0"/>
    <n v="0"/>
  </r>
  <r>
    <n v="1764"/>
    <s v="T112"/>
    <s v="TRS JEERA WHOLE 400GX10"/>
    <m/>
    <x v="0"/>
    <m/>
    <s v=""/>
    <m/>
    <n v="0"/>
    <n v="0"/>
  </r>
  <r>
    <n v="1765"/>
    <s v="T113"/>
    <s v="TRS KALA CHANA 1KGX10"/>
    <m/>
    <x v="0"/>
    <m/>
    <s v=""/>
    <m/>
    <n v="0"/>
    <n v="0"/>
  </r>
  <r>
    <n v="1766"/>
    <s v="T114"/>
    <s v="TRS KALA CHANA 2KGX6"/>
    <m/>
    <x v="0"/>
    <m/>
    <s v=""/>
    <m/>
    <n v="0"/>
    <n v="0"/>
  </r>
  <r>
    <n v="1767"/>
    <s v="T115"/>
    <s v="TRS KALA CHANA 500GX20"/>
    <m/>
    <x v="0"/>
    <m/>
    <s v=""/>
    <m/>
    <n v="0"/>
    <n v="0"/>
  </r>
  <r>
    <n v="1768"/>
    <s v="T116"/>
    <s v="TRS KALA JEERA 50GX20"/>
    <m/>
    <x v="0"/>
    <m/>
    <s v=""/>
    <m/>
    <n v="0"/>
    <n v="0"/>
  </r>
  <r>
    <n v="1769"/>
    <s v="T117"/>
    <s v="TRS KALA NIMAK PWD100GX20"/>
    <m/>
    <x v="0"/>
    <m/>
    <s v=""/>
    <m/>
    <n v="0"/>
    <n v="0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s v=""/>
    <m/>
    <n v="0"/>
    <n v="0"/>
  </r>
  <r>
    <n v="1772"/>
    <s v="T12"/>
    <s v="TRS BICARBONATE OF SODA 100GX20"/>
    <m/>
    <x v="0"/>
    <m/>
    <s v=""/>
    <m/>
    <n v="0"/>
    <n v="0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s v=""/>
    <m/>
    <n v="0"/>
    <n v="0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s v=""/>
    <m/>
    <n v="0"/>
    <n v="0"/>
  </r>
  <r>
    <n v="1779"/>
    <s v="T126"/>
    <s v="TRS MADRAS CU-PWD HOT 400 GX10"/>
    <m/>
    <x v="0"/>
    <m/>
    <s v=""/>
    <m/>
    <n v="0"/>
    <n v="0"/>
  </r>
  <r>
    <n v="1780"/>
    <s v="T127"/>
    <s v="TRS MADRAS CU-PWD MILD 100 GX20"/>
    <m/>
    <x v="0"/>
    <m/>
    <s v=""/>
    <m/>
    <n v="0"/>
    <n v="0"/>
  </r>
  <r>
    <n v="1781"/>
    <s v="T128"/>
    <s v="TRS MADRAS CU-PWD MILD 400 GX10"/>
    <m/>
    <x v="0"/>
    <m/>
    <s v=""/>
    <m/>
    <n v="0"/>
    <n v="0"/>
  </r>
  <r>
    <n v="1782"/>
    <s v="T129"/>
    <s v="TRS MASOOR DAL 1 KG X 10"/>
    <m/>
    <x v="0"/>
    <m/>
    <s v=""/>
    <m/>
    <n v="0"/>
    <n v="0"/>
  </r>
  <r>
    <n v="1783"/>
    <s v="T13"/>
    <s v="TRS BLACK EYE BEANS 2KGX6"/>
    <m/>
    <x v="0"/>
    <m/>
    <s v=""/>
    <m/>
    <n v="0"/>
    <n v="0"/>
  </r>
  <r>
    <n v="1784"/>
    <s v="T130"/>
    <s v="TRS MASOOR DAL 2 KG X 6"/>
    <m/>
    <x v="0"/>
    <m/>
    <s v=""/>
    <m/>
    <n v="0"/>
    <n v="0"/>
  </r>
  <r>
    <n v="1785"/>
    <s v="T131"/>
    <s v="TRS MASOOR DAL 500 G X 20"/>
    <m/>
    <x v="0"/>
    <m/>
    <s v=""/>
    <m/>
    <n v="0"/>
    <n v="0"/>
  </r>
  <r>
    <n v="1786"/>
    <s v="T132"/>
    <s v="TRS MASOOR WHOLE 500GX20"/>
    <m/>
    <x v="0"/>
    <m/>
    <s v=""/>
    <m/>
    <n v="0"/>
    <n v="0"/>
  </r>
  <r>
    <n v="1787"/>
    <s v="T133"/>
    <s v="TRS MASOOR WHOLE1KGX10"/>
    <m/>
    <x v="0"/>
    <m/>
    <s v=""/>
    <m/>
    <n v="0"/>
    <n v="0"/>
  </r>
  <r>
    <n v="1788"/>
    <s v="T134"/>
    <s v="TRS METHI LEAVES 100GX12"/>
    <m/>
    <x v="0"/>
    <m/>
    <s v=""/>
    <m/>
    <n v="0"/>
    <n v="0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s v=""/>
    <m/>
    <n v="0"/>
    <n v="0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s v=""/>
    <m/>
    <n v="0"/>
    <n v="0"/>
  </r>
  <r>
    <n v="1795"/>
    <s v="T140"/>
    <s v="TRS MOONG DAL CHILKA 2KGX6"/>
    <m/>
    <x v="0"/>
    <m/>
    <s v=""/>
    <m/>
    <n v="0"/>
    <n v="0"/>
  </r>
  <r>
    <n v="1796"/>
    <s v="T141"/>
    <s v="TRS MOONG DAL CHILKA 500GX20"/>
    <m/>
    <x v="0"/>
    <m/>
    <s v=""/>
    <m/>
    <n v="0"/>
    <n v="0"/>
  </r>
  <r>
    <n v="1797"/>
    <s v="T142"/>
    <s v="TRS MOONG DAL 2 KG X 6"/>
    <m/>
    <x v="0"/>
    <m/>
    <s v=""/>
    <m/>
    <n v="0"/>
    <n v="0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s v=""/>
    <m/>
    <n v="0"/>
    <n v="0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s v=""/>
    <m/>
    <n v="0"/>
    <n v="0"/>
  </r>
  <r>
    <n v="1802"/>
    <s v="T147"/>
    <s v="TRS MOONG WHOLE 2KGX6"/>
    <m/>
    <x v="0"/>
    <m/>
    <s v=""/>
    <m/>
    <n v="0"/>
    <n v="0"/>
  </r>
  <r>
    <n v="1803"/>
    <s v="T148"/>
    <s v="TRS MOONG WHOLE 500GX20"/>
    <m/>
    <x v="0"/>
    <m/>
    <s v=""/>
    <m/>
    <n v="0"/>
    <n v="0"/>
  </r>
  <r>
    <n v="1804"/>
    <s v="T149"/>
    <s v="TRS MOTH 2KGX6"/>
    <m/>
    <x v="0"/>
    <m/>
    <s v=""/>
    <m/>
    <n v="0"/>
    <n v="0"/>
  </r>
  <r>
    <n v="1805"/>
    <s v="T15"/>
    <s v="TRS BLACK EYE BEANS1KGX10"/>
    <m/>
    <x v="0"/>
    <m/>
    <s v=""/>
    <m/>
    <n v="0"/>
    <n v="0"/>
  </r>
  <r>
    <n v="1806"/>
    <s v="T150"/>
    <s v="TRS MOTH 500GX20"/>
    <m/>
    <x v="0"/>
    <m/>
    <s v=""/>
    <m/>
    <n v="0"/>
    <n v="0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s v=""/>
    <m/>
    <n v="0"/>
    <n v="0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s v=""/>
    <m/>
    <n v="0"/>
    <n v="0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s v=""/>
    <m/>
    <n v="0"/>
    <n v="0"/>
  </r>
  <r>
    <n v="1814"/>
    <s v="T158"/>
    <s v="TRS PAPRIKA PWD 100GX20"/>
    <m/>
    <x v="0"/>
    <m/>
    <s v=""/>
    <m/>
    <n v="0"/>
    <n v="0"/>
  </r>
  <r>
    <n v="1815"/>
    <s v="T159"/>
    <s v="TRS PAPRIKA PWD 400GX10"/>
    <m/>
    <x v="0"/>
    <m/>
    <s v=""/>
    <m/>
    <n v="0"/>
    <n v="0"/>
  </r>
  <r>
    <n v="1816"/>
    <s v="T16"/>
    <s v="TRS BLACK PEPPER COARSE 100GX20"/>
    <m/>
    <x v="0"/>
    <m/>
    <s v=""/>
    <m/>
    <n v="0"/>
    <n v="0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s v=""/>
    <m/>
    <n v="0"/>
    <n v="0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s v=""/>
    <m/>
    <n v="0"/>
    <n v="0"/>
  </r>
  <r>
    <n v="1821"/>
    <s v="T164"/>
    <s v="TRS POPPY SEEDS 100GX20"/>
    <m/>
    <x v="0"/>
    <m/>
    <s v=""/>
    <m/>
    <n v="0"/>
    <n v="0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s v=""/>
    <m/>
    <n v="0"/>
    <n v="0"/>
  </r>
  <r>
    <n v="1824"/>
    <s v="T167"/>
    <s v="TRS RED KIDNEY 1KGX10"/>
    <m/>
    <x v="0"/>
    <m/>
    <s v=""/>
    <m/>
    <n v="0"/>
    <n v="0"/>
  </r>
  <r>
    <n v="1825"/>
    <s v="T168"/>
    <s v="TRS RED KIDNEY 2KGX6"/>
    <m/>
    <x v="0"/>
    <m/>
    <s v=""/>
    <m/>
    <n v="0"/>
    <n v="0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s v=""/>
    <m/>
    <n v="0"/>
    <n v="0"/>
  </r>
  <r>
    <n v="1828"/>
    <s v="T170"/>
    <s v="TRS RED KIDNEY 500GX20"/>
    <m/>
    <x v="0"/>
    <m/>
    <s v=""/>
    <m/>
    <n v="0"/>
    <n v="0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s v=""/>
    <m/>
    <n v="0"/>
    <n v="0"/>
  </r>
  <r>
    <n v="1831"/>
    <s v="T173"/>
    <s v="TRS RICE GROUND 1.5KGX6"/>
    <m/>
    <x v="0"/>
    <m/>
    <s v=""/>
    <m/>
    <n v="0"/>
    <n v="0"/>
  </r>
  <r>
    <n v="1832"/>
    <s v="T174"/>
    <s v="TRS ROASTED CHANA 300GX20"/>
    <m/>
    <x v="0"/>
    <m/>
    <s v=""/>
    <m/>
    <n v="0"/>
    <n v="0"/>
  </r>
  <r>
    <n v="1833"/>
    <s v="T175"/>
    <s v="TRS ROSE WATER 190MLX12  "/>
    <m/>
    <x v="0"/>
    <m/>
    <s v=""/>
    <m/>
    <n v="0"/>
    <n v="0"/>
  </r>
  <r>
    <n v="1834"/>
    <s v="T176"/>
    <s v="TRS SABUDANA(TAPIOCA) 500GX10"/>
    <m/>
    <x v="0"/>
    <m/>
    <s v=""/>
    <m/>
    <n v="0"/>
    <n v="0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s v=""/>
    <m/>
    <n v="0"/>
    <n v="0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s v=""/>
    <m/>
    <n v="0"/>
    <n v="0"/>
  </r>
  <r>
    <n v="1839"/>
    <s v="T180"/>
    <s v="TRS SEASAME SEEDS WHITE 300GX10"/>
    <m/>
    <x v="0"/>
    <m/>
    <s v=""/>
    <m/>
    <n v="0"/>
    <n v="0"/>
  </r>
  <r>
    <n v="1840"/>
    <s v="T181"/>
    <s v="TRS SEASAME SEEDS WHITE100GX20"/>
    <m/>
    <x v="0"/>
    <m/>
    <s v=""/>
    <m/>
    <n v="0"/>
    <n v="0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s v=""/>
    <m/>
    <n v="0"/>
    <n v="0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s v=""/>
    <m/>
    <n v="0"/>
    <n v="0"/>
  </r>
  <r>
    <n v="1847"/>
    <s v="T188"/>
    <s v="TRS SONGI(RAISINS GREEN) 250GX15"/>
    <m/>
    <x v="0"/>
    <m/>
    <s v=""/>
    <m/>
    <n v="0"/>
    <n v="0"/>
  </r>
  <r>
    <n v="1848"/>
    <s v="T189"/>
    <s v="TRS SOONF(FEENEL SEEDS) 100GX20"/>
    <m/>
    <x v="0"/>
    <m/>
    <s v=""/>
    <m/>
    <n v="0"/>
    <n v="0"/>
  </r>
  <r>
    <n v="1849"/>
    <s v="T19"/>
    <s v="TRS BLACK PEPPER WHOLE 100GX20"/>
    <m/>
    <x v="0"/>
    <m/>
    <s v=""/>
    <m/>
    <n v="0"/>
    <n v="0"/>
  </r>
  <r>
    <n v="1850"/>
    <s v="T190"/>
    <s v="TRS SOONF(FEENEL SEEDS) 1KGX6"/>
    <m/>
    <x v="0"/>
    <m/>
    <s v=""/>
    <m/>
    <n v="0"/>
    <n v="0"/>
  </r>
  <r>
    <n v="1851"/>
    <s v="T191"/>
    <s v="TRS SOONF(FEENL SEEDS) 400GX10"/>
    <m/>
    <x v="0"/>
    <m/>
    <s v=""/>
    <m/>
    <n v="0"/>
    <n v="0"/>
  </r>
  <r>
    <n v="1852"/>
    <s v="T192"/>
    <s v="TRS SOYA CHUNKS 250GX10"/>
    <m/>
    <x v="0"/>
    <m/>
    <s v=""/>
    <m/>
    <n v="0"/>
    <n v="0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s v=""/>
    <m/>
    <n v="0"/>
    <n v="0"/>
  </r>
  <r>
    <n v="1855"/>
    <s v="T195"/>
    <s v="TRS SOYA MINCE 250GX10"/>
    <m/>
    <x v="0"/>
    <m/>
    <s v=""/>
    <m/>
    <n v="0"/>
    <n v="0"/>
  </r>
  <r>
    <n v="1856"/>
    <s v="T196"/>
    <s v="TRS SPINACH PUREE 395GX12"/>
    <m/>
    <x v="0"/>
    <m/>
    <s v=""/>
    <m/>
    <n v="0"/>
    <n v="0"/>
  </r>
  <r>
    <n v="1857"/>
    <s v="T197"/>
    <s v="TRS SPINACH PUREE 795GX12"/>
    <m/>
    <x v="0"/>
    <m/>
    <s v=""/>
    <m/>
    <n v="0"/>
    <n v="0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s v=""/>
    <m/>
    <n v="0"/>
    <n v="0"/>
  </r>
  <r>
    <n v="1860"/>
    <s v="T2"/>
    <s v="TRS AJWAIN 300GX10"/>
    <m/>
    <x v="0"/>
    <m/>
    <s v=""/>
    <m/>
    <n v="0"/>
    <n v="0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s v=""/>
    <m/>
    <n v="0"/>
    <n v="0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s v=""/>
    <m/>
    <n v="0"/>
    <n v="0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s v=""/>
    <m/>
    <n v="0"/>
    <n v="0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s v=""/>
    <m/>
    <n v="0"/>
    <n v="0"/>
  </r>
  <r>
    <n v="1872"/>
    <s v="T21"/>
    <s v="TRS BLACK PEPPER WHOLE 400X10"/>
    <m/>
    <x v="0"/>
    <m/>
    <s v=""/>
    <m/>
    <n v="0"/>
    <n v="0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s v=""/>
    <m/>
    <n v="0"/>
    <n v="0"/>
  </r>
  <r>
    <n v="1875"/>
    <s v="T212"/>
    <s v="TRS URID DAL CHILKA 500 G X 20"/>
    <m/>
    <x v="0"/>
    <m/>
    <s v=""/>
    <m/>
    <n v="0"/>
    <n v="0"/>
  </r>
  <r>
    <n v="1876"/>
    <s v="T213"/>
    <s v="TRS URID DAL 2 KG X 6"/>
    <m/>
    <x v="0"/>
    <m/>
    <s v=""/>
    <m/>
    <n v="0"/>
    <n v="0"/>
  </r>
  <r>
    <n v="1877"/>
    <s v="T214"/>
    <s v="TRS URID DAL 500 G X 20"/>
    <m/>
    <x v="0"/>
    <m/>
    <s v=""/>
    <m/>
    <n v="0"/>
    <n v="0"/>
  </r>
  <r>
    <n v="1878"/>
    <s v="T215"/>
    <s v="TRS URID DAL 1 KG X 10"/>
    <m/>
    <x v="0"/>
    <m/>
    <s v=""/>
    <m/>
    <n v="0"/>
    <n v="0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s v=""/>
    <m/>
    <n v="0"/>
    <n v="0"/>
  </r>
  <r>
    <n v="1881"/>
    <s v="T218"/>
    <s v="TRS URID WHOLE 500 G X 20"/>
    <m/>
    <x v="0"/>
    <m/>
    <s v=""/>
    <m/>
    <n v="0"/>
    <n v="0"/>
  </r>
  <r>
    <n v="1882"/>
    <s v="T219"/>
    <s v="TRS URID WHOLE 1 KG X 10"/>
    <m/>
    <x v="0"/>
    <m/>
    <s v=""/>
    <m/>
    <n v="0"/>
    <n v="0"/>
  </r>
  <r>
    <n v="1883"/>
    <s v="T22"/>
    <s v="TRS BOILED CHICK PEAS 400GX12"/>
    <m/>
    <x v="0"/>
    <m/>
    <s v=""/>
    <m/>
    <n v="0"/>
    <n v="0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s v=""/>
    <m/>
    <n v="0"/>
    <n v="0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s v=""/>
    <m/>
    <n v="0"/>
    <n v="0"/>
  </r>
  <r>
    <n v="1890"/>
    <s v="T226"/>
    <s v="TRS MOONG DAL CHILKA 1KGX10"/>
    <m/>
    <x v="0"/>
    <m/>
    <s v=""/>
    <m/>
    <n v="0"/>
    <n v="0"/>
  </r>
  <r>
    <n v="1891"/>
    <s v="T227"/>
    <s v="TRS URID DAL CHILKA 1KGX10"/>
    <m/>
    <x v="0"/>
    <m/>
    <s v=""/>
    <m/>
    <n v="0"/>
    <n v="0"/>
  </r>
  <r>
    <n v="1892"/>
    <s v="T228"/>
    <s v="TRS TOOR DALL 1KGX10"/>
    <m/>
    <x v="0"/>
    <m/>
    <s v=""/>
    <m/>
    <n v="0"/>
    <n v="0"/>
  </r>
  <r>
    <n v="1893"/>
    <s v="T229"/>
    <s v="TRS FLAKE RICE 1KGX6"/>
    <m/>
    <x v="0"/>
    <m/>
    <s v=""/>
    <m/>
    <n v="0"/>
    <n v="0"/>
  </r>
  <r>
    <n v="1894"/>
    <s v="T23"/>
    <s v="TRS BOILED CHICK PEAS 800GX6"/>
    <m/>
    <x v="0"/>
    <m/>
    <s v=""/>
    <m/>
    <n v="0"/>
    <n v="0"/>
  </r>
  <r>
    <n v="1895"/>
    <s v="T230"/>
    <s v="TRS ROASTED CHANNA UNSALTED 300GX20"/>
    <m/>
    <x v="0"/>
    <m/>
    <s v=""/>
    <m/>
    <n v="0"/>
    <n v="0"/>
  </r>
  <r>
    <n v="1896"/>
    <s v="T231"/>
    <s v="TRS STAR ANIESEEDS X15"/>
    <m/>
    <x v="0"/>
    <m/>
    <s v=""/>
    <m/>
    <n v="0"/>
    <n v="0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s v=""/>
    <m/>
    <n v="0"/>
    <n v="0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s v=""/>
    <m/>
    <n v="0"/>
    <n v="0"/>
  </r>
  <r>
    <n v="1904"/>
    <s v="T240"/>
    <s v="TRS BLACK PEPPER COARSE 400GX10"/>
    <m/>
    <x v="0"/>
    <m/>
    <s v=""/>
    <m/>
    <n v="0"/>
    <n v="0"/>
  </r>
  <r>
    <n v="1905"/>
    <s v="T241"/>
    <s v="TRS TOOR DALL 2KGX6"/>
    <m/>
    <x v="0"/>
    <m/>
    <s v=""/>
    <m/>
    <n v="0"/>
    <n v="0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s v=""/>
    <m/>
    <n v="0"/>
    <n v="0"/>
  </r>
  <r>
    <n v="1911"/>
    <s v="T27"/>
    <s v="TRS CARDAMOM BLACK 50GX20"/>
    <m/>
    <x v="0"/>
    <m/>
    <s v=""/>
    <m/>
    <n v="0"/>
    <n v="0"/>
  </r>
  <r>
    <n v="1912"/>
    <s v="T28"/>
    <s v="TRS CARDAMOM GREEN 200GX10"/>
    <m/>
    <x v="0"/>
    <m/>
    <s v=""/>
    <m/>
    <n v="0"/>
    <n v="0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s v=""/>
    <m/>
    <n v="0"/>
    <n v="0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s v=""/>
    <m/>
    <n v="0"/>
    <n v="0"/>
  </r>
  <r>
    <n v="1919"/>
    <s v="T33"/>
    <s v="TRS CHANA DAL 1 KG X 10"/>
    <m/>
    <x v="0"/>
    <m/>
    <s v=""/>
    <m/>
    <n v="0"/>
    <n v="0"/>
  </r>
  <r>
    <n v="1920"/>
    <s v="T34"/>
    <s v="TRS CHAR MAGAZ 100GX20"/>
    <m/>
    <x v="0"/>
    <m/>
    <s v=""/>
    <m/>
    <n v="0"/>
    <n v="0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s v=""/>
    <m/>
    <n v="0"/>
    <n v="0"/>
  </r>
  <r>
    <n v="1923"/>
    <s v="T37"/>
    <s v="TRS CHICK PEAS 2KGX6"/>
    <m/>
    <x v="0"/>
    <m/>
    <s v=""/>
    <m/>
    <n v="0"/>
    <n v="0"/>
  </r>
  <r>
    <n v="1924"/>
    <s v="T38"/>
    <s v="TRS CHICK PEAS 500GX20"/>
    <m/>
    <x v="0"/>
    <m/>
    <s v=""/>
    <m/>
    <n v="0"/>
    <n v="0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s v=""/>
    <m/>
    <n v="0"/>
    <n v="0"/>
  </r>
  <r>
    <n v="1928"/>
    <s v="T41"/>
    <s v="TRS CHILLI CRUSHED 250GX10"/>
    <m/>
    <x v="0"/>
    <m/>
    <s v=""/>
    <m/>
    <n v="0"/>
    <n v="0"/>
  </r>
  <r>
    <n v="1929"/>
    <s v="T42"/>
    <s v="TRS CHILLI PWD 100GX20"/>
    <m/>
    <x v="0"/>
    <m/>
    <s v=""/>
    <m/>
    <n v="0"/>
    <n v="0"/>
  </r>
  <r>
    <n v="1930"/>
    <s v="T43"/>
    <s v="TRS CHILLI PWD 1KGX6"/>
    <m/>
    <x v="0"/>
    <m/>
    <s v=""/>
    <m/>
    <n v="0"/>
    <n v="0"/>
  </r>
  <r>
    <n v="1931"/>
    <s v="T44"/>
    <s v="TRS CHILLI PWD 400GX10"/>
    <m/>
    <x v="0"/>
    <m/>
    <s v=""/>
    <m/>
    <n v="0"/>
    <n v="0"/>
  </r>
  <r>
    <n v="1932"/>
    <s v="T45"/>
    <s v="TRS CHILLI WHOLE 150 G X 10"/>
    <m/>
    <x v="0"/>
    <m/>
    <s v=""/>
    <m/>
    <n v="0"/>
    <n v="0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s v=""/>
    <m/>
    <n v="0"/>
    <n v="0"/>
  </r>
  <r>
    <n v="1935"/>
    <s v="T48"/>
    <s v="TRS CINNAMON PWD 100X20"/>
    <m/>
    <x v="0"/>
    <m/>
    <s v=""/>
    <m/>
    <n v="0"/>
    <n v="0"/>
  </r>
  <r>
    <n v="1936"/>
    <s v="T49"/>
    <s v="TRS CITRIC ACID PWD 100GX20"/>
    <m/>
    <x v="0"/>
    <m/>
    <s v=""/>
    <m/>
    <n v="0"/>
    <n v="0"/>
  </r>
  <r>
    <n v="1937"/>
    <s v="T5"/>
    <s v="TRS ALUBUKHARA200GX10"/>
    <m/>
    <x v="0"/>
    <m/>
    <s v=""/>
    <m/>
    <n v="0"/>
    <n v="0"/>
  </r>
  <r>
    <n v="1938"/>
    <s v="T50"/>
    <s v="TRS CLOVES 250GX10"/>
    <m/>
    <x v="0"/>
    <m/>
    <s v=""/>
    <m/>
    <n v="0"/>
    <n v="0"/>
  </r>
  <r>
    <n v="1939"/>
    <s v="T51"/>
    <s v="TRS CLOVES 50GX20"/>
    <m/>
    <x v="0"/>
    <m/>
    <s v=""/>
    <m/>
    <n v="0"/>
    <n v="0"/>
  </r>
  <r>
    <n v="1940"/>
    <s v="T52"/>
    <s v="TRS COCO PWD 300GX10"/>
    <m/>
    <x v="0"/>
    <m/>
    <s v=""/>
    <m/>
    <n v="0"/>
    <n v="0"/>
  </r>
  <r>
    <n v="1941"/>
    <s v="T53"/>
    <s v="TRS CORNMEAL 1.5KGX6"/>
    <m/>
    <x v="0"/>
    <m/>
    <s v=""/>
    <m/>
    <n v="0"/>
    <n v="0"/>
  </r>
  <r>
    <n v="1942"/>
    <s v="T54"/>
    <s v="TRS CRACKED WHEAT (LAPSI)1KGX10"/>
    <m/>
    <x v="0"/>
    <m/>
    <s v=""/>
    <m/>
    <n v="0"/>
    <n v="0"/>
  </r>
  <r>
    <n v="1943"/>
    <s v="T55"/>
    <s v="TRS CURRY LEAVES 30GX10"/>
    <m/>
    <x v="0"/>
    <m/>
    <s v=""/>
    <m/>
    <n v="0"/>
    <n v="0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s v=""/>
    <m/>
    <n v="0"/>
    <n v="0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s v=""/>
    <m/>
    <n v="0"/>
    <n v="0"/>
  </r>
  <r>
    <n v="1949"/>
    <s v="T60"/>
    <s v="TRS DALCHINI 400GX6"/>
    <m/>
    <x v="0"/>
    <m/>
    <s v=""/>
    <m/>
    <n v="0"/>
    <n v="0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s v=""/>
    <m/>
    <n v="0"/>
    <n v="0"/>
  </r>
  <r>
    <n v="1953"/>
    <s v="T64"/>
    <s v="TRS DHANIA PWD 1KGX6"/>
    <m/>
    <x v="0"/>
    <m/>
    <s v=""/>
    <m/>
    <n v="0"/>
    <n v="0"/>
  </r>
  <r>
    <n v="1954"/>
    <s v="T65"/>
    <s v="TRS DHANIA PWD 400GX10"/>
    <m/>
    <x v="0"/>
    <m/>
    <s v=""/>
    <m/>
    <n v="0"/>
    <n v="0"/>
  </r>
  <r>
    <n v="1955"/>
    <s v="T66"/>
    <s v="TRS DHANIA WHOLE 100GX15"/>
    <m/>
    <x v="0"/>
    <m/>
    <s v=""/>
    <m/>
    <n v="0"/>
    <n v="0"/>
  </r>
  <r>
    <n v="1956"/>
    <s v="T67"/>
    <s v="TRS DHANIA WHOLE 250GX10"/>
    <m/>
    <x v="0"/>
    <m/>
    <s v=""/>
    <m/>
    <n v="0"/>
    <n v="0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s v=""/>
    <m/>
    <n v="0"/>
    <n v="0"/>
  </r>
  <r>
    <n v="1959"/>
    <s v="T7"/>
    <s v="TRS ANARDANA PWD 100GX20"/>
    <m/>
    <x v="0"/>
    <m/>
    <s v=""/>
    <m/>
    <n v="0"/>
    <n v="0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s v=""/>
    <m/>
    <n v="0"/>
    <n v="0"/>
  </r>
  <r>
    <n v="1963"/>
    <s v="T73"/>
    <s v="TRS ESSENCE BANANA 28MLX12"/>
    <m/>
    <x v="0"/>
    <m/>
    <s v=""/>
    <m/>
    <n v="0"/>
    <n v="0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s v=""/>
    <m/>
    <n v="0"/>
    <n v="0"/>
  </r>
  <r>
    <n v="1967"/>
    <s v="T77"/>
    <s v="TRS GARAM MAS WHOLE 500GX6"/>
    <m/>
    <x v="0"/>
    <m/>
    <s v=""/>
    <m/>
    <n v="0"/>
    <n v="0"/>
  </r>
  <r>
    <n v="1968"/>
    <s v="T78"/>
    <s v="TRS GARAM MASALA PWD 100GX20"/>
    <m/>
    <x v="0"/>
    <m/>
    <s v=""/>
    <m/>
    <n v="0"/>
    <n v="0"/>
  </r>
  <r>
    <n v="1969"/>
    <s v="T79"/>
    <s v="TRS GARAM MASALA PWD 1KGX6"/>
    <m/>
    <x v="0"/>
    <m/>
    <s v=""/>
    <m/>
    <n v="0"/>
    <n v="0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s v=""/>
    <m/>
    <n v="0"/>
    <n v="0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s v=""/>
    <m/>
    <n v="0"/>
    <n v="0"/>
  </r>
  <r>
    <n v="1975"/>
    <s v="T84"/>
    <s v="TRS GARLIC PASTE 300GX6"/>
    <m/>
    <x v="0"/>
    <m/>
    <s v=""/>
    <m/>
    <n v="0"/>
    <n v="0"/>
  </r>
  <r>
    <n v="1976"/>
    <s v="T85"/>
    <s v="TRS GARLIC PWD 100GX20"/>
    <m/>
    <x v="0"/>
    <m/>
    <s v=""/>
    <m/>
    <n v="0"/>
    <n v="0"/>
  </r>
  <r>
    <n v="1977"/>
    <s v="T86"/>
    <s v="TRS GARLIC PWD 400GX10"/>
    <m/>
    <x v="0"/>
    <m/>
    <s v=""/>
    <m/>
    <n v="0"/>
    <n v="0"/>
  </r>
  <r>
    <n v="1978"/>
    <s v="T87"/>
    <s v="TRS GINGER PASTE 1KGX6 "/>
    <m/>
    <x v="0"/>
    <m/>
    <s v=""/>
    <m/>
    <n v="0"/>
    <n v="0"/>
  </r>
  <r>
    <n v="1979"/>
    <s v="T88"/>
    <s v="TRS GINGER PASTE 300GX6"/>
    <m/>
    <x v="0"/>
    <m/>
    <s v=""/>
    <m/>
    <n v="0"/>
    <n v="0"/>
  </r>
  <r>
    <n v="1980"/>
    <s v="T89"/>
    <s v="TRS GINGER PWD 100GX20"/>
    <m/>
    <x v="0"/>
    <m/>
    <s v=""/>
    <m/>
    <n v="0"/>
    <n v="0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s v=""/>
    <m/>
    <n v="0"/>
    <n v="0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s v=""/>
    <m/>
    <n v="0"/>
    <n v="0"/>
  </r>
  <r>
    <n v="1985"/>
    <s v="T93"/>
    <s v="TRS GOLDEN SONGI 250GX15"/>
    <m/>
    <x v="0"/>
    <m/>
    <s v=""/>
    <m/>
    <n v="0"/>
    <n v="0"/>
  </r>
  <r>
    <n v="1986"/>
    <s v="T94"/>
    <s v="TRS GOLDEN SONGI 100GX15 "/>
    <m/>
    <x v="0"/>
    <m/>
    <s v=""/>
    <m/>
    <n v="0"/>
    <n v="0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s v=""/>
    <m/>
    <n v="0"/>
    <n v="0"/>
  </r>
  <r>
    <n v="1989"/>
    <s v="T97"/>
    <s v="TRS GRAM FLOUR 1 KG X 12 "/>
    <m/>
    <x v="0"/>
    <m/>
    <s v=""/>
    <m/>
    <n v="0"/>
    <n v="0"/>
  </r>
  <r>
    <n v="1990"/>
    <s v="T98"/>
    <s v="TRS GRAM FLOUR 2 KG X 6  "/>
    <m/>
    <x v="0"/>
    <m/>
    <s v=""/>
    <m/>
    <n v="0"/>
    <n v="0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s v=""/>
    <m/>
    <n v="0"/>
    <n v="0"/>
  </r>
  <r>
    <n v="1998"/>
    <s v="TP2"/>
    <s v="TAPAL TEA 450GX15"/>
    <m/>
    <x v="0"/>
    <m/>
    <s v=""/>
    <m/>
    <n v="0"/>
    <n v="0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s v=""/>
    <m/>
    <n v="0"/>
    <n v="0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s v=""/>
    <m/>
    <n v="0"/>
    <n v="0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s v=""/>
    <m/>
    <n v="0"/>
    <n v="0"/>
  </r>
  <r>
    <n v="2071"/>
    <s v="W10"/>
    <s v="WSA ALSI POWDER 400GX10"/>
    <m/>
    <x v="0"/>
    <m/>
    <s v=""/>
    <m/>
    <n v="0"/>
    <n v="0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s v=""/>
    <m/>
    <n v="0"/>
    <n v="0"/>
  </r>
  <r>
    <n v="2075"/>
    <s v="W103"/>
    <s v="WSA KAMARKHAS100GX20 "/>
    <m/>
    <x v="0"/>
    <m/>
    <s v=""/>
    <m/>
    <n v="0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s v=""/>
    <m/>
    <n v="0"/>
    <n v="0"/>
  </r>
  <r>
    <n v="2081"/>
    <s v="W109"/>
    <s v="WSA KERNEL BASMATI 5KGX4"/>
    <m/>
    <x v="0"/>
    <m/>
    <s v=""/>
    <m/>
    <n v="0"/>
    <n v="0"/>
  </r>
  <r>
    <n v="2082"/>
    <s v="W11"/>
    <s v="WSA ALSI SEEDS 1KGX10 "/>
    <m/>
    <x v="0"/>
    <m/>
    <s v=""/>
    <m/>
    <n v="0"/>
    <n v="0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s v=""/>
    <m/>
    <n v="0"/>
    <n v="0"/>
  </r>
  <r>
    <n v="2087"/>
    <s v="W114"/>
    <s v="WSA MASOOR DAL500GX15 "/>
    <m/>
    <x v="0"/>
    <m/>
    <s v=""/>
    <m/>
    <n v="0"/>
    <n v="0"/>
  </r>
  <r>
    <n v="2088"/>
    <s v="W115"/>
    <s v="WSA MASOOR DAL 1 KG X 15 "/>
    <m/>
    <x v="0"/>
    <m/>
    <s v=""/>
    <m/>
    <n v="0"/>
    <n v="0"/>
  </r>
  <r>
    <n v="2089"/>
    <s v="W116"/>
    <s v="WSA MASOOR FOOTBALL 2KGX8   "/>
    <m/>
    <x v="0"/>
    <m/>
    <s v=""/>
    <m/>
    <n v="0"/>
    <n v="0"/>
  </r>
  <r>
    <n v="2090"/>
    <s v="W117"/>
    <s v="WSA MASOOR FOOTBALL 500GX15  "/>
    <m/>
    <x v="0"/>
    <m/>
    <s v=""/>
    <m/>
    <n v="0"/>
    <n v="0"/>
  </r>
  <r>
    <n v="2091"/>
    <s v="W118"/>
    <s v="WSA MASOOR FOOTBALL1KGX15 "/>
    <m/>
    <x v="0"/>
    <m/>
    <s v=""/>
    <m/>
    <n v="0"/>
    <n v="0"/>
  </r>
  <r>
    <n v="2092"/>
    <s v="W119"/>
    <s v="WSA MASOOR WHOLE 1KGX15 "/>
    <m/>
    <x v="0"/>
    <m/>
    <s v=""/>
    <m/>
    <n v="0"/>
    <n v="0"/>
  </r>
  <r>
    <n v="2093"/>
    <s v="W12"/>
    <s v="WSA ALSI SEEDS 400GX15 "/>
    <m/>
    <x v="0"/>
    <m/>
    <s v=""/>
    <m/>
    <n v="0"/>
    <n v="0"/>
  </r>
  <r>
    <n v="2094"/>
    <s v="W120"/>
    <s v="WSA MASOOR WHOLE 2KGX8  "/>
    <m/>
    <x v="0"/>
    <m/>
    <s v=""/>
    <m/>
    <n v="0"/>
    <n v="0"/>
  </r>
  <r>
    <n v="2095"/>
    <s v="W121"/>
    <s v="WSA MASOOR WHOLE 500GX15  "/>
    <m/>
    <x v="0"/>
    <m/>
    <s v=""/>
    <m/>
    <n v="0"/>
    <n v="0"/>
  </r>
  <r>
    <n v="2096"/>
    <s v="W122"/>
    <s v="WSA METHI SEEDS  300X15"/>
    <m/>
    <x v="0"/>
    <m/>
    <s v=""/>
    <m/>
    <n v="0"/>
    <n v="0"/>
  </r>
  <r>
    <n v="2097"/>
    <s v="W123"/>
    <s v="WSA METHI SEEDS100GX20  "/>
    <m/>
    <x v="0"/>
    <m/>
    <s v=""/>
    <m/>
    <n v="0"/>
    <n v="0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s v=""/>
    <m/>
    <n v="0"/>
    <n v="0"/>
  </r>
  <r>
    <n v="2100"/>
    <s v="W126"/>
    <s v="WSA MOONG DAL 500GX15  "/>
    <m/>
    <x v="0"/>
    <m/>
    <s v=""/>
    <m/>
    <n v="0"/>
    <n v="0"/>
  </r>
  <r>
    <n v="2101"/>
    <s v="W127"/>
    <s v="WSA MOONG DAL CHILKA 1KGX15 "/>
    <m/>
    <x v="0"/>
    <m/>
    <s v=""/>
    <m/>
    <n v="0"/>
    <n v="0"/>
  </r>
  <r>
    <n v="2102"/>
    <s v="W128"/>
    <s v="WSA MOONG DAL CHILKA 2KGX8  "/>
    <m/>
    <x v="0"/>
    <m/>
    <s v=""/>
    <m/>
    <n v="0"/>
    <n v="0"/>
  </r>
  <r>
    <n v="2103"/>
    <s v="W129"/>
    <s v="WSA MOONG DAL CHILKA 500GX15  "/>
    <m/>
    <x v="0"/>
    <m/>
    <s v=""/>
    <m/>
    <n v="0"/>
    <n v="0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s v=""/>
    <m/>
    <n v="0"/>
    <n v="0"/>
  </r>
  <r>
    <n v="2106"/>
    <s v="W131"/>
    <s v="WSA MOONG WHOLE 1KGX15"/>
    <m/>
    <x v="0"/>
    <m/>
    <s v=""/>
    <m/>
    <n v="0"/>
    <n v="0"/>
  </r>
  <r>
    <n v="2107"/>
    <s v="W132"/>
    <s v="WSA MOONG WHOLE 2KGX8  "/>
    <m/>
    <x v="0"/>
    <m/>
    <s v=""/>
    <m/>
    <n v="0"/>
    <n v="0"/>
  </r>
  <r>
    <n v="2108"/>
    <s v="W133"/>
    <s v="WSA MOONG WHOLE 500GX15  "/>
    <m/>
    <x v="0"/>
    <m/>
    <s v=""/>
    <m/>
    <n v="0"/>
    <n v="0"/>
  </r>
  <r>
    <n v="2109"/>
    <s v="W134"/>
    <s v="WSA MOTH 1KGX15 "/>
    <m/>
    <x v="0"/>
    <m/>
    <s v=""/>
    <m/>
    <n v="0"/>
    <n v="0"/>
  </r>
  <r>
    <n v="2110"/>
    <s v="W135"/>
    <s v="WSA MOTH 2KGX8  "/>
    <m/>
    <x v="0"/>
    <m/>
    <s v=""/>
    <m/>
    <n v="0"/>
    <n v="0"/>
  </r>
  <r>
    <n v="2111"/>
    <s v="W136"/>
    <s v="WSA MOTH 500GX15   "/>
    <m/>
    <x v="0"/>
    <m/>
    <s v=""/>
    <m/>
    <n v="0"/>
    <n v="0"/>
  </r>
  <r>
    <n v="2112"/>
    <s v="W137"/>
    <s v="WSA MUSTARD SEEDS 100X20"/>
    <m/>
    <x v="0"/>
    <m/>
    <s v=""/>
    <m/>
    <n v="0"/>
    <n v="0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s v=""/>
    <m/>
    <n v="0"/>
    <n v="0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s v=""/>
    <m/>
    <n v="0"/>
    <n v="0"/>
  </r>
  <r>
    <n v="2117"/>
    <s v="W141"/>
    <s v="WSA PISTA ROSTED 100GX20   "/>
    <m/>
    <x v="0"/>
    <m/>
    <s v=""/>
    <m/>
    <n v="0"/>
    <n v="0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s v=""/>
    <m/>
    <n v="0"/>
    <n v="0"/>
  </r>
  <r>
    <n v="2120"/>
    <s v="W144"/>
    <s v="WSA PUNCH PURAN100X20"/>
    <m/>
    <x v="0"/>
    <m/>
    <s v=""/>
    <m/>
    <n v="0"/>
    <n v="0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s v=""/>
    <m/>
    <n v="0"/>
    <n v="0"/>
  </r>
  <r>
    <n v="2123"/>
    <s v="W147"/>
    <s v="WSA RED KIDNEY 2KGX8  "/>
    <m/>
    <x v="0"/>
    <m/>
    <s v=""/>
    <m/>
    <n v="0"/>
    <n v="0"/>
  </r>
  <r>
    <n v="2124"/>
    <s v="W148"/>
    <s v="WSA RED KIDNEY 500GX15  "/>
    <m/>
    <x v="0"/>
    <m/>
    <s v=""/>
    <m/>
    <n v="0"/>
    <n v="0"/>
  </r>
  <r>
    <n v="2125"/>
    <s v="W149"/>
    <s v="WSA REWDI 100GX20"/>
    <m/>
    <x v="0"/>
    <m/>
    <s v=""/>
    <m/>
    <n v="0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s v=""/>
    <m/>
    <n v="0"/>
    <n v="0"/>
  </r>
  <r>
    <n v="2128"/>
    <s v="W151"/>
    <s v="WSA ROASTED CHANA 600GX8  offerta "/>
    <m/>
    <x v="0"/>
    <m/>
    <s v=""/>
    <m/>
    <n v="0"/>
    <n v="0"/>
  </r>
  <r>
    <n v="2129"/>
    <s v="W152"/>
    <s v="WSA SABUDANA(TAPIOCA)500GX15  "/>
    <m/>
    <x v="0"/>
    <m/>
    <s v=""/>
    <m/>
    <n v="0"/>
    <n v="0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s v=""/>
    <m/>
    <n v="0"/>
    <n v="0"/>
  </r>
  <r>
    <n v="2132"/>
    <s v="W155"/>
    <s v="WSA SEMOLINA 500GX15  "/>
    <m/>
    <x v="0"/>
    <m/>
    <s v=""/>
    <m/>
    <n v="0"/>
    <n v="0"/>
  </r>
  <r>
    <n v="2133"/>
    <s v="W156"/>
    <s v="WSA SESAME SEED WHITE 100GX20"/>
    <m/>
    <x v="0"/>
    <m/>
    <s v=""/>
    <m/>
    <n v="0"/>
    <n v="0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s v=""/>
    <m/>
    <n v="0"/>
    <n v="0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s v=""/>
    <m/>
    <n v="0"/>
    <n v="0"/>
  </r>
  <r>
    <n v="2139"/>
    <s v="W161"/>
    <s v="WSA SONGI(RAISINS GREEN) 250GX15  "/>
    <m/>
    <x v="0"/>
    <m/>
    <s v=""/>
    <m/>
    <n v="0"/>
    <n v="0"/>
  </r>
  <r>
    <n v="2140"/>
    <s v="W162"/>
    <s v="WSA SOONF(FEEN SEEDS) 800GX8 "/>
    <m/>
    <x v="0"/>
    <m/>
    <s v=""/>
    <m/>
    <n v="0"/>
    <n v="0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s v=""/>
    <m/>
    <n v="0"/>
    <n v="0"/>
  </r>
  <r>
    <n v="2143"/>
    <s v="W165"/>
    <s v="WSA SOONF(FEENL SEEDS) 300GX15  "/>
    <m/>
    <x v="0"/>
    <m/>
    <s v=""/>
    <m/>
    <n v="0"/>
    <n v="0"/>
  </r>
  <r>
    <n v="2144"/>
    <s v="W166"/>
    <s v="WSA SOYA CHUNKS 200GX15"/>
    <m/>
    <x v="0"/>
    <m/>
    <s v=""/>
    <m/>
    <n v="0"/>
    <n v="0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s v=""/>
    <m/>
    <n v="0"/>
    <n v="0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s v=""/>
    <m/>
    <n v="0"/>
    <n v="0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s v=""/>
    <m/>
    <n v="0"/>
    <n v="0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s v=""/>
    <m/>
    <n v="0"/>
    <n v="0"/>
  </r>
  <r>
    <n v="2153"/>
    <s v="W174"/>
    <s v="WSA SUGAR CANDY 100GX20   "/>
    <m/>
    <x v="0"/>
    <m/>
    <s v=""/>
    <m/>
    <n v="0"/>
    <n v="0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s v=""/>
    <m/>
    <n v="0"/>
    <n v="0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s v=""/>
    <m/>
    <n v="0"/>
    <n v="0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s v=""/>
    <m/>
    <n v="0"/>
    <n v="0"/>
  </r>
  <r>
    <n v="2163"/>
    <s v="W183"/>
    <s v="WSA URID DAL 2KGX8  "/>
    <m/>
    <x v="0"/>
    <m/>
    <s v=""/>
    <m/>
    <n v="0"/>
    <n v="0"/>
  </r>
  <r>
    <n v="2164"/>
    <s v="W184"/>
    <s v="WSA URID DAL 500GX15  "/>
    <m/>
    <x v="0"/>
    <m/>
    <s v=""/>
    <m/>
    <n v="0"/>
    <n v="0"/>
  </r>
  <r>
    <n v="2165"/>
    <s v="W185"/>
    <s v="WSA URID DAL CHILKA 1KGX15 "/>
    <m/>
    <x v="0"/>
    <m/>
    <s v=""/>
    <m/>
    <n v="0"/>
    <n v="0"/>
  </r>
  <r>
    <n v="2166"/>
    <s v="W186"/>
    <s v="WSA URID DAL CHILKA 2KGX8 "/>
    <m/>
    <x v="0"/>
    <m/>
    <s v=""/>
    <m/>
    <n v="0"/>
    <n v="0"/>
  </r>
  <r>
    <n v="2167"/>
    <s v="W187"/>
    <s v="WSA URID DAL CHILKA 500GX15  "/>
    <m/>
    <x v="0"/>
    <m/>
    <s v=""/>
    <m/>
    <n v="0"/>
    <n v="0"/>
  </r>
  <r>
    <n v="2168"/>
    <s v="W188"/>
    <s v="WSA URID DAL 1 KG X15 "/>
    <m/>
    <x v="0"/>
    <m/>
    <s v=""/>
    <m/>
    <n v="0"/>
    <n v="0"/>
  </r>
  <r>
    <n v="2169"/>
    <s v="W189"/>
    <s v="WSA URID WHOLE 1KGX15 "/>
    <m/>
    <x v="0"/>
    <m/>
    <s v=""/>
    <m/>
    <n v="0"/>
    <n v="0"/>
  </r>
  <r>
    <n v="2170"/>
    <s v="W19"/>
    <s v="WSA BLACK EYE BEANS 1KG X 15 "/>
    <m/>
    <x v="0"/>
    <m/>
    <s v=""/>
    <m/>
    <n v="0"/>
    <n v="0"/>
  </r>
  <r>
    <n v="2171"/>
    <s v="W190"/>
    <s v="WSA URID WHOLE 2KGX8 "/>
    <m/>
    <x v="0"/>
    <m/>
    <s v=""/>
    <m/>
    <n v="0"/>
    <n v="0"/>
  </r>
  <r>
    <n v="2172"/>
    <s v="W191"/>
    <s v="WSA URID WHOLE 500GX15 "/>
    <m/>
    <x v="0"/>
    <m/>
    <s v=""/>
    <m/>
    <n v="0"/>
    <n v="0"/>
  </r>
  <r>
    <n v="2173"/>
    <s v="W192"/>
    <s v="WSA MEETHI SEEDS PWD 300 G X 15"/>
    <m/>
    <x v="0"/>
    <m/>
    <s v=""/>
    <m/>
    <n v="0"/>
    <n v="0"/>
  </r>
  <r>
    <n v="2174"/>
    <s v="W193"/>
    <s v="WSA CRACKED WHEAT ROASTED 500GX15  "/>
    <m/>
    <x v="0"/>
    <m/>
    <s v=""/>
    <m/>
    <n v="0"/>
    <n v="0"/>
  </r>
  <r>
    <n v="2175"/>
    <s v="W194"/>
    <s v="WSA GREEN CHANA 1KG X 16  offerta"/>
    <m/>
    <x v="0"/>
    <m/>
    <s v=""/>
    <m/>
    <n v="0"/>
    <n v="0"/>
  </r>
  <r>
    <n v="2176"/>
    <s v="W195"/>
    <s v="WSA GREEN CHANA 2KG X 8  offerta"/>
    <m/>
    <x v="0"/>
    <m/>
    <s v=""/>
    <m/>
    <n v="0"/>
    <n v="0"/>
  </r>
  <r>
    <n v="2177"/>
    <s v="W196"/>
    <s v="WSA AMLA CANDY 400GX10"/>
    <m/>
    <x v="0"/>
    <m/>
    <s v=""/>
    <m/>
    <n v="0"/>
    <n v="0"/>
  </r>
  <r>
    <n v="2178"/>
    <s v="W197"/>
    <s v="WSA BAJARA WHOLE 1KGX10 "/>
    <m/>
    <x v="0"/>
    <m/>
    <s v=""/>
    <m/>
    <n v="0"/>
    <n v="0"/>
  </r>
  <r>
    <n v="2179"/>
    <s v="W198"/>
    <s v="WSA BAJARA FLOUR 1KGX10 "/>
    <m/>
    <x v="0"/>
    <m/>
    <s v=""/>
    <m/>
    <n v="0"/>
    <n v="0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s v=""/>
    <m/>
    <n v="0"/>
    <n v="0"/>
  </r>
  <r>
    <n v="2182"/>
    <s v="W20"/>
    <s v="WSA BLACK EYE BEANS 2KGX8"/>
    <m/>
    <x v="0"/>
    <m/>
    <s v=""/>
    <m/>
    <n v="0"/>
    <n v="0"/>
  </r>
  <r>
    <n v="2183"/>
    <s v="W200"/>
    <s v="WSA BLACK BEANS 800GX15 "/>
    <m/>
    <x v="0"/>
    <m/>
    <s v=""/>
    <m/>
    <n v="0"/>
    <n v="0"/>
  </r>
  <r>
    <n v="2184"/>
    <s v="W201"/>
    <s v="WSA HALDI (CURCUMA)WHOLE 100G X20"/>
    <m/>
    <x v="0"/>
    <m/>
    <s v=""/>
    <m/>
    <n v="0"/>
    <n v="0"/>
  </r>
  <r>
    <n v="2185"/>
    <s v="W21"/>
    <s v="WSA BLACK EYE BEANS 500GX15"/>
    <m/>
    <x v="0"/>
    <m/>
    <s v=""/>
    <m/>
    <n v="0"/>
    <n v="0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s v=""/>
    <m/>
    <n v="0"/>
    <n v="0"/>
  </r>
  <r>
    <n v="2189"/>
    <s v="W25"/>
    <s v="WSA BLACK PEPPER WHOLE300GX15  "/>
    <m/>
    <x v="0"/>
    <m/>
    <s v=""/>
    <m/>
    <n v="0"/>
    <n v="0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s v=""/>
    <m/>
    <n v="0"/>
    <n v="0"/>
  </r>
  <r>
    <n v="2192"/>
    <s v="W28"/>
    <s v="WSA CARDAMOM BLACK 50X20"/>
    <m/>
    <x v="0"/>
    <m/>
    <s v=""/>
    <m/>
    <n v="0"/>
    <n v="0"/>
  </r>
  <r>
    <n v="2193"/>
    <s v="W29"/>
    <s v="WSA CARDAMOM GREEN 200GX15  "/>
    <m/>
    <x v="0"/>
    <m/>
    <s v=""/>
    <m/>
    <n v="0"/>
    <n v="0"/>
  </r>
  <r>
    <n v="2194"/>
    <s v="W3"/>
    <s v="WSA AJWAIN 800GX8  "/>
    <m/>
    <x v="0"/>
    <m/>
    <s v=""/>
    <m/>
    <n v="0"/>
    <n v="0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s v=""/>
    <m/>
    <n v="0"/>
    <n v="0"/>
  </r>
  <r>
    <n v="2197"/>
    <s v="W32"/>
    <s v="WSA CASHEW KERNELS 100 G X20  "/>
    <m/>
    <x v="0"/>
    <m/>
    <s v=""/>
    <m/>
    <n v="0"/>
    <n v="0"/>
  </r>
  <r>
    <n v="2198"/>
    <s v="W33"/>
    <s v="WSA CASHEW KERNELS 1KGX10 "/>
    <m/>
    <x v="0"/>
    <m/>
    <s v=""/>
    <m/>
    <n v="0"/>
    <n v="0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s v=""/>
    <m/>
    <n v="0"/>
    <n v="0"/>
  </r>
  <r>
    <n v="2201"/>
    <s v="W36"/>
    <s v="WSA CASHEW KERNELS 700 G X 10 "/>
    <m/>
    <x v="0"/>
    <m/>
    <s v=""/>
    <m/>
    <n v="0"/>
    <n v="0"/>
  </r>
  <r>
    <n v="2202"/>
    <s v="W37"/>
    <s v="WSA CHANA DAL 1 KG X 15 "/>
    <m/>
    <x v="0"/>
    <m/>
    <s v=""/>
    <m/>
    <n v="0"/>
    <n v="0"/>
  </r>
  <r>
    <n v="2203"/>
    <s v="W38"/>
    <s v="WSA CHANA DAL 2 KG X 8   "/>
    <m/>
    <x v="0"/>
    <m/>
    <s v=""/>
    <m/>
    <n v="0"/>
    <n v="0"/>
  </r>
  <r>
    <n v="2204"/>
    <s v="W39"/>
    <s v="WSA CHANA DAL 500GX15 "/>
    <m/>
    <x v="0"/>
    <m/>
    <s v=""/>
    <m/>
    <n v="0"/>
    <n v="0"/>
  </r>
  <r>
    <n v="2205"/>
    <s v="W4"/>
    <s v="WSA ALMONDS 800 G X 10 "/>
    <m/>
    <x v="0"/>
    <m/>
    <s v=""/>
    <m/>
    <n v="0"/>
    <n v="0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s v=""/>
    <m/>
    <n v="0"/>
    <n v="0"/>
  </r>
  <r>
    <n v="2210"/>
    <s v="W44"/>
    <s v="WSA CHICK PEAS 2KGX8"/>
    <m/>
    <x v="0"/>
    <m/>
    <s v=""/>
    <m/>
    <n v="0"/>
    <n v="0"/>
  </r>
  <r>
    <n v="2211"/>
    <s v="W45"/>
    <s v="WSA CHICK PEAS 500GX15 "/>
    <m/>
    <x v="0"/>
    <m/>
    <s v=""/>
    <m/>
    <n v="0"/>
    <n v="0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s v=""/>
    <m/>
    <n v="0"/>
    <n v="0"/>
  </r>
  <r>
    <n v="2218"/>
    <s v="W51"/>
    <s v="WSA CLOVES 50GX20  "/>
    <m/>
    <x v="0"/>
    <m/>
    <s v=""/>
    <m/>
    <n v="0"/>
    <n v="0"/>
  </r>
  <r>
    <n v="2219"/>
    <s v="W52"/>
    <s v="WSA COCO PWD200GX15   "/>
    <m/>
    <x v="0"/>
    <m/>
    <s v=""/>
    <m/>
    <n v="0"/>
    <n v="0"/>
  </r>
  <r>
    <n v="2220"/>
    <s v="W53"/>
    <s v="WSA CRACKED WHEAT 500GX15  "/>
    <m/>
    <x v="0"/>
    <m/>
    <s v=""/>
    <m/>
    <n v="0"/>
    <n v="0"/>
  </r>
  <r>
    <n v="2221"/>
    <s v="W54"/>
    <s v="WSA CRACKED WHEAT FINE 500X15  "/>
    <m/>
    <x v="0"/>
    <m/>
    <s v=""/>
    <m/>
    <n v="0"/>
    <n v="0"/>
  </r>
  <r>
    <n v="2222"/>
    <s v="W55"/>
    <s v="WSA DALCHINI 200GX15"/>
    <m/>
    <x v="0"/>
    <m/>
    <s v=""/>
    <m/>
    <n v="0"/>
    <n v="0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s v=""/>
    <m/>
    <n v="0"/>
    <n v="0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s v=""/>
    <m/>
    <n v="0"/>
    <n v="0"/>
  </r>
  <r>
    <n v="2230"/>
    <s v="W62"/>
    <s v="WSA DHANIA WHOLE 200GX15"/>
    <m/>
    <x v="0"/>
    <m/>
    <s v=""/>
    <m/>
    <n v="0"/>
    <n v="0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s v=""/>
    <m/>
    <n v="0"/>
    <n v="0"/>
  </r>
  <r>
    <n v="2233"/>
    <s v="W65"/>
    <s v="WSA DRIED COCONUT 250X10  "/>
    <m/>
    <x v="0"/>
    <m/>
    <s v=""/>
    <m/>
    <n v="0"/>
    <n v="0"/>
  </r>
  <r>
    <n v="2234"/>
    <s v="W66"/>
    <s v="WSA DRIED DATES 300GX15 "/>
    <m/>
    <x v="0"/>
    <m/>
    <s v=""/>
    <m/>
    <n v="0"/>
    <n v="0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s v=""/>
    <m/>
    <n v="0"/>
    <n v="0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s v=""/>
    <m/>
    <n v="0"/>
    <n v="0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s v=""/>
    <m/>
    <n v="0"/>
    <n v="0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s v=""/>
    <m/>
    <n v="0"/>
    <n v="0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s v=""/>
    <m/>
    <n v="0"/>
    <n v="0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s v=""/>
    <m/>
    <n v="0"/>
    <n v="0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s v=""/>
    <m/>
    <n v="0"/>
    <n v="0"/>
  </r>
  <r>
    <n v="2257"/>
    <s v="W87"/>
    <s v="WSA HALDI(CURCUMA) PWD 1KGX6"/>
    <m/>
    <x v="0"/>
    <m/>
    <s v=""/>
    <m/>
    <n v="0"/>
    <n v="0"/>
  </r>
  <r>
    <n v="2258"/>
    <s v="W88"/>
    <s v="WSA HALDI(CURCUMA) PWD 400GX10"/>
    <m/>
    <x v="0"/>
    <m/>
    <s v=""/>
    <m/>
    <n v="0"/>
    <n v="0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s v=""/>
    <m/>
    <n v="0"/>
    <n v="0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s v=""/>
    <m/>
    <n v="0"/>
    <n v="0"/>
  </r>
  <r>
    <n v="2265"/>
    <s v="W94"/>
    <s v="WSA JEERA WHOLE 1KG X 8 "/>
    <m/>
    <x v="0"/>
    <m/>
    <s v=""/>
    <m/>
    <n v="0"/>
    <n v="0"/>
  </r>
  <r>
    <n v="2266"/>
    <s v="W95"/>
    <s v="WSA JEERA WHOLE 1KGX6 NO"/>
    <m/>
    <x v="0"/>
    <m/>
    <s v=""/>
    <m/>
    <n v="0"/>
    <n v="0"/>
  </r>
  <r>
    <n v="2267"/>
    <s v="W96"/>
    <s v="WSA JEERA WHOLE 400GX10"/>
    <m/>
    <x v="0"/>
    <m/>
    <s v=""/>
    <m/>
    <n v="0"/>
    <n v="0"/>
  </r>
  <r>
    <n v="2268"/>
    <s v="W97"/>
    <s v="WSA KALA CHANA 1KGX15 "/>
    <m/>
    <x v="0"/>
    <m/>
    <s v=""/>
    <m/>
    <n v="0"/>
    <n v="0"/>
  </r>
  <r>
    <n v="2269"/>
    <s v="W98"/>
    <s v="WSA KALA CHANA 2KGX8"/>
    <m/>
    <x v="0"/>
    <m/>
    <s v=""/>
    <m/>
    <n v="0"/>
    <n v="0"/>
  </r>
  <r>
    <n v="2270"/>
    <s v="W99"/>
    <s v="WSA KALA CHANA 500GX15  "/>
    <m/>
    <x v="0"/>
    <m/>
    <s v=""/>
    <m/>
    <n v="0"/>
    <n v="0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s v=""/>
    <m/>
    <n v="0"/>
    <n v="0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insertRow="1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insertRow="1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275" totalsRowShown="0" headerRowDxfId="11" tableBorderDxfId="10">
  <autoFilter ref="A1:J2275">
    <filterColumn colId="8">
      <customFilters>
        <customFilter operator="notEqual" val="0"/>
      </customFilters>
    </filterColumn>
  </autoFilter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0"/>
      <c r="K4" s="80"/>
      <c r="L4" s="80"/>
      <c r="M4" s="80"/>
      <c r="N4" s="80"/>
      <c r="O4" s="80"/>
      <c r="P4" s="80"/>
      <c r="Q4" s="80"/>
      <c r="R4" s="80"/>
      <c r="S4" s="77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0"/>
      <c r="K5" s="80"/>
      <c r="L5" s="80"/>
      <c r="M5" s="80"/>
      <c r="N5" s="80"/>
      <c r="O5" s="80"/>
      <c r="P5" s="80"/>
      <c r="Q5" s="80" t="s">
        <v>54</v>
      </c>
      <c r="R5" s="80"/>
      <c r="S5" s="77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0"/>
      <c r="K6" s="80"/>
      <c r="L6" s="80"/>
      <c r="M6" s="80"/>
      <c r="N6" s="80"/>
      <c r="O6" s="80"/>
      <c r="P6" s="80"/>
      <c r="Q6" s="80"/>
      <c r="R6" s="80"/>
      <c r="S6" s="77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0"/>
      <c r="K7" s="80"/>
      <c r="L7" s="80"/>
      <c r="M7" s="80"/>
      <c r="N7" s="80"/>
      <c r="O7" s="80"/>
      <c r="P7" s="80"/>
      <c r="Q7" s="80"/>
      <c r="R7" s="80"/>
      <c r="S7" s="77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0"/>
      <c r="K8" s="80"/>
      <c r="L8" s="80"/>
      <c r="M8" s="80"/>
      <c r="N8" s="80"/>
      <c r="O8" s="80"/>
      <c r="P8" s="80"/>
      <c r="Q8" s="80"/>
      <c r="R8" s="80"/>
      <c r="S8" s="77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0"/>
      <c r="K9" s="80"/>
      <c r="L9" s="80"/>
      <c r="M9" s="80"/>
      <c r="N9" s="80"/>
      <c r="O9" s="80"/>
      <c r="P9" s="80"/>
      <c r="Q9" s="80" t="s">
        <v>54</v>
      </c>
      <c r="R9" s="80"/>
      <c r="S9" s="77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0"/>
      <c r="K10" s="80"/>
      <c r="L10" s="80"/>
      <c r="M10" s="80"/>
      <c r="N10" s="80"/>
      <c r="O10" s="80"/>
      <c r="P10" s="80"/>
      <c r="Q10" s="80"/>
      <c r="R10" s="80"/>
      <c r="S10" s="77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0"/>
      <c r="K11" s="80"/>
      <c r="L11" s="80"/>
      <c r="M11" s="80"/>
      <c r="N11" s="80"/>
      <c r="O11" s="80"/>
      <c r="P11" s="80"/>
      <c r="Q11" s="80"/>
      <c r="R11" s="80"/>
      <c r="S11" s="77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0"/>
      <c r="K12" s="80"/>
      <c r="L12" s="80"/>
      <c r="M12" s="80"/>
      <c r="N12" s="80"/>
      <c r="O12" s="80"/>
      <c r="P12" s="80"/>
      <c r="Q12" s="80"/>
      <c r="R12" s="80"/>
      <c r="S12" s="77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0"/>
      <c r="K13" s="80"/>
      <c r="L13" s="80"/>
      <c r="M13" s="80"/>
      <c r="N13" s="80"/>
      <c r="O13" s="80"/>
      <c r="P13" s="80"/>
      <c r="Q13" s="80"/>
      <c r="R13" s="80"/>
      <c r="S13" s="77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0"/>
      <c r="K14" s="89" t="s">
        <v>1099</v>
      </c>
      <c r="L14" s="89"/>
      <c r="M14" s="89"/>
      <c r="N14" s="81"/>
      <c r="O14" s="80"/>
      <c r="P14" s="80"/>
      <c r="Q14" s="80"/>
      <c r="R14" s="80"/>
      <c r="S14" s="77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0"/>
      <c r="K15" s="80"/>
      <c r="L15" s="80"/>
      <c r="M15" s="80"/>
      <c r="N15" s="80"/>
      <c r="O15" s="80"/>
      <c r="P15" s="80"/>
      <c r="Q15" s="80"/>
      <c r="R15" s="80"/>
      <c r="S15" s="77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0"/>
      <c r="K16" s="80"/>
      <c r="L16" s="80"/>
      <c r="M16" s="80"/>
      <c r="N16" s="80"/>
      <c r="O16" s="80"/>
      <c r="P16" s="80"/>
      <c r="Q16" s="80"/>
      <c r="R16" s="80"/>
      <c r="S16" s="77"/>
    </row>
    <row r="17" spans="1:19" ht="27" customHeight="1" x14ac:dyDescent="0.25">
      <c r="A17" s="87"/>
      <c r="B17" s="87"/>
      <c r="C17" s="87"/>
      <c r="D17" s="92" t="s">
        <v>24</v>
      </c>
      <c r="E17" s="92"/>
      <c r="F17" s="90">
        <v>43846</v>
      </c>
      <c r="G17" s="90"/>
      <c r="H17" s="91" t="str">
        <f>TEXT(F17,"DDD")</f>
        <v>Thu</v>
      </c>
      <c r="I17" s="91"/>
      <c r="J17" s="77"/>
      <c r="K17" s="77"/>
      <c r="L17" s="77"/>
      <c r="M17" s="77"/>
      <c r="N17" s="77"/>
      <c r="O17" s="77"/>
      <c r="P17" s="79" t="s">
        <v>53</v>
      </c>
      <c r="Q17" s="93">
        <f>Help!B10</f>
        <v>0</v>
      </c>
      <c r="R17" s="93"/>
      <c r="S17" s="77"/>
    </row>
    <row r="18" spans="1:19" x14ac:dyDescent="0.25">
      <c r="A18" s="87"/>
      <c r="B18" s="87"/>
      <c r="C18" s="87"/>
      <c r="D18" s="87"/>
      <c r="E18" s="87"/>
      <c r="F18" s="87"/>
      <c r="G18" s="87"/>
      <c r="H18" s="87"/>
      <c r="I18" s="87"/>
      <c r="J18" s="77"/>
      <c r="K18" s="77"/>
      <c r="L18" s="77"/>
      <c r="M18" s="77"/>
      <c r="N18" s="77"/>
      <c r="O18" s="77"/>
      <c r="P18" s="77"/>
      <c r="Q18" s="77"/>
      <c r="R18" s="77"/>
      <c r="S18" s="77"/>
    </row>
    <row r="19" spans="1:19" ht="19.5" x14ac:dyDescent="0.25">
      <c r="A19" s="87"/>
      <c r="B19" s="87"/>
      <c r="C19" s="87"/>
      <c r="D19" s="87"/>
      <c r="E19" s="87"/>
      <c r="F19" s="87"/>
      <c r="G19" s="87"/>
      <c r="H19" s="87"/>
      <c r="I19" s="87"/>
      <c r="J19" s="77"/>
      <c r="K19" s="77"/>
      <c r="L19" s="77"/>
      <c r="M19" s="77"/>
      <c r="N19" s="77"/>
      <c r="O19" s="77"/>
      <c r="P19" s="78" t="s">
        <v>22</v>
      </c>
      <c r="Q19" s="88" t="str">
        <f>IFERROR(Help!B14,"")</f>
        <v/>
      </c>
      <c r="R19" s="88"/>
      <c r="S19" s="77"/>
    </row>
    <row r="20" spans="1:19" ht="10.5" customHeight="1" x14ac:dyDescent="0.25">
      <c r="A20" s="87"/>
      <c r="B20" s="87"/>
      <c r="C20" s="87"/>
      <c r="D20" s="87"/>
      <c r="E20" s="87"/>
      <c r="F20" s="87"/>
      <c r="G20" s="87"/>
      <c r="H20" s="87"/>
      <c r="I20" s="87"/>
      <c r="J20" s="77"/>
      <c r="K20" s="77"/>
      <c r="L20" s="77"/>
      <c r="M20" s="77"/>
      <c r="N20" s="77"/>
      <c r="O20" s="77"/>
      <c r="P20" s="77"/>
      <c r="Q20" s="77"/>
      <c r="R20" s="77"/>
      <c r="S20" s="77"/>
    </row>
    <row r="21" spans="1:19" x14ac:dyDescent="0.25">
      <c r="A21" s="87"/>
      <c r="B21" s="87"/>
      <c r="C21" s="87"/>
      <c r="D21" s="87"/>
      <c r="E21" s="87"/>
      <c r="F21" s="87"/>
      <c r="G21" s="87"/>
      <c r="H21" s="87"/>
      <c r="I21" s="87"/>
      <c r="J21" s="77"/>
      <c r="K21" s="77"/>
      <c r="L21" s="77"/>
      <c r="M21" s="77"/>
      <c r="N21" s="77"/>
      <c r="O21" s="77"/>
      <c r="P21" s="77"/>
      <c r="Q21" s="77"/>
      <c r="R21" s="77"/>
      <c r="S21" s="77"/>
    </row>
    <row r="22" spans="1:19" x14ac:dyDescent="0.25">
      <c r="A22" s="87"/>
      <c r="B22" s="87"/>
      <c r="C22" s="87"/>
      <c r="D22" s="87"/>
      <c r="E22" s="87"/>
      <c r="F22" s="87"/>
      <c r="G22" s="87"/>
      <c r="H22" s="87"/>
      <c r="I22" s="87"/>
      <c r="J22" s="77"/>
      <c r="K22" s="77"/>
      <c r="L22" s="77"/>
      <c r="M22" s="77"/>
      <c r="N22" s="77"/>
      <c r="O22" s="77"/>
      <c r="P22" s="77"/>
      <c r="Q22" s="77"/>
      <c r="R22" s="77"/>
      <c r="S22" s="77"/>
    </row>
    <row r="23" spans="1:19" x14ac:dyDescent="0.25">
      <c r="A23" s="87"/>
      <c r="B23" s="87"/>
      <c r="C23" s="87"/>
      <c r="D23" s="87"/>
      <c r="E23" s="87"/>
      <c r="F23" s="87"/>
      <c r="G23" s="87"/>
      <c r="H23" s="87"/>
      <c r="I23" s="87"/>
      <c r="J23" s="77"/>
      <c r="K23" s="77"/>
      <c r="L23" s="77"/>
      <c r="M23" s="77"/>
      <c r="N23" s="77"/>
      <c r="O23" s="77"/>
      <c r="P23" s="77"/>
      <c r="Q23" s="77"/>
      <c r="R23" s="77"/>
      <c r="S23" s="77"/>
    </row>
    <row r="24" spans="1:19" x14ac:dyDescent="0.25">
      <c r="A24" s="87"/>
      <c r="B24" s="87"/>
      <c r="C24" s="87"/>
      <c r="D24" s="87"/>
      <c r="E24" s="87"/>
      <c r="F24" s="87"/>
      <c r="G24" s="87"/>
      <c r="H24" s="87"/>
      <c r="I24" s="87"/>
      <c r="J24" s="77"/>
      <c r="K24" s="77"/>
      <c r="L24" s="77"/>
      <c r="M24" s="77"/>
      <c r="N24" s="77"/>
      <c r="O24" s="77"/>
      <c r="P24" s="77"/>
      <c r="Q24" s="77"/>
      <c r="R24" s="77"/>
      <c r="S24" s="77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7"/>
  <sheetViews>
    <sheetView topLeftCell="B1" workbookViewId="0">
      <selection activeCell="J17" sqref="J17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7" max="7" width="4.125" customWidth="1"/>
    <col min="8" max="8" width="6.625" customWidth="1"/>
    <col min="9" max="9" width="6" customWidth="1"/>
    <col min="10" max="10" width="7.625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</row>
    <row r="2" spans="1:11" x14ac:dyDescent="0.25">
      <c r="A2" t="s">
        <v>11</v>
      </c>
      <c r="B2" s="8">
        <f>SUM(ProductMaster!$J$2:INDEX(ProductMaster!$J:$J,COUNTA(ProductMaster!$J:$J),0))</f>
        <v>0</v>
      </c>
      <c r="E2" s="11" t="s">
        <v>48</v>
      </c>
      <c r="F2" s="12">
        <v>0</v>
      </c>
      <c r="H2" t="s">
        <v>49</v>
      </c>
      <c r="I2" t="s">
        <v>50</v>
      </c>
      <c r="J2" t="s">
        <v>51</v>
      </c>
      <c r="K2" t="s">
        <v>52</v>
      </c>
    </row>
    <row r="3" spans="1:11" x14ac:dyDescent="0.25">
      <c r="A3" t="s">
        <v>25</v>
      </c>
      <c r="B3" s="9">
        <f ca="1">TODAY()-30</f>
        <v>43854</v>
      </c>
      <c r="E3" s="11" t="s">
        <v>15</v>
      </c>
      <c r="F3" s="12">
        <v>0</v>
      </c>
      <c r="H3" t="s">
        <v>55</v>
      </c>
      <c r="I3" t="s">
        <v>56</v>
      </c>
    </row>
    <row r="4" spans="1:11" x14ac:dyDescent="0.25">
      <c r="A4" t="s">
        <v>26</v>
      </c>
      <c r="B4" s="9">
        <f ca="1">TODAY()</f>
        <v>43884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523</v>
      </c>
    </row>
    <row r="8" spans="1:11" x14ac:dyDescent="0.25">
      <c r="A8" t="s">
        <v>3</v>
      </c>
      <c r="B8" s="68" t="str">
        <f>VLOOKUP(B7,ProductMaster!$A$2:$J$2275,3,0)</f>
        <v>F GRANNY GOOSE TORTILLOS BBQ 50X100G</v>
      </c>
    </row>
    <row r="9" spans="1:11" x14ac:dyDescent="0.25">
      <c r="A9" t="s">
        <v>8</v>
      </c>
      <c r="B9">
        <f>ROUNDUP(VLOOKUP(B7,ProductMaster!$A$2:$J$2275,8,0),2)</f>
        <v>0</v>
      </c>
    </row>
    <row r="10" spans="1:11" x14ac:dyDescent="0.25">
      <c r="A10" t="s">
        <v>20</v>
      </c>
      <c r="B10">
        <f>ROUNDUP(VLOOKUP(B7,ProductMaster!$A$2:$J$2275,9,0),2)</f>
        <v>0</v>
      </c>
    </row>
    <row r="11" spans="1:11" x14ac:dyDescent="0.25">
      <c r="A11" t="s">
        <v>11</v>
      </c>
      <c r="B11" s="8">
        <f>VLOOKUP(B7,ProductMaster!$A$2:$J$2275,6,0)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1" x14ac:dyDescent="0.25">
      <c r="A13" t="s">
        <v>19</v>
      </c>
      <c r="B13" t="str">
        <f>B8&amp;"'s"</f>
        <v>F GRANNY GOOSE TORTILLOS BBQ 50X100G's</v>
      </c>
    </row>
    <row r="14" spans="1:11" x14ac:dyDescent="0.25">
      <c r="A14" t="s">
        <v>21</v>
      </c>
      <c r="B14" s="30" t="str">
        <f>VLOOKUP(B7,ProductMaster!$A$2:$J$2275,7,0)</f>
        <v/>
      </c>
    </row>
    <row r="15" spans="1:11" x14ac:dyDescent="0.25">
      <c r="A15" t="str">
        <f>IF(B10&gt;B9,"Relax! Stock Is Above Re-Order Level.","Order NOW!")</f>
        <v>Order NOW!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4"/>
      <c r="B4" s="94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B5" sqref="B5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6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5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/>
      <c r="B2" s="28"/>
      <c r="C2" s="74"/>
      <c r="D2" s="46"/>
      <c r="E2" s="25"/>
      <c r="F2" s="26"/>
      <c r="G2" s="25"/>
      <c r="H2" s="25"/>
      <c r="I2" s="86"/>
      <c r="J2" s="27"/>
      <c r="K2" s="29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C1" sqref="C1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6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5" t="s">
        <v>28</v>
      </c>
      <c r="D1" s="75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4"/>
      <c r="D2" s="74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7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4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2">
        <v>1</v>
      </c>
      <c r="B2" s="83">
        <v>106</v>
      </c>
      <c r="C2" s="85" t="s">
        <v>47</v>
      </c>
      <c r="D2" s="47"/>
      <c r="E2" s="47"/>
      <c r="F2" s="48"/>
      <c r="G2" s="62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3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3" t="s">
        <v>57</v>
      </c>
      <c r="C3" s="85" t="s">
        <v>58</v>
      </c>
      <c r="D3" s="47"/>
      <c r="E3" s="47"/>
      <c r="F3" s="48"/>
      <c r="G3" s="62" t="str">
        <f>IFERROR(INDEX(StockInData[Expiry],MATCH(ProductMaster[[#This Row],[Product ID]],StockInData[Product ID],0)),"")</f>
        <v/>
      </c>
      <c r="H3" s="47"/>
      <c r="I3" s="61">
        <f>SUMIFS(StockInData[Quantity],StockInData[Product ID],ProductMaster!$B3)-SUMIFS(StockOutData[Quantity],StockOutData[Product ID],ProductMaster!$B3)</f>
        <v>0</v>
      </c>
      <c r="J3" s="63">
        <f>SUMIFS(StockInData[Value],StockInData[Product ID],ProductMaster!$B3)-SUMIFS(StockOutData[Value],StockOutData[Product ID],ProductMaster!$B3)</f>
        <v>0</v>
      </c>
    </row>
    <row r="4" spans="1:10" x14ac:dyDescent="0.25">
      <c r="A4" s="82">
        <v>3</v>
      </c>
      <c r="B4" s="83" t="s">
        <v>59</v>
      </c>
      <c r="C4" s="85" t="s">
        <v>60</v>
      </c>
      <c r="D4" s="47"/>
      <c r="E4" s="47"/>
      <c r="F4" s="48"/>
      <c r="G4" s="62" t="str">
        <f>IFERROR(INDEX(StockInData[Expiry],MATCH(ProductMaster[[#This Row],[Product ID]],StockInData[Product ID],0)),"")</f>
        <v/>
      </c>
      <c r="H4" s="47"/>
      <c r="I4" s="61">
        <f>SUMIFS(StockInData[Quantity],StockInData[Product ID],ProductMaster!$B4)-SUMIFS(StockOutData[Quantity],StockOutData[Product ID],ProductMaster!$B4)</f>
        <v>0</v>
      </c>
      <c r="J4" s="63">
        <f>SUMIFS(StockInData[Value],StockInData[Product ID],ProductMaster!$B4)-SUMIFS(StockOutData[Value],StockOutData[Product ID],ProductMaster!$B4)</f>
        <v>0</v>
      </c>
    </row>
    <row r="5" spans="1:10" hidden="1" x14ac:dyDescent="0.25">
      <c r="A5" s="60">
        <v>4</v>
      </c>
      <c r="B5" s="83" t="s">
        <v>61</v>
      </c>
      <c r="C5" s="85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2">
        <v>5</v>
      </c>
      <c r="B6" s="83" t="s">
        <v>63</v>
      </c>
      <c r="C6" s="85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3" t="s">
        <v>65</v>
      </c>
      <c r="C7" s="85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2">
        <v>7</v>
      </c>
      <c r="B8" s="83" t="s">
        <v>67</v>
      </c>
      <c r="C8" s="85" t="s">
        <v>68</v>
      </c>
      <c r="D8" s="47"/>
      <c r="E8" s="47"/>
      <c r="F8" s="48"/>
      <c r="G8" s="62" t="str">
        <f>IFERROR(INDEX(StockInData[Expiry],MATCH(ProductMaster[[#This Row],[Product ID]],StockInData[Product ID],0)),"")</f>
        <v/>
      </c>
      <c r="H8" s="47"/>
      <c r="I8" s="61">
        <f>SUMIFS(StockInData[Quantity],StockInData[Product ID],ProductMaster!$B8)-SUMIFS(StockOutData[Quantity],StockOutData[Product ID],ProductMaster!$B8)</f>
        <v>0</v>
      </c>
      <c r="J8" s="63">
        <f>SUMIFS(StockInData[Value],StockInData[Product ID],ProductMaster!$B8)-SUMIFS(StockOutData[Value],StockOutData[Product ID],ProductMaster!$B8)</f>
        <v>0</v>
      </c>
    </row>
    <row r="9" spans="1:10" hidden="1" x14ac:dyDescent="0.25">
      <c r="A9" s="60">
        <v>8</v>
      </c>
      <c r="B9" s="83" t="s">
        <v>69</v>
      </c>
      <c r="C9" s="85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2">
        <v>9</v>
      </c>
      <c r="B10" s="83" t="s">
        <v>71</v>
      </c>
      <c r="C10" s="85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3" t="s">
        <v>73</v>
      </c>
      <c r="C11" s="85" t="s">
        <v>74</v>
      </c>
      <c r="D11" s="47"/>
      <c r="E11" s="47"/>
      <c r="F11" s="48"/>
      <c r="G11" s="62" t="str">
        <f>IFERROR(INDEX(StockInData[Expiry],MATCH(ProductMaster[[#This Row],[Product ID]],StockInData[Product ID],0)),"")</f>
        <v/>
      </c>
      <c r="H11" s="47"/>
      <c r="I11" s="61">
        <f>SUMIFS(StockInData[Quantity],StockInData[Product ID],ProductMaster!$B11)-SUMIFS(StockOutData[Quantity],StockOutData[Product ID],ProductMaster!$B11)</f>
        <v>0</v>
      </c>
      <c r="J11" s="63">
        <f>SUMIFS(StockInData[Value],StockInData[Product ID],ProductMaster!$B11)-SUMIFS(StockOutData[Value],StockOutData[Product ID],ProductMaster!$B11)</f>
        <v>0</v>
      </c>
    </row>
    <row r="12" spans="1:10" x14ac:dyDescent="0.25">
      <c r="A12" s="82">
        <v>11</v>
      </c>
      <c r="B12" s="83" t="s">
        <v>75</v>
      </c>
      <c r="C12" s="85" t="s">
        <v>76</v>
      </c>
      <c r="D12" s="47"/>
      <c r="E12" s="47"/>
      <c r="F12" s="48"/>
      <c r="G12" s="62" t="str">
        <f>IFERROR(INDEX(StockInData[Expiry],MATCH(ProductMaster[[#This Row],[Product ID]],StockInData[Product ID],0)),"")</f>
        <v/>
      </c>
      <c r="H12" s="47"/>
      <c r="I12" s="61">
        <f>SUMIFS(StockInData[Quantity],StockInData[Product ID],ProductMaster!$B12)-SUMIFS(StockOutData[Quantity],StockOutData[Product ID],ProductMaster!$B12)</f>
        <v>0</v>
      </c>
      <c r="J12" s="63">
        <f>SUMIFS(StockInData[Value],StockInData[Product ID],ProductMaster!$B12)-SUMIFS(StockOutData[Value],StockOutData[Product ID],ProductMaster!$B12)</f>
        <v>0</v>
      </c>
    </row>
    <row r="13" spans="1:10" hidden="1" x14ac:dyDescent="0.25">
      <c r="A13" s="60">
        <v>12</v>
      </c>
      <c r="B13" s="83" t="s">
        <v>77</v>
      </c>
      <c r="C13" s="85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x14ac:dyDescent="0.25">
      <c r="A14" s="82">
        <v>13</v>
      </c>
      <c r="B14" s="83" t="s">
        <v>79</v>
      </c>
      <c r="C14" s="85" t="s">
        <v>80</v>
      </c>
      <c r="D14" s="47"/>
      <c r="E14" s="47"/>
      <c r="F14" s="48"/>
      <c r="G14" s="62" t="str">
        <f>IFERROR(INDEX(StockInData[Expiry],MATCH(ProductMaster[[#This Row],[Product ID]],StockInData[Product ID],0)),"")</f>
        <v/>
      </c>
      <c r="H14" s="47"/>
      <c r="I14" s="61">
        <f>SUMIFS(StockInData[Quantity],StockInData[Product ID],ProductMaster!$B14)-SUMIFS(StockOutData[Quantity],StockOutData[Product ID],ProductMaster!$B14)</f>
        <v>0</v>
      </c>
      <c r="J14" s="63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3" t="s">
        <v>81</v>
      </c>
      <c r="C15" s="85" t="s">
        <v>82</v>
      </c>
      <c r="D15" s="47"/>
      <c r="E15" s="47"/>
      <c r="F15" s="48"/>
      <c r="G15" s="62" t="str">
        <f>IFERROR(INDEX(StockInData[Expiry],MATCH(ProductMaster[[#This Row],[Product ID]],StockInData[Product ID],0)),"")</f>
        <v/>
      </c>
      <c r="H15" s="47"/>
      <c r="I15" s="61">
        <f>SUMIFS(StockInData[Quantity],StockInData[Product ID],ProductMaster!$B15)-SUMIFS(StockOutData[Quantity],StockOutData[Product ID],ProductMaster!$B15)</f>
        <v>0</v>
      </c>
      <c r="J15" s="63">
        <f>SUMIFS(StockInData[Value],StockInData[Product ID],ProductMaster!$B15)-SUMIFS(StockOutData[Value],StockOutData[Product ID],ProductMaster!$B15)</f>
        <v>0</v>
      </c>
    </row>
    <row r="16" spans="1:10" x14ac:dyDescent="0.25">
      <c r="A16" s="82">
        <v>15</v>
      </c>
      <c r="B16" s="83" t="s">
        <v>83</v>
      </c>
      <c r="C16" s="85" t="s">
        <v>84</v>
      </c>
      <c r="D16" s="47"/>
      <c r="E16" s="47"/>
      <c r="F16" s="48"/>
      <c r="G16" s="62" t="str">
        <f>IFERROR(INDEX(StockInData[Expiry],MATCH(ProductMaster[[#This Row],[Product ID]],StockInData[Product ID],0)),"")</f>
        <v/>
      </c>
      <c r="H16" s="47"/>
      <c r="I16" s="61">
        <f>SUMIFS(StockInData[Quantity],StockInData[Product ID],ProductMaster!$B16)-SUMIFS(StockOutData[Quantity],StockOutData[Product ID],ProductMaster!$B16)</f>
        <v>0</v>
      </c>
      <c r="J16" s="63">
        <f>SUMIFS(StockInData[Value],StockInData[Product ID],ProductMaster!$B16)-SUMIFS(StockOutData[Value],StockOutData[Product ID],ProductMaster!$B16)</f>
        <v>0</v>
      </c>
    </row>
    <row r="17" spans="1:10" hidden="1" x14ac:dyDescent="0.25">
      <c r="A17" s="60">
        <v>16</v>
      </c>
      <c r="B17" s="83" t="s">
        <v>85</v>
      </c>
      <c r="C17" s="85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x14ac:dyDescent="0.25">
      <c r="A18" s="82">
        <v>17</v>
      </c>
      <c r="B18" s="83" t="s">
        <v>87</v>
      </c>
      <c r="C18" s="85" t="s">
        <v>88</v>
      </c>
      <c r="D18" s="47"/>
      <c r="E18" s="47"/>
      <c r="F18" s="48"/>
      <c r="G18" s="62" t="str">
        <f>IFERROR(INDEX(StockInData[Expiry],MATCH(ProductMaster[[#This Row],[Product ID]],StockInData[Product ID],0)),"")</f>
        <v/>
      </c>
      <c r="H18" s="47"/>
      <c r="I18" s="61">
        <f>SUMIFS(StockInData[Quantity],StockInData[Product ID],ProductMaster!$B18)-SUMIFS(StockOutData[Quantity],StockOutData[Product ID],ProductMaster!$B18)</f>
        <v>0</v>
      </c>
      <c r="J18" s="63">
        <f>SUMIFS(StockInData[Value],StockInData[Product ID],ProductMaster!$B18)-SUMIFS(StockOutData[Value],StockOutData[Product ID],ProductMaster!$B18)</f>
        <v>0</v>
      </c>
    </row>
    <row r="19" spans="1:10" hidden="1" x14ac:dyDescent="0.25">
      <c r="A19" s="60">
        <v>18</v>
      </c>
      <c r="B19" s="83" t="s">
        <v>89</v>
      </c>
      <c r="C19" s="85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2">
        <v>19</v>
      </c>
      <c r="B20" s="83" t="s">
        <v>91</v>
      </c>
      <c r="C20" s="85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3" t="s">
        <v>93</v>
      </c>
      <c r="C21" s="85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2">
        <v>21</v>
      </c>
      <c r="B22" s="83" t="s">
        <v>95</v>
      </c>
      <c r="C22" s="85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3" t="s">
        <v>97</v>
      </c>
      <c r="C23" s="85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2">
        <v>23</v>
      </c>
      <c r="B24" s="83" t="s">
        <v>99</v>
      </c>
      <c r="C24" s="85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3" t="s">
        <v>101</v>
      </c>
      <c r="C25" s="85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82">
        <v>25</v>
      </c>
      <c r="B26" s="83" t="s">
        <v>103</v>
      </c>
      <c r="C26" s="85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3" t="s">
        <v>105</v>
      </c>
      <c r="C27" s="85" t="s">
        <v>106</v>
      </c>
      <c r="D27" s="47"/>
      <c r="E27" s="47"/>
      <c r="F27" s="48"/>
      <c r="G27" s="62" t="str">
        <f>IFERROR(INDEX(StockInData[Expiry],MATCH(ProductMaster[[#This Row],[Product ID]],StockInData[Product ID],0)),"")</f>
        <v/>
      </c>
      <c r="H27" s="47"/>
      <c r="I27" s="61">
        <f>SUMIFS(StockInData[Quantity],StockInData[Product ID],ProductMaster!$B27)-SUMIFS(StockOutData[Quantity],StockOutData[Product ID],ProductMaster!$B27)</f>
        <v>0</v>
      </c>
      <c r="J27" s="63">
        <f>SUMIFS(StockInData[Value],StockInData[Product ID],ProductMaster!$B27)-SUMIFS(StockOutData[Value],StockOutData[Product ID],ProductMaster!$B27)</f>
        <v>0</v>
      </c>
    </row>
    <row r="28" spans="1:10" x14ac:dyDescent="0.25">
      <c r="A28" s="82">
        <v>27</v>
      </c>
      <c r="B28" s="83" t="s">
        <v>107</v>
      </c>
      <c r="C28" s="85" t="s">
        <v>108</v>
      </c>
      <c r="D28" s="47"/>
      <c r="E28" s="47"/>
      <c r="F28" s="48"/>
      <c r="G28" s="62" t="str">
        <f>IFERROR(INDEX(StockInData[Expiry],MATCH(ProductMaster[[#This Row],[Product ID]],StockInData[Product ID],0)),"")</f>
        <v/>
      </c>
      <c r="H28" s="47"/>
      <c r="I28" s="61">
        <f>SUMIFS(StockInData[Quantity],StockInData[Product ID],ProductMaster!$B28)-SUMIFS(StockOutData[Quantity],StockOutData[Product ID],ProductMaster!$B28)</f>
        <v>0</v>
      </c>
      <c r="J28" s="63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3" t="s">
        <v>109</v>
      </c>
      <c r="C29" s="85" t="s">
        <v>110</v>
      </c>
      <c r="D29" s="47"/>
      <c r="E29" s="47"/>
      <c r="F29" s="48"/>
      <c r="G29" s="62" t="str">
        <f>IFERROR(INDEX(StockInData[Expiry],MATCH(ProductMaster[[#This Row],[Product ID]],StockInData[Product ID],0)),"")</f>
        <v/>
      </c>
      <c r="H29" s="47"/>
      <c r="I29" s="61">
        <f>SUMIFS(StockInData[Quantity],StockInData[Product ID],ProductMaster!$B29)-SUMIFS(StockOutData[Quantity],StockOutData[Product ID],ProductMaster!$B29)</f>
        <v>0</v>
      </c>
      <c r="J29" s="63">
        <f>SUMIFS(StockInData[Value],StockInData[Product ID],ProductMaster!$B29)-SUMIFS(StockOutData[Value],StockOutData[Product ID],ProductMaster!$B29)</f>
        <v>0</v>
      </c>
    </row>
    <row r="30" spans="1:10" hidden="1" x14ac:dyDescent="0.25">
      <c r="A30" s="82">
        <v>29</v>
      </c>
      <c r="B30" s="83" t="s">
        <v>111</v>
      </c>
      <c r="C30" s="85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3" t="s">
        <v>113</v>
      </c>
      <c r="C31" s="85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2">
        <v>31</v>
      </c>
      <c r="B32" s="83" t="s">
        <v>115</v>
      </c>
      <c r="C32" s="85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3" t="s">
        <v>117</v>
      </c>
      <c r="C33" s="85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x14ac:dyDescent="0.25">
      <c r="A34" s="82">
        <v>33</v>
      </c>
      <c r="B34" s="83" t="s">
        <v>119</v>
      </c>
      <c r="C34" s="85" t="s">
        <v>120</v>
      </c>
      <c r="D34" s="47"/>
      <c r="E34" s="47"/>
      <c r="F34" s="48"/>
      <c r="G34" s="62" t="str">
        <f>IFERROR(INDEX(StockInData[Expiry],MATCH(ProductMaster[[#This Row],[Product ID]],StockInData[Product ID],0)),"")</f>
        <v/>
      </c>
      <c r="H34" s="47"/>
      <c r="I34" s="61">
        <f>SUMIFS(StockInData[Quantity],StockInData[Product ID],ProductMaster!$B34)-SUMIFS(StockOutData[Quantity],StockOutData[Product ID],ProductMaster!$B34)</f>
        <v>0</v>
      </c>
      <c r="J34" s="63">
        <f>SUMIFS(StockInData[Value],StockInData[Product ID],ProductMaster!$B34)-SUMIFS(StockOutData[Value],StockOutData[Product ID],ProductMaster!$B34)</f>
        <v>0</v>
      </c>
    </row>
    <row r="35" spans="1:10" hidden="1" x14ac:dyDescent="0.25">
      <c r="A35" s="60">
        <v>34</v>
      </c>
      <c r="B35" s="83" t="s">
        <v>121</v>
      </c>
      <c r="C35" s="85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2">
        <v>35</v>
      </c>
      <c r="B36" s="83" t="s">
        <v>123</v>
      </c>
      <c r="C36" s="85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3" t="s">
        <v>125</v>
      </c>
      <c r="C37" s="85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x14ac:dyDescent="0.25">
      <c r="A38" s="82">
        <v>37</v>
      </c>
      <c r="B38" s="83" t="s">
        <v>127</v>
      </c>
      <c r="C38" s="85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0</v>
      </c>
      <c r="J38" s="63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0">
        <v>38</v>
      </c>
      <c r="B39" s="83" t="s">
        <v>129</v>
      </c>
      <c r="C39" s="85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2">
        <v>39</v>
      </c>
      <c r="B40" s="83" t="s">
        <v>131</v>
      </c>
      <c r="C40" s="85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3" t="s">
        <v>133</v>
      </c>
      <c r="C41" s="85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82">
        <v>41</v>
      </c>
      <c r="B42" s="83" t="s">
        <v>135</v>
      </c>
      <c r="C42" s="85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3" t="s">
        <v>137</v>
      </c>
      <c r="C43" s="85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2">
        <v>43</v>
      </c>
      <c r="B44" s="83" t="s">
        <v>139</v>
      </c>
      <c r="C44" s="85" t="s">
        <v>140</v>
      </c>
      <c r="D44" s="47"/>
      <c r="E44" s="47"/>
      <c r="F44" s="48"/>
      <c r="G44" s="62" t="str">
        <f>IFERROR(INDEX(StockInData[Expiry],MATCH(ProductMaster[[#This Row],[Product ID]],StockInData[Product ID],0)),"")</f>
        <v/>
      </c>
      <c r="H44" s="47"/>
      <c r="I44" s="61">
        <f>SUMIFS(StockInData[Quantity],StockInData[Product ID],ProductMaster!$B44)-SUMIFS(StockOutData[Quantity],StockOutData[Product ID],ProductMaster!$B44)</f>
        <v>0</v>
      </c>
      <c r="J44" s="63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3" t="s">
        <v>141</v>
      </c>
      <c r="C45" s="85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2">
        <v>45</v>
      </c>
      <c r="B46" s="83" t="s">
        <v>143</v>
      </c>
      <c r="C46" s="85" t="s">
        <v>144</v>
      </c>
      <c r="D46" s="47"/>
      <c r="E46" s="47"/>
      <c r="F46" s="48"/>
      <c r="G46" s="62" t="str">
        <f>IFERROR(INDEX(StockInData[Expiry],MATCH(ProductMaster[[#This Row],[Product ID]],StockInData[Product ID],0)),"")</f>
        <v/>
      </c>
      <c r="H46" s="47"/>
      <c r="I46" s="61">
        <f>SUMIFS(StockInData[Quantity],StockInData[Product ID],ProductMaster!$B46)-SUMIFS(StockOutData[Quantity],StockOutData[Product ID],ProductMaster!$B46)</f>
        <v>0</v>
      </c>
      <c r="J46" s="63">
        <f>SUMIFS(StockInData[Value],StockInData[Product ID],ProductMaster!$B46)-SUMIFS(StockOutData[Value],StockOutData[Product ID],ProductMaster!$B46)</f>
        <v>0</v>
      </c>
    </row>
    <row r="47" spans="1:10" hidden="1" x14ac:dyDescent="0.25">
      <c r="A47" s="60">
        <v>46</v>
      </c>
      <c r="B47" s="83" t="s">
        <v>145</v>
      </c>
      <c r="C47" s="85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2">
        <v>47</v>
      </c>
      <c r="B48" s="83" t="s">
        <v>147</v>
      </c>
      <c r="C48" s="85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3" t="s">
        <v>149</v>
      </c>
      <c r="C49" s="85" t="s">
        <v>150</v>
      </c>
      <c r="D49" s="47"/>
      <c r="E49" s="47"/>
      <c r="F49" s="48"/>
      <c r="G49" s="62" t="str">
        <f>IFERROR(INDEX(StockInData[Expiry],MATCH(ProductMaster[[#This Row],[Product ID]],StockInData[Product ID],0)),"")</f>
        <v/>
      </c>
      <c r="H49" s="47"/>
      <c r="I49" s="61">
        <f>SUMIFS(StockInData[Quantity],StockInData[Product ID],ProductMaster!$B49)-SUMIFS(StockOutData[Quantity],StockOutData[Product ID],ProductMaster!$B49)</f>
        <v>0</v>
      </c>
      <c r="J49" s="63">
        <f>SUMIFS(StockInData[Value],StockInData[Product ID],ProductMaster!$B49)-SUMIFS(StockOutData[Value],StockOutData[Product ID],ProductMaster!$B49)</f>
        <v>0</v>
      </c>
    </row>
    <row r="50" spans="1:10" hidden="1" x14ac:dyDescent="0.25">
      <c r="A50" s="82">
        <v>49</v>
      </c>
      <c r="B50" s="83" t="s">
        <v>151</v>
      </c>
      <c r="C50" s="85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3" t="s">
        <v>153</v>
      </c>
      <c r="C51" s="85" t="s">
        <v>154</v>
      </c>
      <c r="D51" s="47"/>
      <c r="E51" s="47"/>
      <c r="F51" s="48"/>
      <c r="G51" s="62" t="str">
        <f>IFERROR(INDEX(StockInData[Expiry],MATCH(ProductMaster[[#This Row],[Product ID]],StockInData[Product ID],0)),"")</f>
        <v/>
      </c>
      <c r="H51" s="47"/>
      <c r="I51" s="61">
        <f>SUMIFS(StockInData[Quantity],StockInData[Product ID],ProductMaster!$B51)-SUMIFS(StockOutData[Quantity],StockOutData[Product ID],ProductMaster!$B51)</f>
        <v>0</v>
      </c>
      <c r="J51" s="63">
        <f>SUMIFS(StockInData[Value],StockInData[Product ID],ProductMaster!$B51)-SUMIFS(StockOutData[Value],StockOutData[Product ID],ProductMaster!$B51)</f>
        <v>0</v>
      </c>
    </row>
    <row r="52" spans="1:10" hidden="1" x14ac:dyDescent="0.25">
      <c r="A52" s="82">
        <v>51</v>
      </c>
      <c r="B52" s="83" t="s">
        <v>155</v>
      </c>
      <c r="C52" s="85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3" t="s">
        <v>157</v>
      </c>
      <c r="C53" s="85" t="s">
        <v>158</v>
      </c>
      <c r="D53" s="47"/>
      <c r="E53" s="47"/>
      <c r="F53" s="48"/>
      <c r="G53" s="62" t="str">
        <f>IFERROR(INDEX(StockInData[Expiry],MATCH(ProductMaster[[#This Row],[Product ID]],StockInData[Product ID],0)),"")</f>
        <v/>
      </c>
      <c r="H53" s="47"/>
      <c r="I53" s="61">
        <f>SUMIFS(StockInData[Quantity],StockInData[Product ID],ProductMaster!$B53)-SUMIFS(StockOutData[Quantity],StockOutData[Product ID],ProductMaster!$B53)</f>
        <v>0</v>
      </c>
      <c r="J53" s="63">
        <f>SUMIFS(StockInData[Value],StockInData[Product ID],ProductMaster!$B53)-SUMIFS(StockOutData[Value],StockOutData[Product ID],ProductMaster!$B53)</f>
        <v>0</v>
      </c>
    </row>
    <row r="54" spans="1:10" x14ac:dyDescent="0.25">
      <c r="A54" s="82">
        <v>53</v>
      </c>
      <c r="B54" s="83" t="s">
        <v>159</v>
      </c>
      <c r="C54" s="85" t="s">
        <v>160</v>
      </c>
      <c r="D54" s="47"/>
      <c r="E54" s="47"/>
      <c r="F54" s="48"/>
      <c r="G54" s="62" t="str">
        <f>IFERROR(INDEX(StockInData[Expiry],MATCH(ProductMaster[[#This Row],[Product ID]],StockInData[Product ID],0)),"")</f>
        <v/>
      </c>
      <c r="H54" s="47"/>
      <c r="I54" s="61">
        <f>SUMIFS(StockInData[Quantity],StockInData[Product ID],ProductMaster!$B54)-SUMIFS(StockOutData[Quantity],StockOutData[Product ID],ProductMaster!$B54)</f>
        <v>0</v>
      </c>
      <c r="J54" s="63">
        <f>SUMIFS(StockInData[Value],StockInData[Product ID],ProductMaster!$B54)-SUMIFS(StockOutData[Value],StockOutData[Product ID],ProductMaster!$B54)</f>
        <v>0</v>
      </c>
    </row>
    <row r="55" spans="1:10" hidden="1" x14ac:dyDescent="0.25">
      <c r="A55" s="60">
        <v>54</v>
      </c>
      <c r="B55" s="83" t="s">
        <v>161</v>
      </c>
      <c r="C55" s="85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2">
        <v>55</v>
      </c>
      <c r="B56" s="83" t="s">
        <v>163</v>
      </c>
      <c r="C56" s="85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3" t="s">
        <v>165</v>
      </c>
      <c r="C57" s="85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2">
        <v>57</v>
      </c>
      <c r="B58" s="83" t="s">
        <v>167</v>
      </c>
      <c r="C58" s="85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3" t="s">
        <v>169</v>
      </c>
      <c r="C59" s="85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2">
        <v>59</v>
      </c>
      <c r="B60" s="83" t="s">
        <v>171</v>
      </c>
      <c r="C60" s="85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3" t="s">
        <v>173</v>
      </c>
      <c r="C61" s="85" t="s">
        <v>174</v>
      </c>
      <c r="D61" s="47"/>
      <c r="E61" s="47"/>
      <c r="F61" s="48"/>
      <c r="G61" s="62" t="str">
        <f>IFERROR(INDEX(StockInData[Expiry],MATCH(ProductMaster[[#This Row],[Product ID]],StockInData[Product ID],0)),"")</f>
        <v/>
      </c>
      <c r="H61" s="47"/>
      <c r="I61" s="61">
        <f>SUMIFS(StockInData[Quantity],StockInData[Product ID],ProductMaster!$B61)-SUMIFS(StockOutData[Quantity],StockOutData[Product ID],ProductMaster!$B61)</f>
        <v>0</v>
      </c>
      <c r="J61" s="63">
        <f>SUMIFS(StockInData[Value],StockInData[Product ID],ProductMaster!$B61)-SUMIFS(StockOutData[Value],StockOutData[Product ID],ProductMaster!$B61)</f>
        <v>0</v>
      </c>
    </row>
    <row r="62" spans="1:10" x14ac:dyDescent="0.25">
      <c r="A62" s="82">
        <v>61</v>
      </c>
      <c r="B62" s="83" t="s">
        <v>175</v>
      </c>
      <c r="C62" s="85" t="s">
        <v>176</v>
      </c>
      <c r="D62" s="47"/>
      <c r="E62" s="47"/>
      <c r="F62" s="48"/>
      <c r="G62" s="62" t="str">
        <f>IFERROR(INDEX(StockInData[Expiry],MATCH(ProductMaster[[#This Row],[Product ID]],StockInData[Product ID],0)),"")</f>
        <v/>
      </c>
      <c r="H62" s="47"/>
      <c r="I62" s="61">
        <f>SUMIFS(StockInData[Quantity],StockInData[Product ID],ProductMaster!$B62)-SUMIFS(StockOutData[Quantity],StockOutData[Product ID],ProductMaster!$B62)</f>
        <v>0</v>
      </c>
      <c r="J62" s="63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3" t="s">
        <v>177</v>
      </c>
      <c r="C63" s="85" t="s">
        <v>178</v>
      </c>
      <c r="D63" s="47"/>
      <c r="E63" s="47"/>
      <c r="F63" s="48"/>
      <c r="G63" s="62" t="str">
        <f>IFERROR(INDEX(StockInData[Expiry],MATCH(ProductMaster[[#This Row],[Product ID]],StockInData[Product ID],0)),"")</f>
        <v/>
      </c>
      <c r="H63" s="47"/>
      <c r="I63" s="61">
        <f>SUMIFS(StockInData[Quantity],StockInData[Product ID],ProductMaster!$B63)-SUMIFS(StockOutData[Quantity],StockOutData[Product ID],ProductMaster!$B63)</f>
        <v>0</v>
      </c>
      <c r="J63" s="63">
        <f>SUMIFS(StockInData[Value],StockInData[Product ID],ProductMaster!$B63)-SUMIFS(StockOutData[Value],StockOutData[Product ID],ProductMaster!$B63)</f>
        <v>0</v>
      </c>
    </row>
    <row r="64" spans="1:10" x14ac:dyDescent="0.25">
      <c r="A64" s="82">
        <v>63</v>
      </c>
      <c r="B64" s="83" t="s">
        <v>179</v>
      </c>
      <c r="C64" s="85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0</v>
      </c>
      <c r="J64" s="63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3" t="s">
        <v>181</v>
      </c>
      <c r="C65" s="85" t="s">
        <v>182</v>
      </c>
      <c r="D65" s="47"/>
      <c r="E65" s="47"/>
      <c r="F65" s="48"/>
      <c r="G65" s="62" t="str">
        <f>IFERROR(INDEX(StockInData[Expiry],MATCH(ProductMaster[[#This Row],[Product ID]],StockInData[Product ID],0)),"")</f>
        <v/>
      </c>
      <c r="H65" s="47"/>
      <c r="I65" s="61">
        <f>SUMIFS(StockInData[Quantity],StockInData[Product ID],ProductMaster!$B65)-SUMIFS(StockOutData[Quantity],StockOutData[Product ID],ProductMaster!$B65)</f>
        <v>0</v>
      </c>
      <c r="J65" s="63">
        <f>SUMIFS(StockInData[Value],StockInData[Product ID],ProductMaster!$B65)-SUMIFS(StockOutData[Value],StockOutData[Product ID],ProductMaster!$B65)</f>
        <v>0</v>
      </c>
    </row>
    <row r="66" spans="1:10" hidden="1" x14ac:dyDescent="0.25">
      <c r="A66" s="82">
        <v>65</v>
      </c>
      <c r="B66" s="83" t="s">
        <v>183</v>
      </c>
      <c r="C66" s="85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3" t="s">
        <v>185</v>
      </c>
      <c r="C67" s="85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2">
        <v>67</v>
      </c>
      <c r="B68" s="83" t="s">
        <v>187</v>
      </c>
      <c r="C68" s="85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3" t="s">
        <v>189</v>
      </c>
      <c r="C69" s="85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82">
        <v>69</v>
      </c>
      <c r="B70" s="83" t="s">
        <v>191</v>
      </c>
      <c r="C70" s="85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3" t="s">
        <v>193</v>
      </c>
      <c r="C71" s="85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x14ac:dyDescent="0.25">
      <c r="A72" s="82">
        <v>71</v>
      </c>
      <c r="B72" s="83" t="s">
        <v>195</v>
      </c>
      <c r="C72" s="85" t="s">
        <v>196</v>
      </c>
      <c r="D72" s="47"/>
      <c r="E72" s="47"/>
      <c r="F72" s="48"/>
      <c r="G72" s="62" t="str">
        <f>IFERROR(INDEX(StockInData[Expiry],MATCH(ProductMaster[[#This Row],[Product ID]],StockInData[Product ID],0)),"")</f>
        <v/>
      </c>
      <c r="H72" s="47"/>
      <c r="I72" s="61">
        <f>SUMIFS(StockInData[Quantity],StockInData[Product ID],ProductMaster!$B72)-SUMIFS(StockOutData[Quantity],StockOutData[Product ID],ProductMaster!$B72)</f>
        <v>0</v>
      </c>
      <c r="J72" s="63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3" t="s">
        <v>197</v>
      </c>
      <c r="C73" s="85" t="s">
        <v>198</v>
      </c>
      <c r="D73" s="47"/>
      <c r="E73" s="47"/>
      <c r="F73" s="48"/>
      <c r="G73" s="62" t="str">
        <f>IFERROR(INDEX(StockInData[Expiry],MATCH(ProductMaster[[#This Row],[Product ID]],StockInData[Product ID],0)),"")</f>
        <v/>
      </c>
      <c r="H73" s="47"/>
      <c r="I73" s="61">
        <f>SUMIFS(StockInData[Quantity],StockInData[Product ID],ProductMaster!$B73)-SUMIFS(StockOutData[Quantity],StockOutData[Product ID],ProductMaster!$B73)</f>
        <v>0</v>
      </c>
      <c r="J73" s="63">
        <f>SUMIFS(StockInData[Value],StockInData[Product ID],ProductMaster!$B73)-SUMIFS(StockOutData[Value],StockOutData[Product ID],ProductMaster!$B73)</f>
        <v>0</v>
      </c>
    </row>
    <row r="74" spans="1:10" x14ac:dyDescent="0.25">
      <c r="A74" s="82">
        <v>73</v>
      </c>
      <c r="B74" s="83" t="s">
        <v>199</v>
      </c>
      <c r="C74" s="85" t="s">
        <v>200</v>
      </c>
      <c r="D74" s="47"/>
      <c r="E74" s="47"/>
      <c r="F74" s="48"/>
      <c r="G74" s="62" t="str">
        <f>IFERROR(INDEX(StockInData[Expiry],MATCH(ProductMaster[[#This Row],[Product ID]],StockInData[Product ID],0)),"")</f>
        <v/>
      </c>
      <c r="H74" s="47"/>
      <c r="I74" s="61">
        <f>SUMIFS(StockInData[Quantity],StockInData[Product ID],ProductMaster!$B74)-SUMIFS(StockOutData[Quantity],StockOutData[Product ID],ProductMaster!$B74)</f>
        <v>0</v>
      </c>
      <c r="J74" s="63">
        <f>SUMIFS(StockInData[Value],StockInData[Product ID],ProductMaster!$B74)-SUMIFS(StockOutData[Value],StockOutData[Product ID],ProductMaster!$B74)</f>
        <v>0</v>
      </c>
    </row>
    <row r="75" spans="1:10" hidden="1" x14ac:dyDescent="0.25">
      <c r="A75" s="60">
        <v>74</v>
      </c>
      <c r="B75" s="83" t="s">
        <v>201</v>
      </c>
      <c r="C75" s="85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2">
        <v>75</v>
      </c>
      <c r="B76" s="83" t="s">
        <v>203</v>
      </c>
      <c r="C76" s="85" t="s">
        <v>204</v>
      </c>
      <c r="D76" s="47"/>
      <c r="E76" s="47"/>
      <c r="F76" s="48"/>
      <c r="G76" s="62" t="str">
        <f>IFERROR(INDEX(StockInData[Expiry],MATCH(ProductMaster[[#This Row],[Product ID]],StockInData[Product ID],0)),"")</f>
        <v/>
      </c>
      <c r="H76" s="47"/>
      <c r="I76" s="61">
        <f>SUMIFS(StockInData[Quantity],StockInData[Product ID],ProductMaster!$B76)-SUMIFS(StockOutData[Quantity],StockOutData[Product ID],ProductMaster!$B76)</f>
        <v>0</v>
      </c>
      <c r="J76" s="63">
        <f>SUMIFS(StockInData[Value],StockInData[Product ID],ProductMaster!$B76)-SUMIFS(StockOutData[Value],StockOutData[Product ID],ProductMaster!$B76)</f>
        <v>0</v>
      </c>
    </row>
    <row r="77" spans="1:10" hidden="1" x14ac:dyDescent="0.25">
      <c r="A77" s="60">
        <v>76</v>
      </c>
      <c r="B77" s="83" t="s">
        <v>205</v>
      </c>
      <c r="C77" s="85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2">
        <v>77</v>
      </c>
      <c r="B78" s="83" t="s">
        <v>207</v>
      </c>
      <c r="C78" s="85" t="s">
        <v>208</v>
      </c>
      <c r="D78" s="47"/>
      <c r="E78" s="47"/>
      <c r="F78" s="48"/>
      <c r="G78" s="62" t="str">
        <f>IFERROR(INDEX(StockInData[Expiry],MATCH(ProductMaster[[#This Row],[Product ID]],StockInData[Product ID],0)),"")</f>
        <v/>
      </c>
      <c r="H78" s="47"/>
      <c r="I78" s="61">
        <f>SUMIFS(StockInData[Quantity],StockInData[Product ID],ProductMaster!$B78)-SUMIFS(StockOutData[Quantity],StockOutData[Product ID],ProductMaster!$B78)</f>
        <v>0</v>
      </c>
      <c r="J78" s="63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3" t="s">
        <v>209</v>
      </c>
      <c r="C79" s="85" t="s">
        <v>210</v>
      </c>
      <c r="D79" s="47"/>
      <c r="E79" s="47"/>
      <c r="F79" s="48"/>
      <c r="G79" s="62" t="str">
        <f>IFERROR(INDEX(StockInData[Expiry],MATCH(ProductMaster[[#This Row],[Product ID]],StockInData[Product ID],0)),"")</f>
        <v/>
      </c>
      <c r="H79" s="47"/>
      <c r="I79" s="61">
        <f>SUMIFS(StockInData[Quantity],StockInData[Product ID],ProductMaster!$B79)-SUMIFS(StockOutData[Quantity],StockOutData[Product ID],ProductMaster!$B79)</f>
        <v>0</v>
      </c>
      <c r="J79" s="63">
        <f>SUMIFS(StockInData[Value],StockInData[Product ID],ProductMaster!$B79)-SUMIFS(StockOutData[Value],StockOutData[Product ID],ProductMaster!$B79)</f>
        <v>0</v>
      </c>
    </row>
    <row r="80" spans="1:10" hidden="1" x14ac:dyDescent="0.25">
      <c r="A80" s="82">
        <v>79</v>
      </c>
      <c r="B80" s="83" t="s">
        <v>211</v>
      </c>
      <c r="C80" s="85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3" t="s">
        <v>213</v>
      </c>
      <c r="C81" s="85" t="s">
        <v>214</v>
      </c>
      <c r="D81" s="47"/>
      <c r="E81" s="47"/>
      <c r="F81" s="48"/>
      <c r="G81" s="62" t="str">
        <f>IFERROR(INDEX(StockInData[Expiry],MATCH(ProductMaster[[#This Row],[Product ID]],StockInData[Product ID],0)),"")</f>
        <v/>
      </c>
      <c r="H81" s="47"/>
      <c r="I81" s="61">
        <f>SUMIFS(StockInData[Quantity],StockInData[Product ID],ProductMaster!$B81)-SUMIFS(StockOutData[Quantity],StockOutData[Product ID],ProductMaster!$B81)</f>
        <v>0</v>
      </c>
      <c r="J81" s="63">
        <f>SUMIFS(StockInData[Value],StockInData[Product ID],ProductMaster!$B81)-SUMIFS(StockOutData[Value],StockOutData[Product ID],ProductMaster!$B81)</f>
        <v>0</v>
      </c>
    </row>
    <row r="82" spans="1:10" hidden="1" x14ac:dyDescent="0.25">
      <c r="A82" s="82">
        <v>81</v>
      </c>
      <c r="B82" s="83" t="s">
        <v>215</v>
      </c>
      <c r="C82" s="85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3" t="s">
        <v>217</v>
      </c>
      <c r="C83" s="85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2">
        <v>83</v>
      </c>
      <c r="B84" s="83" t="s">
        <v>219</v>
      </c>
      <c r="C84" s="85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3" t="s">
        <v>221</v>
      </c>
      <c r="C85" s="85" t="s">
        <v>222</v>
      </c>
      <c r="D85" s="47"/>
      <c r="E85" s="47"/>
      <c r="F85" s="48"/>
      <c r="G85" s="62" t="str">
        <f>IFERROR(INDEX(StockInData[Expiry],MATCH(ProductMaster[[#This Row],[Product ID]],StockInData[Product ID],0)),"")</f>
        <v/>
      </c>
      <c r="H85" s="47"/>
      <c r="I85" s="61">
        <f>SUMIFS(StockInData[Quantity],StockInData[Product ID],ProductMaster!$B85)-SUMIFS(StockOutData[Quantity],StockOutData[Product ID],ProductMaster!$B85)</f>
        <v>0</v>
      </c>
      <c r="J85" s="63">
        <f>SUMIFS(StockInData[Value],StockInData[Product ID],ProductMaster!$B85)-SUMIFS(StockOutData[Value],StockOutData[Product ID],ProductMaster!$B85)</f>
        <v>0</v>
      </c>
    </row>
    <row r="86" spans="1:10" x14ac:dyDescent="0.25">
      <c r="A86" s="82">
        <v>85</v>
      </c>
      <c r="B86" s="83" t="s">
        <v>223</v>
      </c>
      <c r="C86" s="85" t="s">
        <v>224</v>
      </c>
      <c r="D86" s="47"/>
      <c r="E86" s="47"/>
      <c r="F86" s="48"/>
      <c r="G86" s="62" t="str">
        <f>IFERROR(INDEX(StockInData[Expiry],MATCH(ProductMaster[[#This Row],[Product ID]],StockInData[Product ID],0)),"")</f>
        <v/>
      </c>
      <c r="H86" s="47"/>
      <c r="I86" s="61">
        <f>SUMIFS(StockInData[Quantity],StockInData[Product ID],ProductMaster!$B86)-SUMIFS(StockOutData[Quantity],StockOutData[Product ID],ProductMaster!$B86)</f>
        <v>0</v>
      </c>
      <c r="J86" s="63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3" t="s">
        <v>225</v>
      </c>
      <c r="C87" s="85" t="s">
        <v>226</v>
      </c>
      <c r="D87" s="47"/>
      <c r="E87" s="47"/>
      <c r="F87" s="48"/>
      <c r="G87" s="62" t="str">
        <f>IFERROR(INDEX(StockInData[Expiry],MATCH(ProductMaster[[#This Row],[Product ID]],StockInData[Product ID],0)),"")</f>
        <v/>
      </c>
      <c r="H87" s="47"/>
      <c r="I87" s="61">
        <f>SUMIFS(StockInData[Quantity],StockInData[Product ID],ProductMaster!$B87)-SUMIFS(StockOutData[Quantity],StockOutData[Product ID],ProductMaster!$B87)</f>
        <v>0</v>
      </c>
      <c r="J87" s="63">
        <f>SUMIFS(StockInData[Value],StockInData[Product ID],ProductMaster!$B87)-SUMIFS(StockOutData[Value],StockOutData[Product ID],ProductMaster!$B87)</f>
        <v>0</v>
      </c>
    </row>
    <row r="88" spans="1:10" x14ac:dyDescent="0.25">
      <c r="A88" s="82">
        <v>87</v>
      </c>
      <c r="B88" s="83" t="s">
        <v>227</v>
      </c>
      <c r="C88" s="85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0</v>
      </c>
      <c r="J88" s="63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0">
        <v>88</v>
      </c>
      <c r="B89" s="83" t="s">
        <v>229</v>
      </c>
      <c r="C89" s="85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2">
        <v>89</v>
      </c>
      <c r="B90" s="83" t="s">
        <v>231</v>
      </c>
      <c r="C90" s="85" t="s">
        <v>232</v>
      </c>
      <c r="D90" s="47"/>
      <c r="E90" s="47"/>
      <c r="F90" s="48"/>
      <c r="G90" s="62" t="str">
        <f>IFERROR(INDEX(StockInData[Expiry],MATCH(ProductMaster[[#This Row],[Product ID]],StockInData[Product ID],0)),"")</f>
        <v/>
      </c>
      <c r="H90" s="47"/>
      <c r="I90" s="61">
        <f>SUMIFS(StockInData[Quantity],StockInData[Product ID],ProductMaster!$B90)-SUMIFS(StockOutData[Quantity],StockOutData[Product ID],ProductMaster!$B90)</f>
        <v>0</v>
      </c>
      <c r="J90" s="63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3" t="s">
        <v>233</v>
      </c>
      <c r="C91" s="85" t="s">
        <v>234</v>
      </c>
      <c r="D91" s="47"/>
      <c r="E91" s="47"/>
      <c r="F91" s="48"/>
      <c r="G91" s="62" t="str">
        <f>IFERROR(INDEX(StockInData[Expiry],MATCH(ProductMaster[[#This Row],[Product ID]],StockInData[Product ID],0)),"")</f>
        <v/>
      </c>
      <c r="H91" s="47"/>
      <c r="I91" s="61">
        <f>SUMIFS(StockInData[Quantity],StockInData[Product ID],ProductMaster!$B91)-SUMIFS(StockOutData[Quantity],StockOutData[Product ID],ProductMaster!$B91)</f>
        <v>0</v>
      </c>
      <c r="J91" s="63">
        <f>SUMIFS(StockInData[Value],StockInData[Product ID],ProductMaster!$B91)-SUMIFS(StockOutData[Value],StockOutData[Product ID],ProductMaster!$B91)</f>
        <v>0</v>
      </c>
    </row>
    <row r="92" spans="1:10" hidden="1" x14ac:dyDescent="0.25">
      <c r="A92" s="82">
        <v>91</v>
      </c>
      <c r="B92" s="83" t="s">
        <v>235</v>
      </c>
      <c r="C92" s="85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3" t="s">
        <v>237</v>
      </c>
      <c r="C93" s="85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2">
        <v>93</v>
      </c>
      <c r="B94" s="83" t="s">
        <v>239</v>
      </c>
      <c r="C94" s="85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3" t="s">
        <v>241</v>
      </c>
      <c r="C95" s="85" t="s">
        <v>242</v>
      </c>
      <c r="D95" s="47"/>
      <c r="E95" s="47"/>
      <c r="F95" s="48"/>
      <c r="G95" s="62" t="str">
        <f>IFERROR(INDEX(StockInData[Expiry],MATCH(ProductMaster[[#This Row],[Product ID]],StockInData[Product ID],0)),"")</f>
        <v/>
      </c>
      <c r="H95" s="47"/>
      <c r="I95" s="61">
        <f>SUMIFS(StockInData[Quantity],StockInData[Product ID],ProductMaster!$B95)-SUMIFS(StockOutData[Quantity],StockOutData[Product ID],ProductMaster!$B95)</f>
        <v>0</v>
      </c>
      <c r="J95" s="63">
        <f>SUMIFS(StockInData[Value],StockInData[Product ID],ProductMaster!$B95)-SUMIFS(StockOutData[Value],StockOutData[Product ID],ProductMaster!$B95)</f>
        <v>0</v>
      </c>
    </row>
    <row r="96" spans="1:10" hidden="1" x14ac:dyDescent="0.25">
      <c r="A96" s="82">
        <v>95</v>
      </c>
      <c r="B96" s="83" t="s">
        <v>243</v>
      </c>
      <c r="C96" s="85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3" t="s">
        <v>245</v>
      </c>
      <c r="C97" s="85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82">
        <v>97</v>
      </c>
      <c r="B98" s="83" t="s">
        <v>247</v>
      </c>
      <c r="C98" s="85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3" t="s">
        <v>249</v>
      </c>
      <c r="C99" s="85" t="s">
        <v>250</v>
      </c>
      <c r="D99" s="47"/>
      <c r="E99" s="47"/>
      <c r="F99" s="48"/>
      <c r="G99" s="62" t="str">
        <f>IFERROR(INDEX(StockInData[Expiry],MATCH(ProductMaster[[#This Row],[Product ID]],StockInData[Product ID],0)),"")</f>
        <v/>
      </c>
      <c r="H99" s="47"/>
      <c r="I99" s="61">
        <f>SUMIFS(StockInData[Quantity],StockInData[Product ID],ProductMaster!$B99)-SUMIFS(StockOutData[Quantity],StockOutData[Product ID],ProductMaster!$B99)</f>
        <v>0</v>
      </c>
      <c r="J99" s="63">
        <f>SUMIFS(StockInData[Value],StockInData[Product ID],ProductMaster!$B99)-SUMIFS(StockOutData[Value],StockOutData[Product ID],ProductMaster!$B99)</f>
        <v>0</v>
      </c>
    </row>
    <row r="100" spans="1:10" x14ac:dyDescent="0.25">
      <c r="A100" s="82">
        <v>99</v>
      </c>
      <c r="B100" s="83" t="s">
        <v>251</v>
      </c>
      <c r="C100" s="85" t="s">
        <v>252</v>
      </c>
      <c r="D100" s="47"/>
      <c r="E100" s="47"/>
      <c r="F100" s="48"/>
      <c r="G100" s="62" t="str">
        <f>IFERROR(INDEX(StockInData[Expiry],MATCH(ProductMaster[[#This Row],[Product ID]],StockInData[Product ID],0)),"")</f>
        <v/>
      </c>
      <c r="H100" s="47"/>
      <c r="I100" s="61">
        <f>SUMIFS(StockInData[Quantity],StockInData[Product ID],ProductMaster!$B100)-SUMIFS(StockOutData[Quantity],StockOutData[Product ID],ProductMaster!$B100)</f>
        <v>0</v>
      </c>
      <c r="J100" s="63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3" t="s">
        <v>253</v>
      </c>
      <c r="C101" s="85" t="s">
        <v>254</v>
      </c>
      <c r="D101" s="47"/>
      <c r="E101" s="47"/>
      <c r="F101" s="48"/>
      <c r="G101" s="62" t="str">
        <f>IFERROR(INDEX(StockInData[Expiry],MATCH(ProductMaster[[#This Row],[Product ID]],StockInData[Product ID],0)),"")</f>
        <v/>
      </c>
      <c r="H101" s="47"/>
      <c r="I101" s="61">
        <f>SUMIFS(StockInData[Quantity],StockInData[Product ID],ProductMaster!$B101)-SUMIFS(StockOutData[Quantity],StockOutData[Product ID],ProductMaster!$B101)</f>
        <v>0</v>
      </c>
      <c r="J101" s="63">
        <f>SUMIFS(StockInData[Value],StockInData[Product ID],ProductMaster!$B101)-SUMIFS(StockOutData[Value],StockOutData[Product ID],ProductMaster!$B101)</f>
        <v>0</v>
      </c>
    </row>
    <row r="102" spans="1:10" hidden="1" x14ac:dyDescent="0.25">
      <c r="A102" s="82">
        <v>101</v>
      </c>
      <c r="B102" s="83" t="s">
        <v>255</v>
      </c>
      <c r="C102" s="85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3" t="s">
        <v>257</v>
      </c>
      <c r="C103" s="85" t="s">
        <v>258</v>
      </c>
      <c r="D103" s="47"/>
      <c r="E103" s="47"/>
      <c r="F103" s="48"/>
      <c r="G103" s="62" t="str">
        <f>IFERROR(INDEX(StockInData[Expiry],MATCH(ProductMaster[[#This Row],[Product ID]],StockInData[Product ID],0)),"")</f>
        <v/>
      </c>
      <c r="H103" s="47"/>
      <c r="I103" s="61">
        <f>SUMIFS(StockInData[Quantity],StockInData[Product ID],ProductMaster!$B103)-SUMIFS(StockOutData[Quantity],StockOutData[Product ID],ProductMaster!$B103)</f>
        <v>0</v>
      </c>
      <c r="J103" s="63">
        <f>SUMIFS(StockInData[Value],StockInData[Product ID],ProductMaster!$B103)-SUMIFS(StockOutData[Value],StockOutData[Product ID],ProductMaster!$B103)</f>
        <v>0</v>
      </c>
    </row>
    <row r="104" spans="1:10" x14ac:dyDescent="0.25">
      <c r="A104" s="82">
        <v>103</v>
      </c>
      <c r="B104" s="83" t="s">
        <v>259</v>
      </c>
      <c r="C104" s="85" t="s">
        <v>260</v>
      </c>
      <c r="D104" s="47"/>
      <c r="E104" s="47"/>
      <c r="F104" s="48"/>
      <c r="G104" s="62" t="str">
        <f>IFERROR(INDEX(StockInData[Expiry],MATCH(ProductMaster[[#This Row],[Product ID]],StockInData[Product ID],0)),"")</f>
        <v/>
      </c>
      <c r="H104" s="47"/>
      <c r="I104" s="61">
        <f>SUMIFS(StockInData[Quantity],StockInData[Product ID],ProductMaster!$B104)-SUMIFS(StockOutData[Quantity],StockOutData[Product ID],ProductMaster!$B104)</f>
        <v>0</v>
      </c>
      <c r="J104" s="63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3" t="s">
        <v>261</v>
      </c>
      <c r="C105" s="85" t="s">
        <v>262</v>
      </c>
      <c r="D105" s="47"/>
      <c r="E105" s="47"/>
      <c r="F105" s="48"/>
      <c r="G105" s="62" t="str">
        <f>IFERROR(INDEX(StockInData[Expiry],MATCH(ProductMaster[[#This Row],[Product ID]],StockInData[Product ID],0)),"")</f>
        <v/>
      </c>
      <c r="H105" s="47"/>
      <c r="I105" s="61">
        <f>SUMIFS(StockInData[Quantity],StockInData[Product ID],ProductMaster!$B105)-SUMIFS(StockOutData[Quantity],StockOutData[Product ID],ProductMaster!$B105)</f>
        <v>0</v>
      </c>
      <c r="J105" s="63">
        <f>SUMIFS(StockInData[Value],StockInData[Product ID],ProductMaster!$B105)-SUMIFS(StockOutData[Value],StockOutData[Product ID],ProductMaster!$B105)</f>
        <v>0</v>
      </c>
    </row>
    <row r="106" spans="1:10" x14ac:dyDescent="0.25">
      <c r="A106" s="82">
        <v>105</v>
      </c>
      <c r="B106" s="83" t="s">
        <v>263</v>
      </c>
      <c r="C106" s="85" t="s">
        <v>264</v>
      </c>
      <c r="D106" s="47"/>
      <c r="E106" s="47"/>
      <c r="F106" s="48"/>
      <c r="G106" s="62" t="str">
        <f>IFERROR(INDEX(StockInData[Expiry],MATCH(ProductMaster[[#This Row],[Product ID]],StockInData[Product ID],0)),"")</f>
        <v/>
      </c>
      <c r="H106" s="47"/>
      <c r="I106" s="61">
        <f>SUMIFS(StockInData[Quantity],StockInData[Product ID],ProductMaster!$B106)-SUMIFS(StockOutData[Quantity],StockOutData[Product ID],ProductMaster!$B106)</f>
        <v>0</v>
      </c>
      <c r="J106" s="63">
        <f>SUMIFS(StockInData[Value],StockInData[Product ID],ProductMaster!$B106)-SUMIFS(StockOutData[Value],StockOutData[Product ID],ProductMaster!$B106)</f>
        <v>0</v>
      </c>
    </row>
    <row r="107" spans="1:10" hidden="1" x14ac:dyDescent="0.25">
      <c r="A107" s="60">
        <v>106</v>
      </c>
      <c r="B107" s="83" t="s">
        <v>265</v>
      </c>
      <c r="C107" s="85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2">
        <v>107</v>
      </c>
      <c r="B108" s="83" t="s">
        <v>267</v>
      </c>
      <c r="C108" s="85" t="s">
        <v>268</v>
      </c>
      <c r="D108" s="47"/>
      <c r="E108" s="47"/>
      <c r="F108" s="48"/>
      <c r="G108" s="62" t="str">
        <f>IFERROR(INDEX(StockInData[Expiry],MATCH(ProductMaster[[#This Row],[Product ID]],StockInData[Product ID],0)),"")</f>
        <v/>
      </c>
      <c r="H108" s="47"/>
      <c r="I108" s="61">
        <f>SUMIFS(StockInData[Quantity],StockInData[Product ID],ProductMaster!$B108)-SUMIFS(StockOutData[Quantity],StockOutData[Product ID],ProductMaster!$B108)</f>
        <v>0</v>
      </c>
      <c r="J108" s="63">
        <f>SUMIFS(StockInData[Value],StockInData[Product ID],ProductMaster!$B108)-SUMIFS(StockOutData[Value],StockOutData[Product ID],ProductMaster!$B108)</f>
        <v>0</v>
      </c>
    </row>
    <row r="109" spans="1:10" hidden="1" x14ac:dyDescent="0.25">
      <c r="A109" s="60">
        <v>108</v>
      </c>
      <c r="B109" s="83" t="s">
        <v>269</v>
      </c>
      <c r="C109" s="85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2">
        <v>109</v>
      </c>
      <c r="B110" s="83" t="s">
        <v>271</v>
      </c>
      <c r="C110" s="85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3" t="s">
        <v>273</v>
      </c>
      <c r="C111" s="85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2">
        <v>111</v>
      </c>
      <c r="B112" s="83" t="s">
        <v>275</v>
      </c>
      <c r="C112" s="85" t="s">
        <v>276</v>
      </c>
      <c r="D112" s="47"/>
      <c r="E112" s="47"/>
      <c r="F112" s="48"/>
      <c r="G112" s="62" t="str">
        <f>IFERROR(INDEX(StockInData[Expiry],MATCH(ProductMaster[[#This Row],[Product ID]],StockInData[Product ID],0)),"")</f>
        <v/>
      </c>
      <c r="H112" s="47"/>
      <c r="I112" s="61">
        <f>SUMIFS(StockInData[Quantity],StockInData[Product ID],ProductMaster!$B112)-SUMIFS(StockOutData[Quantity],StockOutData[Product ID],ProductMaster!$B112)</f>
        <v>0</v>
      </c>
      <c r="J112" s="63">
        <f>SUMIFS(StockInData[Value],StockInData[Product ID],ProductMaster!$B112)-SUMIFS(StockOutData[Value],StockOutData[Product ID],ProductMaster!$B112)</f>
        <v>0</v>
      </c>
    </row>
    <row r="113" spans="1:10" hidden="1" x14ac:dyDescent="0.25">
      <c r="A113" s="60">
        <v>112</v>
      </c>
      <c r="B113" s="83" t="s">
        <v>277</v>
      </c>
      <c r="C113" s="85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2">
        <v>113</v>
      </c>
      <c r="B114" s="83" t="s">
        <v>279</v>
      </c>
      <c r="C114" s="85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3" t="s">
        <v>281</v>
      </c>
      <c r="C115" s="85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2">
        <v>115</v>
      </c>
      <c r="B116" s="83" t="s">
        <v>283</v>
      </c>
      <c r="C116" s="85" t="s">
        <v>284</v>
      </c>
      <c r="D116" s="47"/>
      <c r="E116" s="47"/>
      <c r="F116" s="48"/>
      <c r="G116" s="62" t="str">
        <f>IFERROR(INDEX(StockInData[Expiry],MATCH(ProductMaster[[#This Row],[Product ID]],StockInData[Product ID],0)),"")</f>
        <v/>
      </c>
      <c r="H116" s="47"/>
      <c r="I116" s="61">
        <f>SUMIFS(StockInData[Quantity],StockInData[Product ID],ProductMaster!$B116)-SUMIFS(StockOutData[Quantity],StockOutData[Product ID],ProductMaster!$B116)</f>
        <v>0</v>
      </c>
      <c r="J116" s="63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3" t="s">
        <v>285</v>
      </c>
      <c r="C117" s="85" t="s">
        <v>286</v>
      </c>
      <c r="D117" s="47"/>
      <c r="E117" s="47"/>
      <c r="F117" s="48"/>
      <c r="G117" s="62" t="str">
        <f>IFERROR(INDEX(StockInData[Expiry],MATCH(ProductMaster[[#This Row],[Product ID]],StockInData[Product ID],0)),"")</f>
        <v/>
      </c>
      <c r="H117" s="47"/>
      <c r="I117" s="61">
        <f>SUMIFS(StockInData[Quantity],StockInData[Product ID],ProductMaster!$B117)-SUMIFS(StockOutData[Quantity],StockOutData[Product ID],ProductMaster!$B117)</f>
        <v>0</v>
      </c>
      <c r="J117" s="63">
        <f>SUMIFS(StockInData[Value],StockInData[Product ID],ProductMaster!$B117)-SUMIFS(StockOutData[Value],StockOutData[Product ID],ProductMaster!$B117)</f>
        <v>0</v>
      </c>
    </row>
    <row r="118" spans="1:10" x14ac:dyDescent="0.25">
      <c r="A118" s="82">
        <v>117</v>
      </c>
      <c r="B118" s="83" t="s">
        <v>287</v>
      </c>
      <c r="C118" s="85" t="s">
        <v>288</v>
      </c>
      <c r="D118" s="47"/>
      <c r="E118" s="47"/>
      <c r="F118" s="48"/>
      <c r="G118" s="62" t="str">
        <f>IFERROR(INDEX(StockInData[Expiry],MATCH(ProductMaster[[#This Row],[Product ID]],StockInData[Product ID],0)),"")</f>
        <v/>
      </c>
      <c r="H118" s="47"/>
      <c r="I118" s="61">
        <f>SUMIFS(StockInData[Quantity],StockInData[Product ID],ProductMaster!$B118)-SUMIFS(StockOutData[Quantity],StockOutData[Product ID],ProductMaster!$B118)</f>
        <v>0</v>
      </c>
      <c r="J118" s="63">
        <f>SUMIFS(StockInData[Value],StockInData[Product ID],ProductMaster!$B118)-SUMIFS(StockOutData[Value],StockOutData[Product ID],ProductMaster!$B118)</f>
        <v>0</v>
      </c>
    </row>
    <row r="119" spans="1:10" hidden="1" x14ac:dyDescent="0.25">
      <c r="A119" s="60">
        <v>118</v>
      </c>
      <c r="B119" s="83" t="s">
        <v>289</v>
      </c>
      <c r="C119" s="85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x14ac:dyDescent="0.25">
      <c r="A120" s="82">
        <v>119</v>
      </c>
      <c r="B120" s="83" t="s">
        <v>291</v>
      </c>
      <c r="C120" s="85" t="s">
        <v>292</v>
      </c>
      <c r="D120" s="47"/>
      <c r="E120" s="47"/>
      <c r="F120" s="48"/>
      <c r="G120" s="62" t="str">
        <f>IFERROR(INDEX(StockInData[Expiry],MATCH(ProductMaster[[#This Row],[Product ID]],StockInData[Product ID],0)),"")</f>
        <v/>
      </c>
      <c r="H120" s="47"/>
      <c r="I120" s="61">
        <f>SUMIFS(StockInData[Quantity],StockInData[Product ID],ProductMaster!$B120)-SUMIFS(StockOutData[Quantity],StockOutData[Product ID],ProductMaster!$B120)</f>
        <v>0</v>
      </c>
      <c r="J120" s="63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3" t="s">
        <v>293</v>
      </c>
      <c r="C121" s="85" t="s">
        <v>294</v>
      </c>
      <c r="D121" s="47"/>
      <c r="E121" s="47"/>
      <c r="F121" s="48"/>
      <c r="G121" s="62" t="str">
        <f>IFERROR(INDEX(StockInData[Expiry],MATCH(ProductMaster[[#This Row],[Product ID]],StockInData[Product ID],0)),"")</f>
        <v/>
      </c>
      <c r="H121" s="47"/>
      <c r="I121" s="61">
        <f>SUMIFS(StockInData[Quantity],StockInData[Product ID],ProductMaster!$B121)-SUMIFS(StockOutData[Quantity],StockOutData[Product ID],ProductMaster!$B121)</f>
        <v>0</v>
      </c>
      <c r="J121" s="63">
        <f>SUMIFS(StockInData[Value],StockInData[Product ID],ProductMaster!$B121)-SUMIFS(StockOutData[Value],StockOutData[Product ID],ProductMaster!$B121)</f>
        <v>0</v>
      </c>
    </row>
    <row r="122" spans="1:10" x14ac:dyDescent="0.25">
      <c r="A122" s="82">
        <v>121</v>
      </c>
      <c r="B122" s="83" t="s">
        <v>295</v>
      </c>
      <c r="C122" s="85" t="s">
        <v>296</v>
      </c>
      <c r="D122" s="47"/>
      <c r="E122" s="47"/>
      <c r="F122" s="48"/>
      <c r="G122" s="62" t="str">
        <f>IFERROR(INDEX(StockInData[Expiry],MATCH(ProductMaster[[#This Row],[Product ID]],StockInData[Product ID],0)),"")</f>
        <v/>
      </c>
      <c r="H122" s="47"/>
      <c r="I122" s="61">
        <f>SUMIFS(StockInData[Quantity],StockInData[Product ID],ProductMaster!$B122)-SUMIFS(StockOutData[Quantity],StockOutData[Product ID],ProductMaster!$B122)</f>
        <v>0</v>
      </c>
      <c r="J122" s="63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3" t="s">
        <v>297</v>
      </c>
      <c r="C123" s="85" t="s">
        <v>298</v>
      </c>
      <c r="D123" s="47"/>
      <c r="E123" s="47"/>
      <c r="F123" s="48"/>
      <c r="G123" s="62" t="str">
        <f>IFERROR(INDEX(StockInData[Expiry],MATCH(ProductMaster[[#This Row],[Product ID]],StockInData[Product ID],0)),"")</f>
        <v/>
      </c>
      <c r="H123" s="47"/>
      <c r="I123" s="61">
        <f>SUMIFS(StockInData[Quantity],StockInData[Product ID],ProductMaster!$B123)-SUMIFS(StockOutData[Quantity],StockOutData[Product ID],ProductMaster!$B123)</f>
        <v>0</v>
      </c>
      <c r="J123" s="63">
        <f>SUMIFS(StockInData[Value],StockInData[Product ID],ProductMaster!$B123)-SUMIFS(StockOutData[Value],StockOutData[Product ID],ProductMaster!$B123)</f>
        <v>0</v>
      </c>
    </row>
    <row r="124" spans="1:10" hidden="1" x14ac:dyDescent="0.25">
      <c r="A124" s="82">
        <v>123</v>
      </c>
      <c r="B124" s="83" t="s">
        <v>299</v>
      </c>
      <c r="C124" s="85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3" t="s">
        <v>301</v>
      </c>
      <c r="C125" s="85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2">
        <v>125</v>
      </c>
      <c r="B126" s="83" t="s">
        <v>303</v>
      </c>
      <c r="C126" s="85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3" t="s">
        <v>305</v>
      </c>
      <c r="C127" s="85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2">
        <v>127</v>
      </c>
      <c r="B128" s="83" t="s">
        <v>307</v>
      </c>
      <c r="C128" s="85" t="s">
        <v>308</v>
      </c>
      <c r="D128" s="47"/>
      <c r="E128" s="47"/>
      <c r="F128" s="48"/>
      <c r="G128" s="62" t="str">
        <f>IFERROR(INDEX(StockInData[Expiry],MATCH(ProductMaster[[#This Row],[Product ID]],StockInData[Product ID],0)),"")</f>
        <v/>
      </c>
      <c r="H128" s="47"/>
      <c r="I128" s="61">
        <f>SUMIFS(StockInData[Quantity],StockInData[Product ID],ProductMaster!$B128)-SUMIFS(StockOutData[Quantity],StockOutData[Product ID],ProductMaster!$B128)</f>
        <v>0</v>
      </c>
      <c r="J128" s="63">
        <f>SUMIFS(StockInData[Value],StockInData[Product ID],ProductMaster!$B128)-SUMIFS(StockOutData[Value],StockOutData[Product ID],ProductMaster!$B128)</f>
        <v>0</v>
      </c>
    </row>
    <row r="129" spans="1:10" hidden="1" x14ac:dyDescent="0.25">
      <c r="A129" s="60">
        <v>128</v>
      </c>
      <c r="B129" s="83" t="s">
        <v>309</v>
      </c>
      <c r="C129" s="85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2">
        <v>129</v>
      </c>
      <c r="B130" s="83" t="s">
        <v>311</v>
      </c>
      <c r="C130" s="85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3" t="s">
        <v>313</v>
      </c>
      <c r="C131" s="85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2">
        <v>131</v>
      </c>
      <c r="B132" s="83" t="s">
        <v>315</v>
      </c>
      <c r="C132" s="85" t="s">
        <v>316</v>
      </c>
      <c r="D132" s="47"/>
      <c r="E132" s="47"/>
      <c r="F132" s="48"/>
      <c r="G132" s="62" t="str">
        <f>IFERROR(INDEX(StockInData[Expiry],MATCH(ProductMaster[[#This Row],[Product ID]],StockInData[Product ID],0)),"")</f>
        <v/>
      </c>
      <c r="H132" s="47"/>
      <c r="I132" s="61">
        <f>SUMIFS(StockInData[Quantity],StockInData[Product ID],ProductMaster!$B132)-SUMIFS(StockOutData[Quantity],StockOutData[Product ID],ProductMaster!$B132)</f>
        <v>0</v>
      </c>
      <c r="J132" s="63">
        <f>SUMIFS(StockInData[Value],StockInData[Product ID],ProductMaster!$B132)-SUMIFS(StockOutData[Value],StockOutData[Product ID],ProductMaster!$B132)</f>
        <v>0</v>
      </c>
    </row>
    <row r="133" spans="1:10" hidden="1" x14ac:dyDescent="0.25">
      <c r="A133" s="60">
        <v>132</v>
      </c>
      <c r="B133" s="83" t="s">
        <v>317</v>
      </c>
      <c r="C133" s="85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2">
        <v>133</v>
      </c>
      <c r="B134" s="83" t="s">
        <v>319</v>
      </c>
      <c r="C134" s="85" t="s">
        <v>320</v>
      </c>
      <c r="D134" s="47"/>
      <c r="E134" s="47"/>
      <c r="F134" s="48"/>
      <c r="G134" s="62" t="str">
        <f>IFERROR(INDEX(StockInData[Expiry],MATCH(ProductMaster[[#This Row],[Product ID]],StockInData[Product ID],0)),"")</f>
        <v/>
      </c>
      <c r="H134" s="47"/>
      <c r="I134" s="61">
        <f>SUMIFS(StockInData[Quantity],StockInData[Product ID],ProductMaster!$B134)-SUMIFS(StockOutData[Quantity],StockOutData[Product ID],ProductMaster!$B134)</f>
        <v>0</v>
      </c>
      <c r="J134" s="63">
        <f>SUMIFS(StockInData[Value],StockInData[Product ID],ProductMaster!$B134)-SUMIFS(StockOutData[Value],StockOutData[Product ID],ProductMaster!$B134)</f>
        <v>0</v>
      </c>
    </row>
    <row r="135" spans="1:10" hidden="1" x14ac:dyDescent="0.25">
      <c r="A135" s="60">
        <v>134</v>
      </c>
      <c r="B135" s="83" t="s">
        <v>321</v>
      </c>
      <c r="C135" s="85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82">
        <v>135</v>
      </c>
      <c r="B136" s="83" t="s">
        <v>323</v>
      </c>
      <c r="C136" s="85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3" t="s">
        <v>325</v>
      </c>
      <c r="C137" s="85" t="s">
        <v>326</v>
      </c>
      <c r="D137" s="47"/>
      <c r="E137" s="47"/>
      <c r="F137" s="48"/>
      <c r="G137" s="62" t="str">
        <f>IFERROR(INDEX(StockInData[Expiry],MATCH(ProductMaster[[#This Row],[Product ID]],StockInData[Product ID],0)),"")</f>
        <v/>
      </c>
      <c r="H137" s="47"/>
      <c r="I137" s="61">
        <f>SUMIFS(StockInData[Quantity],StockInData[Product ID],ProductMaster!$B137)-SUMIFS(StockOutData[Quantity],StockOutData[Product ID],ProductMaster!$B137)</f>
        <v>0</v>
      </c>
      <c r="J137" s="63">
        <f>SUMIFS(StockInData[Value],StockInData[Product ID],ProductMaster!$B137)-SUMIFS(StockOutData[Value],StockOutData[Product ID],ProductMaster!$B137)</f>
        <v>0</v>
      </c>
    </row>
    <row r="138" spans="1:10" x14ac:dyDescent="0.25">
      <c r="A138" s="82">
        <v>137</v>
      </c>
      <c r="B138" s="83" t="s">
        <v>327</v>
      </c>
      <c r="C138" s="85" t="s">
        <v>328</v>
      </c>
      <c r="D138" s="47"/>
      <c r="E138" s="47"/>
      <c r="F138" s="48"/>
      <c r="G138" s="62" t="str">
        <f>IFERROR(INDEX(StockInData[Expiry],MATCH(ProductMaster[[#This Row],[Product ID]],StockInData[Product ID],0)),"")</f>
        <v/>
      </c>
      <c r="H138" s="47"/>
      <c r="I138" s="61">
        <f>SUMIFS(StockInData[Quantity],StockInData[Product ID],ProductMaster!$B138)-SUMIFS(StockOutData[Quantity],StockOutData[Product ID],ProductMaster!$B138)</f>
        <v>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3" t="s">
        <v>329</v>
      </c>
      <c r="C139" s="85" t="s">
        <v>330</v>
      </c>
      <c r="D139" s="47"/>
      <c r="E139" s="47"/>
      <c r="F139" s="48"/>
      <c r="G139" s="62" t="str">
        <f>IFERROR(INDEX(StockInData[Expiry],MATCH(ProductMaster[[#This Row],[Product ID]],StockInData[Product ID],0)),"")</f>
        <v/>
      </c>
      <c r="H139" s="47"/>
      <c r="I139" s="61">
        <f>SUMIFS(StockInData[Quantity],StockInData[Product ID],ProductMaster!$B139)-SUMIFS(StockOutData[Quantity],StockOutData[Product ID],ProductMaster!$B139)</f>
        <v>0</v>
      </c>
      <c r="J139" s="63">
        <f>SUMIFS(StockInData[Value],StockInData[Product ID],ProductMaster!$B139)-SUMIFS(StockOutData[Value],StockOutData[Product ID],ProductMaster!$B139)</f>
        <v>0</v>
      </c>
    </row>
    <row r="140" spans="1:10" hidden="1" x14ac:dyDescent="0.25">
      <c r="A140" s="82">
        <v>139</v>
      </c>
      <c r="B140" s="83" t="s">
        <v>331</v>
      </c>
      <c r="C140" s="85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3" t="s">
        <v>333</v>
      </c>
      <c r="C141" s="85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82">
        <v>141</v>
      </c>
      <c r="B142" s="83" t="s">
        <v>335</v>
      </c>
      <c r="C142" s="85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3" t="s">
        <v>337</v>
      </c>
      <c r="C143" s="85" t="s">
        <v>338</v>
      </c>
      <c r="D143" s="47"/>
      <c r="E143" s="47"/>
      <c r="F143" s="48"/>
      <c r="G143" s="62" t="str">
        <f>IFERROR(INDEX(StockInData[Expiry],MATCH(ProductMaster[[#This Row],[Product ID]],StockInData[Product ID],0)),"")</f>
        <v/>
      </c>
      <c r="H143" s="47"/>
      <c r="I143" s="61">
        <f>SUMIFS(StockInData[Quantity],StockInData[Product ID],ProductMaster!$B143)-SUMIFS(StockOutData[Quantity],StockOutData[Product ID],ProductMaster!$B143)</f>
        <v>0</v>
      </c>
      <c r="J143" s="63">
        <f>SUMIFS(StockInData[Value],StockInData[Product ID],ProductMaster!$B143)-SUMIFS(StockOutData[Value],StockOutData[Product ID],ProductMaster!$B143)</f>
        <v>0</v>
      </c>
    </row>
    <row r="144" spans="1:10" x14ac:dyDescent="0.25">
      <c r="A144" s="82">
        <v>143</v>
      </c>
      <c r="B144" s="83" t="s">
        <v>339</v>
      </c>
      <c r="C144" s="85" t="s">
        <v>340</v>
      </c>
      <c r="D144" s="47"/>
      <c r="E144" s="47"/>
      <c r="F144" s="48"/>
      <c r="G144" s="62" t="str">
        <f>IFERROR(INDEX(StockInData[Expiry],MATCH(ProductMaster[[#This Row],[Product ID]],StockInData[Product ID],0)),"")</f>
        <v/>
      </c>
      <c r="H144" s="47"/>
      <c r="I144" s="61">
        <f>SUMIFS(StockInData[Quantity],StockInData[Product ID],ProductMaster!$B144)-SUMIFS(StockOutData[Quantity],StockOutData[Product ID],ProductMaster!$B144)</f>
        <v>0</v>
      </c>
      <c r="J144" s="63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3" t="s">
        <v>341</v>
      </c>
      <c r="C145" s="85" t="s">
        <v>342</v>
      </c>
      <c r="D145" s="47"/>
      <c r="E145" s="47"/>
      <c r="F145" s="48"/>
      <c r="G145" s="62" t="str">
        <f>IFERROR(INDEX(StockInData[Expiry],MATCH(ProductMaster[[#This Row],[Product ID]],StockInData[Product ID],0)),"")</f>
        <v/>
      </c>
      <c r="H145" s="47"/>
      <c r="I145" s="61">
        <f>SUMIFS(StockInData[Quantity],StockInData[Product ID],ProductMaster!$B145)-SUMIFS(StockOutData[Quantity],StockOutData[Product ID],ProductMaster!$B145)</f>
        <v>0</v>
      </c>
      <c r="J145" s="63">
        <f>SUMIFS(StockInData[Value],StockInData[Product ID],ProductMaster!$B145)-SUMIFS(StockOutData[Value],StockOutData[Product ID],ProductMaster!$B145)</f>
        <v>0</v>
      </c>
    </row>
    <row r="146" spans="1:10" x14ac:dyDescent="0.25">
      <c r="A146" s="82">
        <v>145</v>
      </c>
      <c r="B146" s="83" t="s">
        <v>343</v>
      </c>
      <c r="C146" s="85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0</v>
      </c>
      <c r="J146" s="63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0">
        <v>146</v>
      </c>
      <c r="B147" s="83" t="s">
        <v>345</v>
      </c>
      <c r="C147" s="85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2">
        <v>147</v>
      </c>
      <c r="B148" s="83" t="s">
        <v>347</v>
      </c>
      <c r="C148" s="85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3" t="s">
        <v>349</v>
      </c>
      <c r="C149" s="85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2">
        <v>149</v>
      </c>
      <c r="B150" s="83" t="s">
        <v>351</v>
      </c>
      <c r="C150" s="85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3" t="s">
        <v>353</v>
      </c>
      <c r="C151" s="85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2">
        <v>151</v>
      </c>
      <c r="B152" s="83" t="s">
        <v>355</v>
      </c>
      <c r="C152" s="85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3" t="s">
        <v>357</v>
      </c>
      <c r="C153" s="85" t="s">
        <v>358</v>
      </c>
      <c r="D153" s="47"/>
      <c r="E153" s="47"/>
      <c r="F153" s="48"/>
      <c r="G153" s="62" t="str">
        <f>IFERROR(INDEX(StockInData[Expiry],MATCH(ProductMaster[[#This Row],[Product ID]],StockInData[Product ID],0)),"")</f>
        <v/>
      </c>
      <c r="H153" s="47"/>
      <c r="I153" s="61">
        <f>SUMIFS(StockInData[Quantity],StockInData[Product ID],ProductMaster!$B153)-SUMIFS(StockOutData[Quantity],StockOutData[Product ID],ProductMaster!$B153)</f>
        <v>0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2">
        <v>153</v>
      </c>
      <c r="B154" s="83" t="s">
        <v>359</v>
      </c>
      <c r="C154" s="85" t="s">
        <v>360</v>
      </c>
      <c r="D154" s="47"/>
      <c r="E154" s="47"/>
      <c r="F154" s="48"/>
      <c r="G154" s="62" t="str">
        <f>IFERROR(INDEX(StockInData[Expiry],MATCH(ProductMaster[[#This Row],[Product ID]],StockInData[Product ID],0)),"")</f>
        <v/>
      </c>
      <c r="H154" s="47"/>
      <c r="I154" s="61">
        <f>SUMIFS(StockInData[Quantity],StockInData[Product ID],ProductMaster!$B154)-SUMIFS(StockOutData[Quantity],StockOutData[Product ID],ProductMaster!$B154)</f>
        <v>0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3" t="s">
        <v>361</v>
      </c>
      <c r="C155" s="85" t="s">
        <v>362</v>
      </c>
      <c r="D155" s="47"/>
      <c r="E155" s="47"/>
      <c r="F155" s="48"/>
      <c r="G155" s="62" t="str">
        <f>IFERROR(INDEX(StockInData[Expiry],MATCH(ProductMaster[[#This Row],[Product ID]],StockInData[Product ID],0)),"")</f>
        <v/>
      </c>
      <c r="H155" s="47"/>
      <c r="I155" s="61">
        <f>SUMIFS(StockInData[Quantity],StockInData[Product ID],ProductMaster!$B155)-SUMIFS(StockOutData[Quantity],StockOutData[Product ID],ProductMaster!$B155)</f>
        <v>0</v>
      </c>
      <c r="J155" s="63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82">
        <v>155</v>
      </c>
      <c r="B156" s="83" t="s">
        <v>363</v>
      </c>
      <c r="C156" s="85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3" t="s">
        <v>365</v>
      </c>
      <c r="C157" s="85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2">
        <v>157</v>
      </c>
      <c r="B158" s="83" t="s">
        <v>367</v>
      </c>
      <c r="C158" s="85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3" t="s">
        <v>369</v>
      </c>
      <c r="C159" s="85" t="s">
        <v>370</v>
      </c>
      <c r="D159" s="47"/>
      <c r="E159" s="47"/>
      <c r="F159" s="48"/>
      <c r="G159" s="62" t="str">
        <f>IFERROR(INDEX(StockInData[Expiry],MATCH(ProductMaster[[#This Row],[Product ID]],StockInData[Product ID],0)),"")</f>
        <v/>
      </c>
      <c r="H159" s="47"/>
      <c r="I159" s="61">
        <f>SUMIFS(StockInData[Quantity],StockInData[Product ID],ProductMaster!$B159)-SUMIFS(StockOutData[Quantity],StockOutData[Product ID],ProductMaster!$B159)</f>
        <v>0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2">
        <v>159</v>
      </c>
      <c r="B160" s="83" t="s">
        <v>371</v>
      </c>
      <c r="C160" s="85" t="s">
        <v>372</v>
      </c>
      <c r="D160" s="47"/>
      <c r="E160" s="47"/>
      <c r="F160" s="48"/>
      <c r="G160" s="62" t="str">
        <f>IFERROR(INDEX(StockInData[Expiry],MATCH(ProductMaster[[#This Row],[Product ID]],StockInData[Product ID],0)),"")</f>
        <v/>
      </c>
      <c r="H160" s="47"/>
      <c r="I160" s="61">
        <f>SUMIFS(StockInData[Quantity],StockInData[Product ID],ProductMaster!$B160)-SUMIFS(StockOutData[Quantity],StockOutData[Product ID],ProductMaster!$B160)</f>
        <v>0</v>
      </c>
      <c r="J160" s="63">
        <f>SUMIFS(StockInData[Value],StockInData[Product ID],ProductMaster!$B160)-SUMIFS(StockOutData[Value],StockOutData[Product ID],ProductMaster!$B160)</f>
        <v>0</v>
      </c>
    </row>
    <row r="161" spans="1:10" hidden="1" x14ac:dyDescent="0.25">
      <c r="A161" s="60">
        <v>160</v>
      </c>
      <c r="B161" s="83" t="s">
        <v>373</v>
      </c>
      <c r="C161" s="85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2">
        <v>161</v>
      </c>
      <c r="B162" s="83" t="s">
        <v>375</v>
      </c>
      <c r="C162" s="85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3" t="s">
        <v>377</v>
      </c>
      <c r="C163" s="85" t="s">
        <v>378</v>
      </c>
      <c r="D163" s="47"/>
      <c r="E163" s="47"/>
      <c r="F163" s="48"/>
      <c r="G163" s="62" t="str">
        <f>IFERROR(INDEX(StockInData[Expiry],MATCH(ProductMaster[[#This Row],[Product ID]],StockInData[Product ID],0)),"")</f>
        <v/>
      </c>
      <c r="H163" s="47"/>
      <c r="I163" s="61">
        <f>SUMIFS(StockInData[Quantity],StockInData[Product ID],ProductMaster!$B163)-SUMIFS(StockOutData[Quantity],StockOutData[Product ID],ProductMaster!$B163)</f>
        <v>0</v>
      </c>
      <c r="J163" s="63">
        <f>SUMIFS(StockInData[Value],StockInData[Product ID],ProductMaster!$B163)-SUMIFS(StockOutData[Value],StockOutData[Product ID],ProductMaster!$B163)</f>
        <v>0</v>
      </c>
    </row>
    <row r="164" spans="1:10" x14ac:dyDescent="0.25">
      <c r="A164" s="82">
        <v>163</v>
      </c>
      <c r="B164" s="83" t="s">
        <v>379</v>
      </c>
      <c r="C164" s="85" t="s">
        <v>380</v>
      </c>
      <c r="D164" s="47"/>
      <c r="E164" s="47"/>
      <c r="F164" s="48"/>
      <c r="G164" s="62" t="str">
        <f>IFERROR(INDEX(StockInData[Expiry],MATCH(ProductMaster[[#This Row],[Product ID]],StockInData[Product ID],0)),"")</f>
        <v/>
      </c>
      <c r="H164" s="47"/>
      <c r="I164" s="61">
        <f>SUMIFS(StockInData[Quantity],StockInData[Product ID],ProductMaster!$B164)-SUMIFS(StockOutData[Quantity],StockOutData[Product ID],ProductMaster!$B164)</f>
        <v>0</v>
      </c>
      <c r="J164" s="63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3" t="s">
        <v>381</v>
      </c>
      <c r="C165" s="85" t="s">
        <v>382</v>
      </c>
      <c r="D165" s="47"/>
      <c r="E165" s="47"/>
      <c r="F165" s="48"/>
      <c r="G165" s="62" t="str">
        <f>IFERROR(INDEX(StockInData[Expiry],MATCH(ProductMaster[[#This Row],[Product ID]],StockInData[Product ID],0)),"")</f>
        <v/>
      </c>
      <c r="H165" s="47"/>
      <c r="I165" s="61">
        <f>SUMIFS(StockInData[Quantity],StockInData[Product ID],ProductMaster!$B165)-SUMIFS(StockOutData[Quantity],StockOutData[Product ID],ProductMaster!$B165)</f>
        <v>0</v>
      </c>
      <c r="J165" s="63">
        <f>SUMIFS(StockInData[Value],StockInData[Product ID],ProductMaster!$B165)-SUMIFS(StockOutData[Value],StockOutData[Product ID],ProductMaster!$B165)</f>
        <v>0</v>
      </c>
    </row>
    <row r="166" spans="1:10" hidden="1" x14ac:dyDescent="0.25">
      <c r="A166" s="82">
        <v>165</v>
      </c>
      <c r="B166" s="83" t="s">
        <v>383</v>
      </c>
      <c r="C166" s="85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3" t="s">
        <v>385</v>
      </c>
      <c r="C167" s="85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82">
        <v>167</v>
      </c>
      <c r="B168" s="83" t="s">
        <v>387</v>
      </c>
      <c r="C168" s="85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3" t="s">
        <v>389</v>
      </c>
      <c r="C169" s="85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2">
        <v>169</v>
      </c>
      <c r="B170" s="83" t="s">
        <v>391</v>
      </c>
      <c r="C170" s="85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3" t="s">
        <v>393</v>
      </c>
      <c r="C171" s="85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2">
        <v>171</v>
      </c>
      <c r="B172" s="83" t="s">
        <v>395</v>
      </c>
      <c r="C172" s="85" t="s">
        <v>396</v>
      </c>
      <c r="D172" s="47"/>
      <c r="E172" s="47"/>
      <c r="F172" s="48"/>
      <c r="G172" s="62" t="str">
        <f>IFERROR(INDEX(StockInData[Expiry],MATCH(ProductMaster[[#This Row],[Product ID]],StockInData[Product ID],0)),"")</f>
        <v/>
      </c>
      <c r="H172" s="47"/>
      <c r="I172" s="61">
        <f>SUMIFS(StockInData[Quantity],StockInData[Product ID],ProductMaster!$B172)-SUMIFS(StockOutData[Quantity],StockOutData[Product ID],ProductMaster!$B172)</f>
        <v>0</v>
      </c>
      <c r="J172" s="63">
        <f>SUMIFS(StockInData[Value],StockInData[Product ID],ProductMaster!$B172)-SUMIFS(StockOutData[Value],StockOutData[Product ID],ProductMaster!$B172)</f>
        <v>0</v>
      </c>
    </row>
    <row r="173" spans="1:10" hidden="1" x14ac:dyDescent="0.25">
      <c r="A173" s="60">
        <v>172</v>
      </c>
      <c r="B173" s="83" t="s">
        <v>397</v>
      </c>
      <c r="C173" s="85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2">
        <v>173</v>
      </c>
      <c r="B174" s="83" t="s">
        <v>399</v>
      </c>
      <c r="C174" s="85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3" t="s">
        <v>401</v>
      </c>
      <c r="C175" s="85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2">
        <v>175</v>
      </c>
      <c r="B176" s="83" t="s">
        <v>403</v>
      </c>
      <c r="C176" s="85" t="s">
        <v>404</v>
      </c>
      <c r="D176" s="47"/>
      <c r="E176" s="47"/>
      <c r="F176" s="48"/>
      <c r="G176" s="62" t="str">
        <f>IFERROR(INDEX(StockInData[Expiry],MATCH(ProductMaster[[#This Row],[Product ID]],StockInData[Product ID],0)),"")</f>
        <v/>
      </c>
      <c r="H176" s="47"/>
      <c r="I176" s="61">
        <f>SUMIFS(StockInData[Quantity],StockInData[Product ID],ProductMaster!$B176)-SUMIFS(StockOutData[Quantity],StockOutData[Product ID],ProductMaster!$B176)</f>
        <v>0</v>
      </c>
      <c r="J176" s="63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3" t="s">
        <v>405</v>
      </c>
      <c r="C177" s="85" t="s">
        <v>406</v>
      </c>
      <c r="D177" s="47"/>
      <c r="E177" s="47"/>
      <c r="F177" s="48"/>
      <c r="G177" s="62" t="str">
        <f>IFERROR(INDEX(StockInData[Expiry],MATCH(ProductMaster[[#This Row],[Product ID]],StockInData[Product ID],0)),"")</f>
        <v/>
      </c>
      <c r="H177" s="47"/>
      <c r="I177" s="61">
        <f>SUMIFS(StockInData[Quantity],StockInData[Product ID],ProductMaster!$B177)-SUMIFS(StockOutData[Quantity],StockOutData[Product ID],ProductMaster!$B177)</f>
        <v>0</v>
      </c>
      <c r="J177" s="63">
        <f>SUMIFS(StockInData[Value],StockInData[Product ID],ProductMaster!$B177)-SUMIFS(StockOutData[Value],StockOutData[Product ID],ProductMaster!$B177)</f>
        <v>0</v>
      </c>
    </row>
    <row r="178" spans="1:10" hidden="1" x14ac:dyDescent="0.25">
      <c r="A178" s="82">
        <v>177</v>
      </c>
      <c r="B178" s="83" t="s">
        <v>407</v>
      </c>
      <c r="C178" s="85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3" t="s">
        <v>409</v>
      </c>
      <c r="C179" s="85" t="s">
        <v>410</v>
      </c>
      <c r="D179" s="47"/>
      <c r="E179" s="47"/>
      <c r="F179" s="48"/>
      <c r="G179" s="62" t="str">
        <f>IFERROR(INDEX(StockInData[Expiry],MATCH(ProductMaster[[#This Row],[Product ID]],StockInData[Product ID],0)),"")</f>
        <v/>
      </c>
      <c r="H179" s="47"/>
      <c r="I179" s="61">
        <f>SUMIFS(StockInData[Quantity],StockInData[Product ID],ProductMaster!$B179)-SUMIFS(StockOutData[Quantity],StockOutData[Product ID],ProductMaster!$B179)</f>
        <v>0</v>
      </c>
      <c r="J179" s="63">
        <f>SUMIFS(StockInData[Value],StockInData[Product ID],ProductMaster!$B179)-SUMIFS(StockOutData[Value],StockOutData[Product ID],ProductMaster!$B179)</f>
        <v>0</v>
      </c>
    </row>
    <row r="180" spans="1:10" x14ac:dyDescent="0.25">
      <c r="A180" s="82">
        <v>179</v>
      </c>
      <c r="B180" s="83" t="s">
        <v>411</v>
      </c>
      <c r="C180" s="85" t="s">
        <v>412</v>
      </c>
      <c r="D180" s="47"/>
      <c r="E180" s="47"/>
      <c r="F180" s="48"/>
      <c r="G180" s="62" t="str">
        <f>IFERROR(INDEX(StockInData[Expiry],MATCH(ProductMaster[[#This Row],[Product ID]],StockInData[Product ID],0)),"")</f>
        <v/>
      </c>
      <c r="H180" s="47"/>
      <c r="I180" s="61">
        <f>SUMIFS(StockInData[Quantity],StockInData[Product ID],ProductMaster!$B180)-SUMIFS(StockOutData[Quantity],StockOutData[Product ID],ProductMaster!$B180)</f>
        <v>0</v>
      </c>
      <c r="J180" s="63">
        <f>SUMIFS(StockInData[Value],StockInData[Product ID],ProductMaster!$B180)-SUMIFS(StockOutData[Value],StockOutData[Product ID],ProductMaster!$B180)</f>
        <v>0</v>
      </c>
    </row>
    <row r="181" spans="1:10" hidden="1" x14ac:dyDescent="0.25">
      <c r="A181" s="60">
        <v>180</v>
      </c>
      <c r="B181" s="83" t="s">
        <v>413</v>
      </c>
      <c r="C181" s="85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82">
        <v>181</v>
      </c>
      <c r="B182" s="83" t="s">
        <v>415</v>
      </c>
      <c r="C182" s="85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3" t="s">
        <v>417</v>
      </c>
      <c r="C183" s="85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82">
        <v>183</v>
      </c>
      <c r="B184" s="83" t="s">
        <v>419</v>
      </c>
      <c r="C184" s="85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3" t="s">
        <v>421</v>
      </c>
      <c r="C185" s="85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82">
        <v>185</v>
      </c>
      <c r="B186" s="83" t="s">
        <v>423</v>
      </c>
      <c r="C186" s="85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3" t="s">
        <v>425</v>
      </c>
      <c r="C187" s="85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2">
        <v>187</v>
      </c>
      <c r="B188" s="83" t="s">
        <v>427</v>
      </c>
      <c r="C188" s="85" t="s">
        <v>428</v>
      </c>
      <c r="D188" s="47"/>
      <c r="E188" s="47"/>
      <c r="F188" s="48"/>
      <c r="G188" s="62" t="str">
        <f>IFERROR(INDEX(StockInData[Expiry],MATCH(ProductMaster[[#This Row],[Product ID]],StockInData[Product ID],0)),"")</f>
        <v/>
      </c>
      <c r="H188" s="47"/>
      <c r="I188" s="61">
        <f>SUMIFS(StockInData[Quantity],StockInData[Product ID],ProductMaster!$B188)-SUMIFS(StockOutData[Quantity],StockOutData[Product ID],ProductMaster!$B188)</f>
        <v>0</v>
      </c>
      <c r="J188" s="63">
        <f>SUMIFS(StockInData[Value],StockInData[Product ID],ProductMaster!$B188)-SUMIFS(StockOutData[Value],StockOutData[Product ID],ProductMaster!$B188)</f>
        <v>0</v>
      </c>
    </row>
    <row r="189" spans="1:10" hidden="1" x14ac:dyDescent="0.25">
      <c r="A189" s="60">
        <v>188</v>
      </c>
      <c r="B189" s="83" t="s">
        <v>429</v>
      </c>
      <c r="C189" s="85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2">
        <v>189</v>
      </c>
      <c r="B190" s="83" t="s">
        <v>431</v>
      </c>
      <c r="C190" s="85" t="s">
        <v>432</v>
      </c>
      <c r="D190" s="47"/>
      <c r="E190" s="47"/>
      <c r="F190" s="48"/>
      <c r="G190" s="62" t="str">
        <f>IFERROR(INDEX(StockInData[Expiry],MATCH(ProductMaster[[#This Row],[Product ID]],StockInData[Product ID],0)),"")</f>
        <v/>
      </c>
      <c r="H190" s="47"/>
      <c r="I190" s="61">
        <f>SUMIFS(StockInData[Quantity],StockInData[Product ID],ProductMaster!$B190)-SUMIFS(StockOutData[Quantity],StockOutData[Product ID],ProductMaster!$B190)</f>
        <v>0</v>
      </c>
      <c r="J190" s="63">
        <f>SUMIFS(StockInData[Value],StockInData[Product ID],ProductMaster!$B190)-SUMIFS(StockOutData[Value],StockOutData[Product ID],ProductMaster!$B190)</f>
        <v>0</v>
      </c>
    </row>
    <row r="191" spans="1:10" x14ac:dyDescent="0.25">
      <c r="A191" s="60">
        <v>190</v>
      </c>
      <c r="B191" s="83" t="s">
        <v>433</v>
      </c>
      <c r="C191" s="85" t="s">
        <v>434</v>
      </c>
      <c r="D191" s="47"/>
      <c r="E191" s="47"/>
      <c r="F191" s="48"/>
      <c r="G191" s="62" t="str">
        <f>IFERROR(INDEX(StockInData[Expiry],MATCH(ProductMaster[[#This Row],[Product ID]],StockInData[Product ID],0)),"")</f>
        <v/>
      </c>
      <c r="H191" s="47"/>
      <c r="I191" s="61">
        <f>SUMIFS(StockInData[Quantity],StockInData[Product ID],ProductMaster!$B191)-SUMIFS(StockOutData[Quantity],StockOutData[Product ID],ProductMaster!$B191)</f>
        <v>0</v>
      </c>
      <c r="J191" s="63">
        <f>SUMIFS(StockInData[Value],StockInData[Product ID],ProductMaster!$B191)-SUMIFS(StockOutData[Value],StockOutData[Product ID],ProductMaster!$B191)</f>
        <v>0</v>
      </c>
    </row>
    <row r="192" spans="1:10" x14ac:dyDescent="0.25">
      <c r="A192" s="82">
        <v>191</v>
      </c>
      <c r="B192" s="83" t="s">
        <v>435</v>
      </c>
      <c r="C192" s="85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0</v>
      </c>
      <c r="J192" s="63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3" t="s">
        <v>437</v>
      </c>
      <c r="C193" s="85" t="s">
        <v>438</v>
      </c>
      <c r="D193" s="47"/>
      <c r="E193" s="47"/>
      <c r="F193" s="48"/>
      <c r="G193" s="62" t="str">
        <f>IFERROR(INDEX(StockInData[Expiry],MATCH(ProductMaster[[#This Row],[Product ID]],StockInData[Product ID],0)),"")</f>
        <v/>
      </c>
      <c r="H193" s="47"/>
      <c r="I193" s="61">
        <f>SUMIFS(StockInData[Quantity],StockInData[Product ID],ProductMaster!$B193)-SUMIFS(StockOutData[Quantity],StockOutData[Product ID],ProductMaster!$B193)</f>
        <v>0</v>
      </c>
      <c r="J193" s="63">
        <f>SUMIFS(StockInData[Value],StockInData[Product ID],ProductMaster!$B193)-SUMIFS(StockOutData[Value],StockOutData[Product ID],ProductMaster!$B193)</f>
        <v>0</v>
      </c>
    </row>
    <row r="194" spans="1:10" x14ac:dyDescent="0.25">
      <c r="A194" s="82">
        <v>193</v>
      </c>
      <c r="B194" s="83" t="s">
        <v>439</v>
      </c>
      <c r="C194" s="85" t="s">
        <v>440</v>
      </c>
      <c r="D194" s="47"/>
      <c r="E194" s="47"/>
      <c r="F194" s="48"/>
      <c r="G194" s="62" t="str">
        <f>IFERROR(INDEX(StockInData[Expiry],MATCH(ProductMaster[[#This Row],[Product ID]],StockInData[Product ID],0)),"")</f>
        <v/>
      </c>
      <c r="H194" s="47"/>
      <c r="I194" s="61">
        <f>SUMIFS(StockInData[Quantity],StockInData[Product ID],ProductMaster!$B194)-SUMIFS(StockOutData[Quantity],StockOutData[Product ID],ProductMaster!$B194)</f>
        <v>0</v>
      </c>
      <c r="J194" s="63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3" t="s">
        <v>441</v>
      </c>
      <c r="C195" s="85" t="s">
        <v>442</v>
      </c>
      <c r="D195" s="47"/>
      <c r="E195" s="47"/>
      <c r="F195" s="48"/>
      <c r="G195" s="62" t="str">
        <f>IFERROR(INDEX(StockInData[Expiry],MATCH(ProductMaster[[#This Row],[Product ID]],StockInData[Product ID],0)),"")</f>
        <v/>
      </c>
      <c r="H195" s="47"/>
      <c r="I195" s="61">
        <f>SUMIFS(StockInData[Quantity],StockInData[Product ID],ProductMaster!$B195)-SUMIFS(StockOutData[Quantity],StockOutData[Product ID],ProductMaster!$B195)</f>
        <v>0</v>
      </c>
      <c r="J195" s="63">
        <f>SUMIFS(StockInData[Value],StockInData[Product ID],ProductMaster!$B195)-SUMIFS(StockOutData[Value],StockOutData[Product ID],ProductMaster!$B195)</f>
        <v>0</v>
      </c>
    </row>
    <row r="196" spans="1:10" hidden="1" x14ac:dyDescent="0.25">
      <c r="A196" s="82">
        <v>195</v>
      </c>
      <c r="B196" s="83" t="s">
        <v>443</v>
      </c>
      <c r="C196" s="85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3" t="s">
        <v>445</v>
      </c>
      <c r="C197" s="85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2">
        <v>197</v>
      </c>
      <c r="B198" s="83" t="s">
        <v>447</v>
      </c>
      <c r="C198" s="85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3" t="s">
        <v>449</v>
      </c>
      <c r="C199" s="85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2">
        <v>199</v>
      </c>
      <c r="B200" s="83" t="s">
        <v>451</v>
      </c>
      <c r="C200" s="85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3" t="s">
        <v>453</v>
      </c>
      <c r="C201" s="85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2">
        <v>201</v>
      </c>
      <c r="B202" s="83" t="s">
        <v>455</v>
      </c>
      <c r="C202" s="85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3" t="s">
        <v>457</v>
      </c>
      <c r="C203" s="85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2">
        <v>203</v>
      </c>
      <c r="B204" s="83" t="s">
        <v>459</v>
      </c>
      <c r="C204" s="85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3" t="s">
        <v>461</v>
      </c>
      <c r="C205" s="85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2">
        <v>205</v>
      </c>
      <c r="B206" s="83" t="s">
        <v>463</v>
      </c>
      <c r="C206" s="85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3" t="s">
        <v>465</v>
      </c>
      <c r="C207" s="85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x14ac:dyDescent="0.25">
      <c r="A208" s="82">
        <v>207</v>
      </c>
      <c r="B208" s="83" t="s">
        <v>467</v>
      </c>
      <c r="C208" s="85" t="s">
        <v>468</v>
      </c>
      <c r="D208" s="47"/>
      <c r="E208" s="47"/>
      <c r="F208" s="48"/>
      <c r="G208" s="62" t="str">
        <f>IFERROR(INDEX(StockInData[Expiry],MATCH(ProductMaster[[#This Row],[Product ID]],StockInData[Product ID],0)),"")</f>
        <v/>
      </c>
      <c r="H208" s="47"/>
      <c r="I208" s="61">
        <f>SUMIFS(StockInData[Quantity],StockInData[Product ID],ProductMaster!$B208)-SUMIFS(StockOutData[Quantity],StockOutData[Product ID],ProductMaster!$B208)</f>
        <v>0</v>
      </c>
      <c r="J208" s="63">
        <f>SUMIFS(StockInData[Value],StockInData[Product ID],ProductMaster!$B208)-SUMIFS(StockOutData[Value],StockOutData[Product ID],ProductMaster!$B208)</f>
        <v>0</v>
      </c>
    </row>
    <row r="209" spans="1:10" hidden="1" x14ac:dyDescent="0.25">
      <c r="A209" s="60">
        <v>208</v>
      </c>
      <c r="B209" s="83" t="s">
        <v>469</v>
      </c>
      <c r="C209" s="85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2">
        <v>209</v>
      </c>
      <c r="B210" s="83" t="s">
        <v>471</v>
      </c>
      <c r="C210" s="85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3" t="s">
        <v>473</v>
      </c>
      <c r="C211" s="85" t="s">
        <v>474</v>
      </c>
      <c r="D211" s="47"/>
      <c r="E211" s="47"/>
      <c r="F211" s="48"/>
      <c r="G211" s="62" t="str">
        <f>IFERROR(INDEX(StockInData[Expiry],MATCH(ProductMaster[[#This Row],[Product ID]],StockInData[Product ID],0)),"")</f>
        <v/>
      </c>
      <c r="H211" s="47"/>
      <c r="I211" s="61">
        <f>SUMIFS(StockInData[Quantity],StockInData[Product ID],ProductMaster!$B211)-SUMIFS(StockOutData[Quantity],StockOutData[Product ID],ProductMaster!$B211)</f>
        <v>0</v>
      </c>
      <c r="J211" s="63">
        <f>SUMIFS(StockInData[Value],StockInData[Product ID],ProductMaster!$B211)-SUMIFS(StockOutData[Value],StockOutData[Product ID],ProductMaster!$B211)</f>
        <v>0</v>
      </c>
    </row>
    <row r="212" spans="1:10" hidden="1" x14ac:dyDescent="0.25">
      <c r="A212" s="82">
        <v>211</v>
      </c>
      <c r="B212" s="83" t="s">
        <v>475</v>
      </c>
      <c r="C212" s="85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3" t="s">
        <v>477</v>
      </c>
      <c r="C213" s="85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2">
        <v>213</v>
      </c>
      <c r="B214" s="83" t="s">
        <v>479</v>
      </c>
      <c r="C214" s="85" t="s">
        <v>480</v>
      </c>
      <c r="D214" s="47"/>
      <c r="E214" s="47"/>
      <c r="F214" s="48"/>
      <c r="G214" s="62" t="str">
        <f>IFERROR(INDEX(StockInData[Expiry],MATCH(ProductMaster[[#This Row],[Product ID]],StockInData[Product ID],0)),"")</f>
        <v/>
      </c>
      <c r="H214" s="47"/>
      <c r="I214" s="61">
        <f>SUMIFS(StockInData[Quantity],StockInData[Product ID],ProductMaster!$B214)-SUMIFS(StockOutData[Quantity],StockOutData[Product ID],ProductMaster!$B214)</f>
        <v>0</v>
      </c>
      <c r="J214" s="63">
        <f>SUMIFS(StockInData[Value],StockInData[Product ID],ProductMaster!$B214)-SUMIFS(StockOutData[Value],StockOutData[Product ID],ProductMaster!$B214)</f>
        <v>0</v>
      </c>
    </row>
    <row r="215" spans="1:10" hidden="1" x14ac:dyDescent="0.25">
      <c r="A215" s="60">
        <v>214</v>
      </c>
      <c r="B215" s="83" t="s">
        <v>481</v>
      </c>
      <c r="C215" s="85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82">
        <v>215</v>
      </c>
      <c r="B216" s="83" t="s">
        <v>483</v>
      </c>
      <c r="C216" s="85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3" t="s">
        <v>485</v>
      </c>
      <c r="C217" s="85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2">
        <v>217</v>
      </c>
      <c r="B218" s="83" t="s">
        <v>487</v>
      </c>
      <c r="C218" s="85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3" t="s">
        <v>489</v>
      </c>
      <c r="C219" s="85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2">
        <v>219</v>
      </c>
      <c r="B220" s="83" t="s">
        <v>491</v>
      </c>
      <c r="C220" s="85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3" t="s">
        <v>493</v>
      </c>
      <c r="C221" s="85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2">
        <v>221</v>
      </c>
      <c r="B222" s="83" t="s">
        <v>495</v>
      </c>
      <c r="C222" s="85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3" t="s">
        <v>497</v>
      </c>
      <c r="C223" s="85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2">
        <v>223</v>
      </c>
      <c r="B224" s="83" t="s">
        <v>499</v>
      </c>
      <c r="C224" s="85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3" t="s">
        <v>501</v>
      </c>
      <c r="C225" s="85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2">
        <v>225</v>
      </c>
      <c r="B226" s="83" t="s">
        <v>503</v>
      </c>
      <c r="C226" s="85" t="s">
        <v>504</v>
      </c>
      <c r="D226" s="47"/>
      <c r="E226" s="47"/>
      <c r="F226" s="48"/>
      <c r="G226" s="62" t="str">
        <f>IFERROR(INDEX(StockInData[Expiry],MATCH(ProductMaster[[#This Row],[Product ID]],StockInData[Product ID],0)),"")</f>
        <v/>
      </c>
      <c r="H226" s="47"/>
      <c r="I226" s="61">
        <f>SUMIFS(StockInData[Quantity],StockInData[Product ID],ProductMaster!$B226)-SUMIFS(StockOutData[Quantity],StockOutData[Product ID],ProductMaster!$B226)</f>
        <v>0</v>
      </c>
      <c r="J226" s="63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3" t="s">
        <v>505</v>
      </c>
      <c r="C227" s="85" t="s">
        <v>506</v>
      </c>
      <c r="D227" s="47"/>
      <c r="E227" s="47"/>
      <c r="F227" s="48"/>
      <c r="G227" s="62" t="str">
        <f>IFERROR(INDEX(StockInData[Expiry],MATCH(ProductMaster[[#This Row],[Product ID]],StockInData[Product ID],0)),"")</f>
        <v/>
      </c>
      <c r="H227" s="47"/>
      <c r="I227" s="61">
        <f>SUMIFS(StockInData[Quantity],StockInData[Product ID],ProductMaster!$B227)-SUMIFS(StockOutData[Quantity],StockOutData[Product ID],ProductMaster!$B227)</f>
        <v>0</v>
      </c>
      <c r="J227" s="63">
        <f>SUMIFS(StockInData[Value],StockInData[Product ID],ProductMaster!$B227)-SUMIFS(StockOutData[Value],StockOutData[Product ID],ProductMaster!$B227)</f>
        <v>0</v>
      </c>
    </row>
    <row r="228" spans="1:10" x14ac:dyDescent="0.25">
      <c r="A228" s="82">
        <v>227</v>
      </c>
      <c r="B228" s="83" t="s">
        <v>507</v>
      </c>
      <c r="C228" s="85" t="s">
        <v>508</v>
      </c>
      <c r="D228" s="47"/>
      <c r="E228" s="47"/>
      <c r="F228" s="48"/>
      <c r="G228" s="62" t="str">
        <f>IFERROR(INDEX(StockInData[Expiry],MATCH(ProductMaster[[#This Row],[Product ID]],StockInData[Product ID],0)),"")</f>
        <v/>
      </c>
      <c r="H228" s="47"/>
      <c r="I228" s="61">
        <f>SUMIFS(StockInData[Quantity],StockInData[Product ID],ProductMaster!$B228)-SUMIFS(StockOutData[Quantity],StockOutData[Product ID],ProductMaster!$B228)</f>
        <v>0</v>
      </c>
      <c r="J228" s="63">
        <f>SUMIFS(StockInData[Value],StockInData[Product ID],ProductMaster!$B228)-SUMIFS(StockOutData[Value],StockOutData[Product ID],ProductMaster!$B228)</f>
        <v>0</v>
      </c>
    </row>
    <row r="229" spans="1:10" hidden="1" x14ac:dyDescent="0.25">
      <c r="A229" s="60">
        <v>228</v>
      </c>
      <c r="B229" s="83" t="s">
        <v>509</v>
      </c>
      <c r="C229" s="85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2">
        <v>229</v>
      </c>
      <c r="B230" s="83" t="s">
        <v>511</v>
      </c>
      <c r="C230" s="85" t="s">
        <v>512</v>
      </c>
      <c r="D230" s="47"/>
      <c r="E230" s="47"/>
      <c r="F230" s="48"/>
      <c r="G230" s="62" t="str">
        <f>IFERROR(INDEX(StockInData[Expiry],MATCH(ProductMaster[[#This Row],[Product ID]],StockInData[Product ID],0)),"")</f>
        <v/>
      </c>
      <c r="H230" s="47"/>
      <c r="I230" s="61">
        <f>SUMIFS(StockInData[Quantity],StockInData[Product ID],ProductMaster!$B230)-SUMIFS(StockOutData[Quantity],StockOutData[Product ID],ProductMaster!$B230)</f>
        <v>0</v>
      </c>
      <c r="J230" s="63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3" t="s">
        <v>513</v>
      </c>
      <c r="C231" s="85" t="s">
        <v>514</v>
      </c>
      <c r="D231" s="47"/>
      <c r="E231" s="47"/>
      <c r="F231" s="48"/>
      <c r="G231" s="62" t="str">
        <f>IFERROR(INDEX(StockInData[Expiry],MATCH(ProductMaster[[#This Row],[Product ID]],StockInData[Product ID],0)),"")</f>
        <v/>
      </c>
      <c r="H231" s="47"/>
      <c r="I231" s="61">
        <f>SUMIFS(StockInData[Quantity],StockInData[Product ID],ProductMaster!$B231)-SUMIFS(StockOutData[Quantity],StockOutData[Product ID],ProductMaster!$B231)</f>
        <v>0</v>
      </c>
      <c r="J231" s="63">
        <f>SUMIFS(StockInData[Value],StockInData[Product ID],ProductMaster!$B231)-SUMIFS(StockOutData[Value],StockOutData[Product ID],ProductMaster!$B231)</f>
        <v>0</v>
      </c>
    </row>
    <row r="232" spans="1:10" hidden="1" x14ac:dyDescent="0.25">
      <c r="A232" s="82">
        <v>231</v>
      </c>
      <c r="B232" s="83" t="s">
        <v>515</v>
      </c>
      <c r="C232" s="85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3" t="s">
        <v>517</v>
      </c>
      <c r="C233" s="85" t="s">
        <v>518</v>
      </c>
      <c r="D233" s="47"/>
      <c r="E233" s="47"/>
      <c r="F233" s="48"/>
      <c r="G233" s="62" t="str">
        <f>IFERROR(INDEX(StockInData[Expiry],MATCH(ProductMaster[[#This Row],[Product ID]],StockInData[Product ID],0)),"")</f>
        <v/>
      </c>
      <c r="H233" s="47"/>
      <c r="I233" s="61">
        <f>SUMIFS(StockInData[Quantity],StockInData[Product ID],ProductMaster!$B233)-SUMIFS(StockOutData[Quantity],StockOutData[Product ID],ProductMaster!$B233)</f>
        <v>0</v>
      </c>
      <c r="J233" s="63">
        <f>SUMIFS(StockInData[Value],StockInData[Product ID],ProductMaster!$B233)-SUMIFS(StockOutData[Value],StockOutData[Product ID],ProductMaster!$B233)</f>
        <v>0</v>
      </c>
    </row>
    <row r="234" spans="1:10" x14ac:dyDescent="0.25">
      <c r="A234" s="82">
        <v>233</v>
      </c>
      <c r="B234" s="83" t="s">
        <v>519</v>
      </c>
      <c r="C234" s="85" t="s">
        <v>520</v>
      </c>
      <c r="D234" s="47"/>
      <c r="E234" s="47"/>
      <c r="F234" s="48"/>
      <c r="G234" s="62" t="str">
        <f>IFERROR(INDEX(StockInData[Expiry],MATCH(ProductMaster[[#This Row],[Product ID]],StockInData[Product ID],0)),"")</f>
        <v/>
      </c>
      <c r="H234" s="47"/>
      <c r="I234" s="61">
        <f>SUMIFS(StockInData[Quantity],StockInData[Product ID],ProductMaster!$B234)-SUMIFS(StockOutData[Quantity],StockOutData[Product ID],ProductMaster!$B234)</f>
        <v>0</v>
      </c>
      <c r="J234" s="63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3" t="s">
        <v>521</v>
      </c>
      <c r="C235" s="85" t="s">
        <v>522</v>
      </c>
      <c r="D235" s="47"/>
      <c r="E235" s="47"/>
      <c r="F235" s="48"/>
      <c r="G235" s="62" t="str">
        <f>IFERROR(INDEX(StockInData[Expiry],MATCH(ProductMaster[[#This Row],[Product ID]],StockInData[Product ID],0)),"")</f>
        <v/>
      </c>
      <c r="H235" s="47"/>
      <c r="I235" s="61">
        <f>SUMIFS(StockInData[Quantity],StockInData[Product ID],ProductMaster!$B235)-SUMIFS(StockOutData[Quantity],StockOutData[Product ID],ProductMaster!$B235)</f>
        <v>0</v>
      </c>
      <c r="J235" s="63">
        <f>SUMIFS(StockInData[Value],StockInData[Product ID],ProductMaster!$B235)-SUMIFS(StockOutData[Value],StockOutData[Product ID],ProductMaster!$B235)</f>
        <v>0</v>
      </c>
    </row>
    <row r="236" spans="1:10" hidden="1" x14ac:dyDescent="0.25">
      <c r="A236" s="82">
        <v>235</v>
      </c>
      <c r="B236" s="83" t="s">
        <v>523</v>
      </c>
      <c r="C236" s="85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3" t="s">
        <v>525</v>
      </c>
      <c r="C237" s="85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82">
        <v>237</v>
      </c>
      <c r="B238" s="83" t="s">
        <v>527</v>
      </c>
      <c r="C238" s="85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3" t="s">
        <v>529</v>
      </c>
      <c r="C239" s="85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2">
        <v>239</v>
      </c>
      <c r="B240" s="83" t="s">
        <v>531</v>
      </c>
      <c r="C240" s="85" t="s">
        <v>532</v>
      </c>
      <c r="D240" s="47"/>
      <c r="E240" s="47"/>
      <c r="F240" s="48"/>
      <c r="G240" s="62" t="str">
        <f>IFERROR(INDEX(StockInData[Expiry],MATCH(ProductMaster[[#This Row],[Product ID]],StockInData[Product ID],0)),"")</f>
        <v/>
      </c>
      <c r="H240" s="47"/>
      <c r="I240" s="61">
        <f>SUMIFS(StockInData[Quantity],StockInData[Product ID],ProductMaster!$B240)-SUMIFS(StockOutData[Quantity],StockOutData[Product ID],ProductMaster!$B240)</f>
        <v>0</v>
      </c>
      <c r="J240" s="63">
        <f>SUMIFS(StockInData[Value],StockInData[Product ID],ProductMaster!$B240)-SUMIFS(StockOutData[Value],StockOutData[Product ID],ProductMaster!$B240)</f>
        <v>0</v>
      </c>
    </row>
    <row r="241" spans="1:10" hidden="1" x14ac:dyDescent="0.25">
      <c r="A241" s="60">
        <v>240</v>
      </c>
      <c r="B241" s="83" t="s">
        <v>533</v>
      </c>
      <c r="C241" s="85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x14ac:dyDescent="0.25">
      <c r="A242" s="82">
        <v>241</v>
      </c>
      <c r="B242" s="83" t="s">
        <v>535</v>
      </c>
      <c r="C242" s="85" t="s">
        <v>536</v>
      </c>
      <c r="D242" s="47"/>
      <c r="E242" s="47"/>
      <c r="F242" s="48"/>
      <c r="G242" s="62" t="str">
        <f>IFERROR(INDEX(StockInData[Expiry],MATCH(ProductMaster[[#This Row],[Product ID]],StockInData[Product ID],0)),"")</f>
        <v/>
      </c>
      <c r="H242" s="47"/>
      <c r="I242" s="61">
        <f>SUMIFS(StockInData[Quantity],StockInData[Product ID],ProductMaster!$B242)-SUMIFS(StockOutData[Quantity],StockOutData[Product ID],ProductMaster!$B242)</f>
        <v>0</v>
      </c>
      <c r="J242" s="63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3" t="s">
        <v>537</v>
      </c>
      <c r="C243" s="85" t="s">
        <v>538</v>
      </c>
      <c r="D243" s="47"/>
      <c r="E243" s="47"/>
      <c r="F243" s="48"/>
      <c r="G243" s="62" t="str">
        <f>IFERROR(INDEX(StockInData[Expiry],MATCH(ProductMaster[[#This Row],[Product ID]],StockInData[Product ID],0)),"")</f>
        <v/>
      </c>
      <c r="H243" s="47"/>
      <c r="I243" s="61">
        <f>SUMIFS(StockInData[Quantity],StockInData[Product ID],ProductMaster!$B243)-SUMIFS(StockOutData[Quantity],StockOutData[Product ID],ProductMaster!$B243)</f>
        <v>0</v>
      </c>
      <c r="J243" s="63">
        <f>SUMIFS(StockInData[Value],StockInData[Product ID],ProductMaster!$B243)-SUMIFS(StockOutData[Value],StockOutData[Product ID],ProductMaster!$B243)</f>
        <v>0</v>
      </c>
    </row>
    <row r="244" spans="1:10" hidden="1" x14ac:dyDescent="0.25">
      <c r="A244" s="82">
        <v>243</v>
      </c>
      <c r="B244" s="83" t="s">
        <v>539</v>
      </c>
      <c r="C244" s="85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3" t="s">
        <v>541</v>
      </c>
      <c r="C245" s="85" t="s">
        <v>542</v>
      </c>
      <c r="D245" s="47"/>
      <c r="E245" s="47"/>
      <c r="F245" s="48"/>
      <c r="G245" s="62" t="str">
        <f>IFERROR(INDEX(StockInData[Expiry],MATCH(ProductMaster[[#This Row],[Product ID]],StockInData[Product ID],0)),"")</f>
        <v/>
      </c>
      <c r="H245" s="47"/>
      <c r="I245" s="61">
        <f>SUMIFS(StockInData[Quantity],StockInData[Product ID],ProductMaster!$B245)-SUMIFS(StockOutData[Quantity],StockOutData[Product ID],ProductMaster!$B245)</f>
        <v>0</v>
      </c>
      <c r="J245" s="63">
        <f>SUMIFS(StockInData[Value],StockInData[Product ID],ProductMaster!$B245)-SUMIFS(StockOutData[Value],StockOutData[Product ID],ProductMaster!$B245)</f>
        <v>0</v>
      </c>
    </row>
    <row r="246" spans="1:10" x14ac:dyDescent="0.25">
      <c r="A246" s="82">
        <v>245</v>
      </c>
      <c r="B246" s="83" t="s">
        <v>543</v>
      </c>
      <c r="C246" s="85" t="s">
        <v>544</v>
      </c>
      <c r="D246" s="47"/>
      <c r="E246" s="47"/>
      <c r="F246" s="48"/>
      <c r="G246" s="62" t="str">
        <f>IFERROR(INDEX(StockInData[Expiry],MATCH(ProductMaster[[#This Row],[Product ID]],StockInData[Product ID],0)),"")</f>
        <v/>
      </c>
      <c r="H246" s="47"/>
      <c r="I246" s="61">
        <f>SUMIFS(StockInData[Quantity],StockInData[Product ID],ProductMaster!$B246)-SUMIFS(StockOutData[Quantity],StockOutData[Product ID],ProductMaster!$B246)</f>
        <v>0</v>
      </c>
      <c r="J246" s="63">
        <f>SUMIFS(StockInData[Value],StockInData[Product ID],ProductMaster!$B246)-SUMIFS(StockOutData[Value],StockOutData[Product ID],ProductMaster!$B246)</f>
        <v>0</v>
      </c>
    </row>
    <row r="247" spans="1:10" hidden="1" x14ac:dyDescent="0.25">
      <c r="A247" s="60">
        <v>246</v>
      </c>
      <c r="B247" s="83" t="s">
        <v>545</v>
      </c>
      <c r="C247" s="85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2">
        <v>247</v>
      </c>
      <c r="B248" s="83" t="s">
        <v>547</v>
      </c>
      <c r="C248" s="85" t="s">
        <v>548</v>
      </c>
      <c r="D248" s="47"/>
      <c r="E248" s="47"/>
      <c r="F248" s="48"/>
      <c r="G248" s="62" t="str">
        <f>IFERROR(INDEX(StockInData[Expiry],MATCH(ProductMaster[[#This Row],[Product ID]],StockInData[Product ID],0)),"")</f>
        <v/>
      </c>
      <c r="H248" s="47"/>
      <c r="I248" s="61">
        <f>SUMIFS(StockInData[Quantity],StockInData[Product ID],ProductMaster!$B248)-SUMIFS(StockOutData[Quantity],StockOutData[Product ID],ProductMaster!$B248)</f>
        <v>0</v>
      </c>
      <c r="J248" s="63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3" t="s">
        <v>549</v>
      </c>
      <c r="C249" s="85" t="s">
        <v>550</v>
      </c>
      <c r="D249" s="47"/>
      <c r="E249" s="47"/>
      <c r="F249" s="48"/>
      <c r="G249" s="62" t="str">
        <f>IFERROR(INDEX(StockInData[Expiry],MATCH(ProductMaster[[#This Row],[Product ID]],StockInData[Product ID],0)),"")</f>
        <v/>
      </c>
      <c r="H249" s="47"/>
      <c r="I249" s="61">
        <f>SUMIFS(StockInData[Quantity],StockInData[Product ID],ProductMaster!$B249)-SUMIFS(StockOutData[Quantity],StockOutData[Product ID],ProductMaster!$B249)</f>
        <v>0</v>
      </c>
      <c r="J249" s="63">
        <f>SUMIFS(StockInData[Value],StockInData[Product ID],ProductMaster!$B249)-SUMIFS(StockOutData[Value],StockOutData[Product ID],ProductMaster!$B249)</f>
        <v>0</v>
      </c>
    </row>
    <row r="250" spans="1:10" x14ac:dyDescent="0.25">
      <c r="A250" s="82">
        <v>249</v>
      </c>
      <c r="B250" s="83" t="s">
        <v>551</v>
      </c>
      <c r="C250" s="85" t="s">
        <v>552</v>
      </c>
      <c r="D250" s="47"/>
      <c r="E250" s="47"/>
      <c r="F250" s="48"/>
      <c r="G250" s="62" t="str">
        <f>IFERROR(INDEX(StockInData[Expiry],MATCH(ProductMaster[[#This Row],[Product ID]],StockInData[Product ID],0)),"")</f>
        <v/>
      </c>
      <c r="H250" s="47"/>
      <c r="I250" s="61">
        <f>SUMIFS(StockInData[Quantity],StockInData[Product ID],ProductMaster!$B250)-SUMIFS(StockOutData[Quantity],StockOutData[Product ID],ProductMaster!$B250)</f>
        <v>0</v>
      </c>
      <c r="J250" s="63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3" t="s">
        <v>553</v>
      </c>
      <c r="C251" s="85" t="s">
        <v>554</v>
      </c>
      <c r="D251" s="47"/>
      <c r="E251" s="47"/>
      <c r="F251" s="48"/>
      <c r="G251" s="62" t="str">
        <f>IFERROR(INDEX(StockInData[Expiry],MATCH(ProductMaster[[#This Row],[Product ID]],StockInData[Product ID],0)),"")</f>
        <v/>
      </c>
      <c r="H251" s="47"/>
      <c r="I251" s="61">
        <f>SUMIFS(StockInData[Quantity],StockInData[Product ID],ProductMaster!$B251)-SUMIFS(StockOutData[Quantity],StockOutData[Product ID],ProductMaster!$B251)</f>
        <v>0</v>
      </c>
      <c r="J251" s="63">
        <f>SUMIFS(StockInData[Value],StockInData[Product ID],ProductMaster!$B251)-SUMIFS(StockOutData[Value],StockOutData[Product ID],ProductMaster!$B251)</f>
        <v>0</v>
      </c>
    </row>
    <row r="252" spans="1:10" hidden="1" x14ac:dyDescent="0.25">
      <c r="A252" s="82">
        <v>251</v>
      </c>
      <c r="B252" s="83" t="s">
        <v>555</v>
      </c>
      <c r="C252" s="85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3" t="s">
        <v>557</v>
      </c>
      <c r="C253" s="85" t="s">
        <v>558</v>
      </c>
      <c r="D253" s="47"/>
      <c r="E253" s="47"/>
      <c r="F253" s="48"/>
      <c r="G253" s="62" t="str">
        <f>IFERROR(INDEX(StockInData[Expiry],MATCH(ProductMaster[[#This Row],[Product ID]],StockInData[Product ID],0)),"")</f>
        <v/>
      </c>
      <c r="H253" s="47"/>
      <c r="I253" s="61">
        <f>SUMIFS(StockInData[Quantity],StockInData[Product ID],ProductMaster!$B253)-SUMIFS(StockOutData[Quantity],StockOutData[Product ID],ProductMaster!$B253)</f>
        <v>0</v>
      </c>
      <c r="J253" s="63">
        <f>SUMIFS(StockInData[Value],StockInData[Product ID],ProductMaster!$B253)-SUMIFS(StockOutData[Value],StockOutData[Product ID],ProductMaster!$B253)</f>
        <v>0</v>
      </c>
    </row>
    <row r="254" spans="1:10" x14ac:dyDescent="0.25">
      <c r="A254" s="82">
        <v>253</v>
      </c>
      <c r="B254" s="83" t="s">
        <v>559</v>
      </c>
      <c r="C254" s="85" t="s">
        <v>560</v>
      </c>
      <c r="D254" s="47"/>
      <c r="E254" s="47"/>
      <c r="F254" s="48"/>
      <c r="G254" s="62" t="str">
        <f>IFERROR(INDEX(StockInData[Expiry],MATCH(ProductMaster[[#This Row],[Product ID]],StockInData[Product ID],0)),"")</f>
        <v/>
      </c>
      <c r="H254" s="47"/>
      <c r="I254" s="61">
        <f>SUMIFS(StockInData[Quantity],StockInData[Product ID],ProductMaster!$B254)-SUMIFS(StockOutData[Quantity],StockOutData[Product ID],ProductMaster!$B254)</f>
        <v>0</v>
      </c>
      <c r="J254" s="63">
        <f>SUMIFS(StockInData[Value],StockInData[Product ID],ProductMaster!$B254)-SUMIFS(StockOutData[Value],StockOutData[Product ID],ProductMaster!$B254)</f>
        <v>0</v>
      </c>
    </row>
    <row r="255" spans="1:10" hidden="1" x14ac:dyDescent="0.25">
      <c r="A255" s="60">
        <v>254</v>
      </c>
      <c r="B255" s="83" t="s">
        <v>561</v>
      </c>
      <c r="C255" s="85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2">
        <v>255</v>
      </c>
      <c r="B256" s="83" t="s">
        <v>563</v>
      </c>
      <c r="C256" s="85" t="s">
        <v>564</v>
      </c>
      <c r="D256" s="47"/>
      <c r="E256" s="47"/>
      <c r="F256" s="48"/>
      <c r="G256" s="62" t="str">
        <f>IFERROR(INDEX(StockInData[Expiry],MATCH(ProductMaster[[#This Row],[Product ID]],StockInData[Product ID],0)),"")</f>
        <v/>
      </c>
      <c r="H256" s="47"/>
      <c r="I256" s="61">
        <f>SUMIFS(StockInData[Quantity],StockInData[Product ID],ProductMaster!$B256)-SUMIFS(StockOutData[Quantity],StockOutData[Product ID],ProductMaster!$B256)</f>
        <v>0</v>
      </c>
      <c r="J256" s="63">
        <f>SUMIFS(StockInData[Value],StockInData[Product ID],ProductMaster!$B256)-SUMIFS(StockOutData[Value],StockOutData[Product ID],ProductMaster!$B256)</f>
        <v>0</v>
      </c>
    </row>
    <row r="257" spans="1:10" x14ac:dyDescent="0.25">
      <c r="A257" s="60">
        <v>256</v>
      </c>
      <c r="B257" s="83" t="s">
        <v>565</v>
      </c>
      <c r="C257" s="85" t="s">
        <v>566</v>
      </c>
      <c r="D257" s="47"/>
      <c r="E257" s="47"/>
      <c r="F257" s="48"/>
      <c r="G257" s="62" t="str">
        <f>IFERROR(INDEX(StockInData[Expiry],MATCH(ProductMaster[[#This Row],[Product ID]],StockInData[Product ID],0)),"")</f>
        <v/>
      </c>
      <c r="H257" s="47"/>
      <c r="I257" s="61">
        <f>SUMIFS(StockInData[Quantity],StockInData[Product ID],ProductMaster!$B257)-SUMIFS(StockOutData[Quantity],StockOutData[Product ID],ProductMaster!$B257)</f>
        <v>0</v>
      </c>
      <c r="J257" s="63">
        <f>SUMIFS(StockInData[Value],StockInData[Product ID],ProductMaster!$B257)-SUMIFS(StockOutData[Value],StockOutData[Product ID],ProductMaster!$B257)</f>
        <v>0</v>
      </c>
    </row>
    <row r="258" spans="1:10" x14ac:dyDescent="0.25">
      <c r="A258" s="82">
        <v>257</v>
      </c>
      <c r="B258" s="83" t="s">
        <v>567</v>
      </c>
      <c r="C258" s="85" t="s">
        <v>568</v>
      </c>
      <c r="D258" s="47"/>
      <c r="E258" s="47"/>
      <c r="F258" s="48"/>
      <c r="G258" s="62" t="str">
        <f>IFERROR(INDEX(StockInData[Expiry],MATCH(ProductMaster[[#This Row],[Product ID]],StockInData[Product ID],0)),"")</f>
        <v/>
      </c>
      <c r="H258" s="47"/>
      <c r="I258" s="61">
        <f>SUMIFS(StockInData[Quantity],StockInData[Product ID],ProductMaster!$B258)-SUMIFS(StockOutData[Quantity],StockOutData[Product ID],ProductMaster!$B258)</f>
        <v>0</v>
      </c>
      <c r="J258" s="63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3" t="s">
        <v>569</v>
      </c>
      <c r="C259" s="85" t="s">
        <v>570</v>
      </c>
      <c r="D259" s="47"/>
      <c r="E259" s="47"/>
      <c r="F259" s="48"/>
      <c r="G259" s="62" t="str">
        <f>IFERROR(INDEX(StockInData[Expiry],MATCH(ProductMaster[[#This Row],[Product ID]],StockInData[Product ID],0)),"")</f>
        <v/>
      </c>
      <c r="H259" s="47"/>
      <c r="I259" s="61">
        <f>SUMIFS(StockInData[Quantity],StockInData[Product ID],ProductMaster!$B259)-SUMIFS(StockOutData[Quantity],StockOutData[Product ID],ProductMaster!$B259)</f>
        <v>0</v>
      </c>
      <c r="J259" s="63">
        <f>SUMIFS(StockInData[Value],StockInData[Product ID],ProductMaster!$B259)-SUMIFS(StockOutData[Value],StockOutData[Product ID],ProductMaster!$B259)</f>
        <v>0</v>
      </c>
    </row>
    <row r="260" spans="1:10" x14ac:dyDescent="0.25">
      <c r="A260" s="82">
        <v>259</v>
      </c>
      <c r="B260" s="83" t="s">
        <v>571</v>
      </c>
      <c r="C260" s="85" t="s">
        <v>572</v>
      </c>
      <c r="D260" s="47"/>
      <c r="E260" s="47"/>
      <c r="F260" s="48"/>
      <c r="G260" s="62" t="str">
        <f>IFERROR(INDEX(StockInData[Expiry],MATCH(ProductMaster[[#This Row],[Product ID]],StockInData[Product ID],0)),"")</f>
        <v/>
      </c>
      <c r="H260" s="47"/>
      <c r="I260" s="61">
        <f>SUMIFS(StockInData[Quantity],StockInData[Product ID],ProductMaster!$B260)-SUMIFS(StockOutData[Quantity],StockOutData[Product ID],ProductMaster!$B260)</f>
        <v>0</v>
      </c>
      <c r="J260" s="63">
        <f>SUMIFS(StockInData[Value],StockInData[Product ID],ProductMaster!$B260)-SUMIFS(StockOutData[Value],StockOutData[Product ID],ProductMaster!$B260)</f>
        <v>0</v>
      </c>
    </row>
    <row r="261" spans="1:10" hidden="1" x14ac:dyDescent="0.25">
      <c r="A261" s="60">
        <v>260</v>
      </c>
      <c r="B261" s="83" t="s">
        <v>573</v>
      </c>
      <c r="C261" s="85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2">
        <v>261</v>
      </c>
      <c r="B262" s="83" t="s">
        <v>575</v>
      </c>
      <c r="C262" s="85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3" t="s">
        <v>577</v>
      </c>
      <c r="C263" s="85" t="s">
        <v>578</v>
      </c>
      <c r="D263" s="47"/>
      <c r="E263" s="47"/>
      <c r="F263" s="48"/>
      <c r="G263" s="62" t="str">
        <f>IFERROR(INDEX(StockInData[Expiry],MATCH(ProductMaster[[#This Row],[Product ID]],StockInData[Product ID],0)),"")</f>
        <v/>
      </c>
      <c r="H263" s="47"/>
      <c r="I263" s="61">
        <f>SUMIFS(StockInData[Quantity],StockInData[Product ID],ProductMaster!$B263)-SUMIFS(StockOutData[Quantity],StockOutData[Product ID],ProductMaster!$B263)</f>
        <v>0</v>
      </c>
      <c r="J263" s="63">
        <f>SUMIFS(StockInData[Value],StockInData[Product ID],ProductMaster!$B263)-SUMIFS(StockOutData[Value],StockOutData[Product ID],ProductMaster!$B263)</f>
        <v>0</v>
      </c>
    </row>
    <row r="264" spans="1:10" x14ac:dyDescent="0.25">
      <c r="A264" s="82">
        <v>263</v>
      </c>
      <c r="B264" s="83" t="s">
        <v>579</v>
      </c>
      <c r="C264" s="85" t="s">
        <v>580</v>
      </c>
      <c r="D264" s="47"/>
      <c r="E264" s="47"/>
      <c r="F264" s="48"/>
      <c r="G264" s="62" t="str">
        <f>IFERROR(INDEX(StockInData[Expiry],MATCH(ProductMaster[[#This Row],[Product ID]],StockInData[Product ID],0)),"")</f>
        <v/>
      </c>
      <c r="H264" s="47"/>
      <c r="I264" s="61">
        <f>SUMIFS(StockInData[Quantity],StockInData[Product ID],ProductMaster!$B264)-SUMIFS(StockOutData[Quantity],StockOutData[Product ID],ProductMaster!$B264)</f>
        <v>0</v>
      </c>
      <c r="J264" s="63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3" t="s">
        <v>581</v>
      </c>
      <c r="C265" s="85" t="s">
        <v>582</v>
      </c>
      <c r="D265" s="47"/>
      <c r="E265" s="47"/>
      <c r="F265" s="48"/>
      <c r="G265" s="62" t="str">
        <f>IFERROR(INDEX(StockInData[Expiry],MATCH(ProductMaster[[#This Row],[Product ID]],StockInData[Product ID],0)),"")</f>
        <v/>
      </c>
      <c r="H265" s="47"/>
      <c r="I265" s="61">
        <f>SUMIFS(StockInData[Quantity],StockInData[Product ID],ProductMaster!$B265)-SUMIFS(StockOutData[Quantity],StockOutData[Product ID],ProductMaster!$B265)</f>
        <v>0</v>
      </c>
      <c r="J265" s="63">
        <f>SUMIFS(StockInData[Value],StockInData[Product ID],ProductMaster!$B265)-SUMIFS(StockOutData[Value],StockOutData[Product ID],ProductMaster!$B265)</f>
        <v>0</v>
      </c>
    </row>
    <row r="266" spans="1:10" x14ac:dyDescent="0.25">
      <c r="A266" s="82">
        <v>265</v>
      </c>
      <c r="B266" s="83" t="s">
        <v>583</v>
      </c>
      <c r="C266" s="85" t="s">
        <v>584</v>
      </c>
      <c r="D266" s="47"/>
      <c r="E266" s="47"/>
      <c r="F266" s="48"/>
      <c r="G266" s="62" t="str">
        <f>IFERROR(INDEX(StockInData[Expiry],MATCH(ProductMaster[[#This Row],[Product ID]],StockInData[Product ID],0)),"")</f>
        <v/>
      </c>
      <c r="H266" s="47"/>
      <c r="I266" s="61">
        <f>SUMIFS(StockInData[Quantity],StockInData[Product ID],ProductMaster!$B266)-SUMIFS(StockOutData[Quantity],StockOutData[Product ID],ProductMaster!$B266)</f>
        <v>0</v>
      </c>
      <c r="J266" s="63">
        <f>SUMIFS(StockInData[Value],StockInData[Product ID],ProductMaster!$B266)-SUMIFS(StockOutData[Value],StockOutData[Product ID],ProductMaster!$B266)</f>
        <v>0</v>
      </c>
    </row>
    <row r="267" spans="1:10" hidden="1" x14ac:dyDescent="0.25">
      <c r="A267" s="60">
        <v>266</v>
      </c>
      <c r="B267" s="83" t="s">
        <v>585</v>
      </c>
      <c r="C267" s="85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2">
        <v>267</v>
      </c>
      <c r="B268" s="83" t="s">
        <v>587</v>
      </c>
      <c r="C268" s="85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3" t="s">
        <v>589</v>
      </c>
      <c r="C269" s="85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2">
        <v>269</v>
      </c>
      <c r="B270" s="83" t="s">
        <v>591</v>
      </c>
      <c r="C270" s="85" t="s">
        <v>592</v>
      </c>
      <c r="D270" s="47"/>
      <c r="E270" s="47"/>
      <c r="F270" s="48"/>
      <c r="G270" s="62" t="str">
        <f>IFERROR(INDEX(StockInData[Expiry],MATCH(ProductMaster[[#This Row],[Product ID]],StockInData[Product ID],0)),"")</f>
        <v/>
      </c>
      <c r="H270" s="47"/>
      <c r="I270" s="61">
        <f>SUMIFS(StockInData[Quantity],StockInData[Product ID],ProductMaster!$B270)-SUMIFS(StockOutData[Quantity],StockOutData[Product ID],ProductMaster!$B270)</f>
        <v>0</v>
      </c>
      <c r="J270" s="63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3" t="s">
        <v>593</v>
      </c>
      <c r="C271" s="85" t="s">
        <v>594</v>
      </c>
      <c r="D271" s="47"/>
      <c r="E271" s="47"/>
      <c r="F271" s="48"/>
      <c r="G271" s="62" t="str">
        <f>IFERROR(INDEX(StockInData[Expiry],MATCH(ProductMaster[[#This Row],[Product ID]],StockInData[Product ID],0)),"")</f>
        <v/>
      </c>
      <c r="H271" s="47"/>
      <c r="I271" s="61">
        <f>SUMIFS(StockInData[Quantity],StockInData[Product ID],ProductMaster!$B271)-SUMIFS(StockOutData[Quantity],StockOutData[Product ID],ProductMaster!$B271)</f>
        <v>0</v>
      </c>
      <c r="J271" s="63">
        <f>SUMIFS(StockInData[Value],StockInData[Product ID],ProductMaster!$B271)-SUMIFS(StockOutData[Value],StockOutData[Product ID],ProductMaster!$B271)</f>
        <v>0</v>
      </c>
    </row>
    <row r="272" spans="1:10" x14ac:dyDescent="0.25">
      <c r="A272" s="82">
        <v>271</v>
      </c>
      <c r="B272" s="83" t="s">
        <v>595</v>
      </c>
      <c r="C272" s="85" t="s">
        <v>596</v>
      </c>
      <c r="D272" s="47"/>
      <c r="E272" s="47"/>
      <c r="F272" s="48"/>
      <c r="G272" s="62" t="str">
        <f>IFERROR(INDEX(StockInData[Expiry],MATCH(ProductMaster[[#This Row],[Product ID]],StockInData[Product ID],0)),"")</f>
        <v/>
      </c>
      <c r="H272" s="47"/>
      <c r="I272" s="61">
        <f>SUMIFS(StockInData[Quantity],StockInData[Product ID],ProductMaster!$B272)-SUMIFS(StockOutData[Quantity],StockOutData[Product ID],ProductMaster!$B272)</f>
        <v>0</v>
      </c>
      <c r="J272" s="63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3" t="s">
        <v>597</v>
      </c>
      <c r="C273" s="85" t="s">
        <v>598</v>
      </c>
      <c r="D273" s="47"/>
      <c r="E273" s="47"/>
      <c r="F273" s="48"/>
      <c r="G273" s="62" t="str">
        <f>IFERROR(INDEX(StockInData[Expiry],MATCH(ProductMaster[[#This Row],[Product ID]],StockInData[Product ID],0)),"")</f>
        <v/>
      </c>
      <c r="H273" s="47"/>
      <c r="I273" s="61">
        <f>SUMIFS(StockInData[Quantity],StockInData[Product ID],ProductMaster!$B273)-SUMIFS(StockOutData[Quantity],StockOutData[Product ID],ProductMaster!$B273)</f>
        <v>0</v>
      </c>
      <c r="J273" s="63">
        <f>SUMIFS(StockInData[Value],StockInData[Product ID],ProductMaster!$B273)-SUMIFS(StockOutData[Value],StockOutData[Product ID],ProductMaster!$B273)</f>
        <v>0</v>
      </c>
    </row>
    <row r="274" spans="1:10" x14ac:dyDescent="0.25">
      <c r="A274" s="82">
        <v>273</v>
      </c>
      <c r="B274" s="83" t="s">
        <v>599</v>
      </c>
      <c r="C274" s="85" t="s">
        <v>600</v>
      </c>
      <c r="D274" s="47"/>
      <c r="E274" s="47"/>
      <c r="F274" s="48"/>
      <c r="G274" s="62" t="str">
        <f>IFERROR(INDEX(StockInData[Expiry],MATCH(ProductMaster[[#This Row],[Product ID]],StockInData[Product ID],0)),"")</f>
        <v/>
      </c>
      <c r="H274" s="47"/>
      <c r="I274" s="61">
        <f>SUMIFS(StockInData[Quantity],StockInData[Product ID],ProductMaster!$B274)-SUMIFS(StockOutData[Quantity],StockOutData[Product ID],ProductMaster!$B274)</f>
        <v>0</v>
      </c>
      <c r="J274" s="63">
        <f>SUMIFS(StockInData[Value],StockInData[Product ID],ProductMaster!$B274)-SUMIFS(StockOutData[Value],StockOutData[Product ID],ProductMaster!$B274)</f>
        <v>0</v>
      </c>
    </row>
    <row r="275" spans="1:10" hidden="1" x14ac:dyDescent="0.25">
      <c r="A275" s="60">
        <v>274</v>
      </c>
      <c r="B275" s="83" t="s">
        <v>601</v>
      </c>
      <c r="C275" s="85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2">
        <v>275</v>
      </c>
      <c r="B276" s="83" t="s">
        <v>603</v>
      </c>
      <c r="C276" s="85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0">
        <v>276</v>
      </c>
      <c r="B277" s="83" t="s">
        <v>605</v>
      </c>
      <c r="C277" s="85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2">
        <v>277</v>
      </c>
      <c r="B278" s="83" t="s">
        <v>607</v>
      </c>
      <c r="C278" s="85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3" t="s">
        <v>609</v>
      </c>
      <c r="C279" s="85" t="s">
        <v>610</v>
      </c>
      <c r="D279" s="47"/>
      <c r="E279" s="47"/>
      <c r="F279" s="48"/>
      <c r="G279" s="62" t="str">
        <f>IFERROR(INDEX(StockInData[Expiry],MATCH(ProductMaster[[#This Row],[Product ID]],StockInData[Product ID],0)),"")</f>
        <v/>
      </c>
      <c r="H279" s="47"/>
      <c r="I279" s="61">
        <f>SUMIFS(StockInData[Quantity],StockInData[Product ID],ProductMaster!$B279)-SUMIFS(StockOutData[Quantity],StockOutData[Product ID],ProductMaster!$B279)</f>
        <v>0</v>
      </c>
      <c r="J279" s="63">
        <f>SUMIFS(StockInData[Value],StockInData[Product ID],ProductMaster!$B279)-SUMIFS(StockOutData[Value],StockOutData[Product ID],ProductMaster!$B279)</f>
        <v>0</v>
      </c>
    </row>
    <row r="280" spans="1:10" hidden="1" x14ac:dyDescent="0.25">
      <c r="A280" s="82">
        <v>279</v>
      </c>
      <c r="B280" s="83" t="s">
        <v>611</v>
      </c>
      <c r="C280" s="85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3" t="s">
        <v>613</v>
      </c>
      <c r="C281" s="85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x14ac:dyDescent="0.25">
      <c r="A282" s="82">
        <v>281</v>
      </c>
      <c r="B282" s="83" t="s">
        <v>615</v>
      </c>
      <c r="C282" s="85" t="s">
        <v>616</v>
      </c>
      <c r="D282" s="47"/>
      <c r="E282" s="47"/>
      <c r="F282" s="48"/>
      <c r="G282" s="62" t="str">
        <f>IFERROR(INDEX(StockInData[Expiry],MATCH(ProductMaster[[#This Row],[Product ID]],StockInData[Product ID],0)),"")</f>
        <v/>
      </c>
      <c r="H282" s="47"/>
      <c r="I282" s="61">
        <f>SUMIFS(StockInData[Quantity],StockInData[Product ID],ProductMaster!$B282)-SUMIFS(StockOutData[Quantity],StockOutData[Product ID],ProductMaster!$B282)</f>
        <v>0</v>
      </c>
      <c r="J282" s="63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3" t="s">
        <v>617</v>
      </c>
      <c r="C283" s="85" t="s">
        <v>618</v>
      </c>
      <c r="D283" s="47"/>
      <c r="E283" s="47"/>
      <c r="F283" s="48"/>
      <c r="G283" s="62" t="str">
        <f>IFERROR(INDEX(StockInData[Expiry],MATCH(ProductMaster[[#This Row],[Product ID]],StockInData[Product ID],0)),"")</f>
        <v/>
      </c>
      <c r="H283" s="47"/>
      <c r="I283" s="61">
        <f>SUMIFS(StockInData[Quantity],StockInData[Product ID],ProductMaster!$B283)-SUMIFS(StockOutData[Quantity],StockOutData[Product ID],ProductMaster!$B283)</f>
        <v>0</v>
      </c>
      <c r="J283" s="63">
        <f>SUMIFS(StockInData[Value],StockInData[Product ID],ProductMaster!$B283)-SUMIFS(StockOutData[Value],StockOutData[Product ID],ProductMaster!$B283)</f>
        <v>0</v>
      </c>
    </row>
    <row r="284" spans="1:10" x14ac:dyDescent="0.25">
      <c r="A284" s="82">
        <v>283</v>
      </c>
      <c r="B284" s="83" t="s">
        <v>619</v>
      </c>
      <c r="C284" s="85" t="s">
        <v>620</v>
      </c>
      <c r="D284" s="47"/>
      <c r="E284" s="47"/>
      <c r="F284" s="48"/>
      <c r="G284" s="62" t="str">
        <f>IFERROR(INDEX(StockInData[Expiry],MATCH(ProductMaster[[#This Row],[Product ID]],StockInData[Product ID],0)),"")</f>
        <v/>
      </c>
      <c r="H284" s="47"/>
      <c r="I284" s="61">
        <f>SUMIFS(StockInData[Quantity],StockInData[Product ID],ProductMaster!$B284)-SUMIFS(StockOutData[Quantity],StockOutData[Product ID],ProductMaster!$B284)</f>
        <v>0</v>
      </c>
      <c r="J284" s="63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3" t="s">
        <v>621</v>
      </c>
      <c r="C285" s="85" t="s">
        <v>622</v>
      </c>
      <c r="D285" s="47"/>
      <c r="E285" s="47"/>
      <c r="F285" s="48"/>
      <c r="G285" s="62" t="str">
        <f>IFERROR(INDEX(StockInData[Expiry],MATCH(ProductMaster[[#This Row],[Product ID]],StockInData[Product ID],0)),"")</f>
        <v/>
      </c>
      <c r="H285" s="47"/>
      <c r="I285" s="61">
        <f>SUMIFS(StockInData[Quantity],StockInData[Product ID],ProductMaster!$B285)-SUMIFS(StockOutData[Quantity],StockOutData[Product ID],ProductMaster!$B285)</f>
        <v>0</v>
      </c>
      <c r="J285" s="63">
        <f>SUMIFS(StockInData[Value],StockInData[Product ID],ProductMaster!$B285)-SUMIFS(StockOutData[Value],StockOutData[Product ID],ProductMaster!$B285)</f>
        <v>0</v>
      </c>
    </row>
    <row r="286" spans="1:10" x14ac:dyDescent="0.25">
      <c r="A286" s="82">
        <v>285</v>
      </c>
      <c r="B286" s="83" t="s">
        <v>623</v>
      </c>
      <c r="C286" s="85" t="s">
        <v>624</v>
      </c>
      <c r="D286" s="47"/>
      <c r="E286" s="47"/>
      <c r="F286" s="48"/>
      <c r="G286" s="62" t="str">
        <f>IFERROR(INDEX(StockInData[Expiry],MATCH(ProductMaster[[#This Row],[Product ID]],StockInData[Product ID],0)),"")</f>
        <v/>
      </c>
      <c r="H286" s="47"/>
      <c r="I286" s="61">
        <f>SUMIFS(StockInData[Quantity],StockInData[Product ID],ProductMaster!$B286)-SUMIFS(StockOutData[Quantity],StockOutData[Product ID],ProductMaster!$B286)</f>
        <v>0</v>
      </c>
      <c r="J286" s="63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3" t="s">
        <v>625</v>
      </c>
      <c r="C287" s="85" t="s">
        <v>626</v>
      </c>
      <c r="D287" s="47"/>
      <c r="E287" s="47"/>
      <c r="F287" s="48"/>
      <c r="G287" s="62" t="str">
        <f>IFERROR(INDEX(StockInData[Expiry],MATCH(ProductMaster[[#This Row],[Product ID]],StockInData[Product ID],0)),"")</f>
        <v/>
      </c>
      <c r="H287" s="47"/>
      <c r="I287" s="61">
        <f>SUMIFS(StockInData[Quantity],StockInData[Product ID],ProductMaster!$B287)-SUMIFS(StockOutData[Quantity],StockOutData[Product ID],ProductMaster!$B287)</f>
        <v>0</v>
      </c>
      <c r="J287" s="63">
        <f>SUMIFS(StockInData[Value],StockInData[Product ID],ProductMaster!$B287)-SUMIFS(StockOutData[Value],StockOutData[Product ID],ProductMaster!$B287)</f>
        <v>0</v>
      </c>
    </row>
    <row r="288" spans="1:10" hidden="1" x14ac:dyDescent="0.25">
      <c r="A288" s="82">
        <v>287</v>
      </c>
      <c r="B288" s="83" t="s">
        <v>627</v>
      </c>
      <c r="C288" s="85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3" t="s">
        <v>629</v>
      </c>
      <c r="C289" s="85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2">
        <v>289</v>
      </c>
      <c r="B290" s="83" t="s">
        <v>631</v>
      </c>
      <c r="C290" s="85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3" t="s">
        <v>633</v>
      </c>
      <c r="C291" s="85" t="s">
        <v>634</v>
      </c>
      <c r="D291" s="47"/>
      <c r="E291" s="47"/>
      <c r="F291" s="48"/>
      <c r="G291" s="62" t="str">
        <f>IFERROR(INDEX(StockInData[Expiry],MATCH(ProductMaster[[#This Row],[Product ID]],StockInData[Product ID],0)),"")</f>
        <v/>
      </c>
      <c r="H291" s="47"/>
      <c r="I291" s="61">
        <f>SUMIFS(StockInData[Quantity],StockInData[Product ID],ProductMaster!$B291)-SUMIFS(StockOutData[Quantity],StockOutData[Product ID],ProductMaster!$B291)</f>
        <v>0</v>
      </c>
      <c r="J291" s="63">
        <f>SUMIFS(StockInData[Value],StockInData[Product ID],ProductMaster!$B291)-SUMIFS(StockOutData[Value],StockOutData[Product ID],ProductMaster!$B291)</f>
        <v>0</v>
      </c>
    </row>
    <row r="292" spans="1:10" x14ac:dyDescent="0.25">
      <c r="A292" s="82">
        <v>291</v>
      </c>
      <c r="B292" s="83" t="s">
        <v>635</v>
      </c>
      <c r="C292" s="85" t="s">
        <v>636</v>
      </c>
      <c r="D292" s="47"/>
      <c r="E292" s="47"/>
      <c r="F292" s="48"/>
      <c r="G292" s="62" t="str">
        <f>IFERROR(INDEX(StockInData[Expiry],MATCH(ProductMaster[[#This Row],[Product ID]],StockInData[Product ID],0)),"")</f>
        <v/>
      </c>
      <c r="H292" s="47"/>
      <c r="I292" s="61">
        <f>SUMIFS(StockInData[Quantity],StockInData[Product ID],ProductMaster!$B292)-SUMIFS(StockOutData[Quantity],StockOutData[Product ID],ProductMaster!$B292)</f>
        <v>0</v>
      </c>
      <c r="J292" s="63">
        <f>SUMIFS(StockInData[Value],StockInData[Product ID],ProductMaster!$B292)-SUMIFS(StockOutData[Value],StockOutData[Product ID],ProductMaster!$B292)</f>
        <v>0</v>
      </c>
    </row>
    <row r="293" spans="1:10" hidden="1" x14ac:dyDescent="0.25">
      <c r="A293" s="60">
        <v>292</v>
      </c>
      <c r="B293" s="83" t="s">
        <v>637</v>
      </c>
      <c r="C293" s="85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2">
        <v>293</v>
      </c>
      <c r="B294" s="83" t="s">
        <v>639</v>
      </c>
      <c r="C294" s="85" t="s">
        <v>640</v>
      </c>
      <c r="D294" s="47"/>
      <c r="E294" s="47"/>
      <c r="F294" s="48"/>
      <c r="G294" s="62" t="str">
        <f>IFERROR(INDEX(StockInData[Expiry],MATCH(ProductMaster[[#This Row],[Product ID]],StockInData[Product ID],0)),"")</f>
        <v/>
      </c>
      <c r="H294" s="47"/>
      <c r="I294" s="61">
        <f>SUMIFS(StockInData[Quantity],StockInData[Product ID],ProductMaster!$B294)-SUMIFS(StockOutData[Quantity],StockOutData[Product ID],ProductMaster!$B294)</f>
        <v>0</v>
      </c>
      <c r="J294" s="63">
        <f>SUMIFS(StockInData[Value],StockInData[Product ID],ProductMaster!$B294)-SUMIFS(StockOutData[Value],StockOutData[Product ID],ProductMaster!$B294)</f>
        <v>0</v>
      </c>
    </row>
    <row r="295" spans="1:10" hidden="1" x14ac:dyDescent="0.25">
      <c r="A295" s="60">
        <v>294</v>
      </c>
      <c r="B295" s="83" t="s">
        <v>641</v>
      </c>
      <c r="C295" s="85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2">
        <v>295</v>
      </c>
      <c r="B296" s="83" t="s">
        <v>643</v>
      </c>
      <c r="C296" s="85" t="s">
        <v>644</v>
      </c>
      <c r="D296" s="47"/>
      <c r="E296" s="47"/>
      <c r="F296" s="48"/>
      <c r="G296" s="62" t="str">
        <f>IFERROR(INDEX(StockInData[Expiry],MATCH(ProductMaster[[#This Row],[Product ID]],StockInData[Product ID],0)),"")</f>
        <v/>
      </c>
      <c r="H296" s="47"/>
      <c r="I296" s="61">
        <f>SUMIFS(StockInData[Quantity],StockInData[Product ID],ProductMaster!$B296)-SUMIFS(StockOutData[Quantity],StockOutData[Product ID],ProductMaster!$B296)</f>
        <v>0</v>
      </c>
      <c r="J296" s="63">
        <f>SUMIFS(StockInData[Value],StockInData[Product ID],ProductMaster!$B296)-SUMIFS(StockOutData[Value],StockOutData[Product ID],ProductMaster!$B296)</f>
        <v>0</v>
      </c>
    </row>
    <row r="297" spans="1:10" hidden="1" x14ac:dyDescent="0.25">
      <c r="A297" s="60">
        <v>296</v>
      </c>
      <c r="B297" s="83" t="s">
        <v>645</v>
      </c>
      <c r="C297" s="85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2">
        <v>297</v>
      </c>
      <c r="B298" s="83" t="s">
        <v>647</v>
      </c>
      <c r="C298" s="85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3" t="s">
        <v>649</v>
      </c>
      <c r="C299" s="85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x14ac:dyDescent="0.25">
      <c r="A300" s="82">
        <v>299</v>
      </c>
      <c r="B300" s="83" t="s">
        <v>651</v>
      </c>
      <c r="C300" s="85" t="s">
        <v>652</v>
      </c>
      <c r="D300" s="47"/>
      <c r="E300" s="47"/>
      <c r="F300" s="48"/>
      <c r="G300" s="62" t="str">
        <f>IFERROR(INDEX(StockInData[Expiry],MATCH(ProductMaster[[#This Row],[Product ID]],StockInData[Product ID],0)),"")</f>
        <v/>
      </c>
      <c r="H300" s="47"/>
      <c r="I300" s="61">
        <f>SUMIFS(StockInData[Quantity],StockInData[Product ID],ProductMaster!$B300)-SUMIFS(StockOutData[Quantity],StockOutData[Product ID],ProductMaster!$B300)</f>
        <v>0</v>
      </c>
      <c r="J300" s="63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3" t="s">
        <v>653</v>
      </c>
      <c r="C301" s="85" t="s">
        <v>654</v>
      </c>
      <c r="D301" s="47"/>
      <c r="E301" s="47"/>
      <c r="F301" s="48"/>
      <c r="G301" s="62" t="str">
        <f>IFERROR(INDEX(StockInData[Expiry],MATCH(ProductMaster[[#This Row],[Product ID]],StockInData[Product ID],0)),"")</f>
        <v/>
      </c>
      <c r="H301" s="47"/>
      <c r="I301" s="61">
        <f>SUMIFS(StockInData[Quantity],StockInData[Product ID],ProductMaster!$B301)-SUMIFS(StockOutData[Quantity],StockOutData[Product ID],ProductMaster!$B301)</f>
        <v>0</v>
      </c>
      <c r="J301" s="63">
        <f>SUMIFS(StockInData[Value],StockInData[Product ID],ProductMaster!$B301)-SUMIFS(StockOutData[Value],StockOutData[Product ID],ProductMaster!$B301)</f>
        <v>0</v>
      </c>
    </row>
    <row r="302" spans="1:10" hidden="1" x14ac:dyDescent="0.25">
      <c r="A302" s="82">
        <v>301</v>
      </c>
      <c r="B302" s="83" t="s">
        <v>655</v>
      </c>
      <c r="C302" s="85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3" t="s">
        <v>657</v>
      </c>
      <c r="C303" s="85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2">
        <v>303</v>
      </c>
      <c r="B304" s="83" t="s">
        <v>659</v>
      </c>
      <c r="C304" s="85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3" t="s">
        <v>661</v>
      </c>
      <c r="C305" s="85" t="s">
        <v>662</v>
      </c>
      <c r="D305" s="47"/>
      <c r="E305" s="47"/>
      <c r="F305" s="48"/>
      <c r="G305" s="62" t="str">
        <f>IFERROR(INDEX(StockInData[Expiry],MATCH(ProductMaster[[#This Row],[Product ID]],StockInData[Product ID],0)),"")</f>
        <v/>
      </c>
      <c r="H305" s="47"/>
      <c r="I305" s="61">
        <f>SUMIFS(StockInData[Quantity],StockInData[Product ID],ProductMaster!$B305)-SUMIFS(StockOutData[Quantity],StockOutData[Product ID],ProductMaster!$B305)</f>
        <v>0</v>
      </c>
      <c r="J305" s="63">
        <f>SUMIFS(StockInData[Value],StockInData[Product ID],ProductMaster!$B305)-SUMIFS(StockOutData[Value],StockOutData[Product ID],ProductMaster!$B305)</f>
        <v>0</v>
      </c>
    </row>
    <row r="306" spans="1:10" hidden="1" x14ac:dyDescent="0.25">
      <c r="A306" s="82">
        <v>305</v>
      </c>
      <c r="B306" s="83" t="s">
        <v>663</v>
      </c>
      <c r="C306" s="85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3" t="s">
        <v>665</v>
      </c>
      <c r="C307" s="85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2">
        <v>307</v>
      </c>
      <c r="B308" s="83" t="s">
        <v>667</v>
      </c>
      <c r="C308" s="85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3" t="s">
        <v>669</v>
      </c>
      <c r="C309" s="85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82">
        <v>309</v>
      </c>
      <c r="B310" s="83" t="s">
        <v>671</v>
      </c>
      <c r="C310" s="85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3" t="s">
        <v>673</v>
      </c>
      <c r="C311" s="85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2">
        <v>311</v>
      </c>
      <c r="B312" s="83" t="s">
        <v>675</v>
      </c>
      <c r="C312" s="85" t="s">
        <v>676</v>
      </c>
      <c r="D312" s="47"/>
      <c r="E312" s="47"/>
      <c r="F312" s="48"/>
      <c r="G312" s="62" t="str">
        <f>IFERROR(INDEX(StockInData[Expiry],MATCH(ProductMaster[[#This Row],[Product ID]],StockInData[Product ID],0)),"")</f>
        <v/>
      </c>
      <c r="H312" s="47"/>
      <c r="I312" s="61">
        <f>SUMIFS(StockInData[Quantity],StockInData[Product ID],ProductMaster!$B312)-SUMIFS(StockOutData[Quantity],StockOutData[Product ID],ProductMaster!$B312)</f>
        <v>0</v>
      </c>
      <c r="J312" s="63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3" t="s">
        <v>677</v>
      </c>
      <c r="C313" s="85" t="s">
        <v>678</v>
      </c>
      <c r="D313" s="47"/>
      <c r="E313" s="47"/>
      <c r="F313" s="48"/>
      <c r="G313" s="62" t="str">
        <f>IFERROR(INDEX(StockInData[Expiry],MATCH(ProductMaster[[#This Row],[Product ID]],StockInData[Product ID],0)),"")</f>
        <v/>
      </c>
      <c r="H313" s="47"/>
      <c r="I313" s="61">
        <f>SUMIFS(StockInData[Quantity],StockInData[Product ID],ProductMaster!$B313)-SUMIFS(StockOutData[Quantity],StockOutData[Product ID],ProductMaster!$B313)</f>
        <v>0</v>
      </c>
      <c r="J313" s="63">
        <f>SUMIFS(StockInData[Value],StockInData[Product ID],ProductMaster!$B313)-SUMIFS(StockOutData[Value],StockOutData[Product ID],ProductMaster!$B313)</f>
        <v>0</v>
      </c>
    </row>
    <row r="314" spans="1:10" x14ac:dyDescent="0.25">
      <c r="A314" s="82">
        <v>313</v>
      </c>
      <c r="B314" s="83" t="s">
        <v>679</v>
      </c>
      <c r="C314" s="85" t="s">
        <v>680</v>
      </c>
      <c r="D314" s="47"/>
      <c r="E314" s="47"/>
      <c r="F314" s="48"/>
      <c r="G314" s="62" t="str">
        <f>IFERROR(INDEX(StockInData[Expiry],MATCH(ProductMaster[[#This Row],[Product ID]],StockInData[Product ID],0)),"")</f>
        <v/>
      </c>
      <c r="H314" s="47"/>
      <c r="I314" s="61">
        <f>SUMIFS(StockInData[Quantity],StockInData[Product ID],ProductMaster!$B314)-SUMIFS(StockOutData[Quantity],StockOutData[Product ID],ProductMaster!$B314)</f>
        <v>0</v>
      </c>
      <c r="J314" s="63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3" t="s">
        <v>681</v>
      </c>
      <c r="C315" s="85" t="s">
        <v>682</v>
      </c>
      <c r="D315" s="47"/>
      <c r="E315" s="47"/>
      <c r="F315" s="48"/>
      <c r="G315" s="62" t="str">
        <f>IFERROR(INDEX(StockInData[Expiry],MATCH(ProductMaster[[#This Row],[Product ID]],StockInData[Product ID],0)),"")</f>
        <v/>
      </c>
      <c r="H315" s="47"/>
      <c r="I315" s="61">
        <f>SUMIFS(StockInData[Quantity],StockInData[Product ID],ProductMaster!$B315)-SUMIFS(StockOutData[Quantity],StockOutData[Product ID],ProductMaster!$B315)</f>
        <v>0</v>
      </c>
      <c r="J315" s="63">
        <f>SUMIFS(StockInData[Value],StockInData[Product ID],ProductMaster!$B315)-SUMIFS(StockOutData[Value],StockOutData[Product ID],ProductMaster!$B315)</f>
        <v>0</v>
      </c>
    </row>
    <row r="316" spans="1:10" x14ac:dyDescent="0.25">
      <c r="A316" s="82">
        <v>315</v>
      </c>
      <c r="B316" s="83" t="s">
        <v>683</v>
      </c>
      <c r="C316" s="85" t="s">
        <v>684</v>
      </c>
      <c r="D316" s="47"/>
      <c r="E316" s="47"/>
      <c r="F316" s="48"/>
      <c r="G316" s="62" t="str">
        <f>IFERROR(INDEX(StockInData[Expiry],MATCH(ProductMaster[[#This Row],[Product ID]],StockInData[Product ID],0)),"")</f>
        <v/>
      </c>
      <c r="H316" s="47"/>
      <c r="I316" s="61">
        <f>SUMIFS(StockInData[Quantity],StockInData[Product ID],ProductMaster!$B316)-SUMIFS(StockOutData[Quantity],StockOutData[Product ID],ProductMaster!$B316)</f>
        <v>0</v>
      </c>
      <c r="J316" s="63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3" t="s">
        <v>685</v>
      </c>
      <c r="C317" s="85" t="s">
        <v>686</v>
      </c>
      <c r="D317" s="47"/>
      <c r="E317" s="47"/>
      <c r="F317" s="48"/>
      <c r="G317" s="62" t="str">
        <f>IFERROR(INDEX(StockInData[Expiry],MATCH(ProductMaster[[#This Row],[Product ID]],StockInData[Product ID],0)),"")</f>
        <v/>
      </c>
      <c r="H317" s="47"/>
      <c r="I317" s="61">
        <f>SUMIFS(StockInData[Quantity],StockInData[Product ID],ProductMaster!$B317)-SUMIFS(StockOutData[Quantity],StockOutData[Product ID],ProductMaster!$B317)</f>
        <v>0</v>
      </c>
      <c r="J317" s="63">
        <f>SUMIFS(StockInData[Value],StockInData[Product ID],ProductMaster!$B317)-SUMIFS(StockOutData[Value],StockOutData[Product ID],ProductMaster!$B317)</f>
        <v>0</v>
      </c>
    </row>
    <row r="318" spans="1:10" x14ac:dyDescent="0.25">
      <c r="A318" s="82">
        <v>317</v>
      </c>
      <c r="B318" s="83" t="s">
        <v>687</v>
      </c>
      <c r="C318" s="85" t="s">
        <v>688</v>
      </c>
      <c r="D318" s="47"/>
      <c r="E318" s="47"/>
      <c r="F318" s="48"/>
      <c r="G318" s="62" t="str">
        <f>IFERROR(INDEX(StockInData[Expiry],MATCH(ProductMaster[[#This Row],[Product ID]],StockInData[Product ID],0)),"")</f>
        <v/>
      </c>
      <c r="H318" s="47"/>
      <c r="I318" s="61">
        <f>SUMIFS(StockInData[Quantity],StockInData[Product ID],ProductMaster!$B318)-SUMIFS(StockOutData[Quantity],StockOutData[Product ID],ProductMaster!$B318)</f>
        <v>0</v>
      </c>
      <c r="J318" s="63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3" t="s">
        <v>689</v>
      </c>
      <c r="C319" s="85" t="s">
        <v>690</v>
      </c>
      <c r="D319" s="47"/>
      <c r="E319" s="47"/>
      <c r="F319" s="48"/>
      <c r="G319" s="62" t="str">
        <f>IFERROR(INDEX(StockInData[Expiry],MATCH(ProductMaster[[#This Row],[Product ID]],StockInData[Product ID],0)),"")</f>
        <v/>
      </c>
      <c r="H319" s="47"/>
      <c r="I319" s="61">
        <f>SUMIFS(StockInData[Quantity],StockInData[Product ID],ProductMaster!$B319)-SUMIFS(StockOutData[Quantity],StockOutData[Product ID],ProductMaster!$B319)</f>
        <v>0</v>
      </c>
      <c r="J319" s="63">
        <f>SUMIFS(StockInData[Value],StockInData[Product ID],ProductMaster!$B319)-SUMIFS(StockOutData[Value],StockOutData[Product ID],ProductMaster!$B319)</f>
        <v>0</v>
      </c>
    </row>
    <row r="320" spans="1:10" x14ac:dyDescent="0.25">
      <c r="A320" s="82">
        <v>319</v>
      </c>
      <c r="B320" s="83" t="s">
        <v>691</v>
      </c>
      <c r="C320" s="85" t="s">
        <v>692</v>
      </c>
      <c r="D320" s="47"/>
      <c r="E320" s="47"/>
      <c r="F320" s="48"/>
      <c r="G320" s="62" t="str">
        <f>IFERROR(INDEX(StockInData[Expiry],MATCH(ProductMaster[[#This Row],[Product ID]],StockInData[Product ID],0)),"")</f>
        <v/>
      </c>
      <c r="H320" s="47"/>
      <c r="I320" s="61">
        <f>SUMIFS(StockInData[Quantity],StockInData[Product ID],ProductMaster!$B320)-SUMIFS(StockOutData[Quantity],StockOutData[Product ID],ProductMaster!$B320)</f>
        <v>0</v>
      </c>
      <c r="J320" s="63">
        <f>SUMIFS(StockInData[Value],StockInData[Product ID],ProductMaster!$B320)-SUMIFS(StockOutData[Value],StockOutData[Product ID],ProductMaster!$B320)</f>
        <v>0</v>
      </c>
    </row>
    <row r="321" spans="1:10" hidden="1" x14ac:dyDescent="0.25">
      <c r="A321" s="60">
        <v>320</v>
      </c>
      <c r="B321" s="83" t="s">
        <v>693</v>
      </c>
      <c r="C321" s="85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2">
        <v>321</v>
      </c>
      <c r="B322" s="83" t="s">
        <v>695</v>
      </c>
      <c r="C322" s="85" t="s">
        <v>696</v>
      </c>
      <c r="D322" s="47"/>
      <c r="E322" s="47"/>
      <c r="F322" s="48"/>
      <c r="G322" s="62" t="str">
        <f>IFERROR(INDEX(StockInData[Expiry],MATCH(ProductMaster[[#This Row],[Product ID]],StockInData[Product ID],0)),"")</f>
        <v/>
      </c>
      <c r="H322" s="47"/>
      <c r="I322" s="61">
        <f>SUMIFS(StockInData[Quantity],StockInData[Product ID],ProductMaster!$B322)-SUMIFS(StockOutData[Quantity],StockOutData[Product ID],ProductMaster!$B322)</f>
        <v>0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3" t="s">
        <v>697</v>
      </c>
      <c r="C323" s="85" t="s">
        <v>698</v>
      </c>
      <c r="D323" s="47"/>
      <c r="E323" s="47"/>
      <c r="F323" s="48"/>
      <c r="G323" s="62" t="str">
        <f>IFERROR(INDEX(StockInData[Expiry],MATCH(ProductMaster[[#This Row],[Product ID]],StockInData[Product ID],0)),"")</f>
        <v/>
      </c>
      <c r="H323" s="47"/>
      <c r="I323" s="61">
        <f>SUMIFS(StockInData[Quantity],StockInData[Product ID],ProductMaster!$B323)-SUMIFS(StockOutData[Quantity],StockOutData[Product ID],ProductMaster!$B323)</f>
        <v>0</v>
      </c>
      <c r="J323" s="63">
        <f>SUMIFS(StockInData[Value],StockInData[Product ID],ProductMaster!$B323)-SUMIFS(StockOutData[Value],StockOutData[Product ID],ProductMaster!$B323)</f>
        <v>0</v>
      </c>
    </row>
    <row r="324" spans="1:10" x14ac:dyDescent="0.25">
      <c r="A324" s="82">
        <v>323</v>
      </c>
      <c r="B324" s="83" t="s">
        <v>699</v>
      </c>
      <c r="C324" s="85" t="s">
        <v>700</v>
      </c>
      <c r="D324" s="47"/>
      <c r="E324" s="47"/>
      <c r="F324" s="48"/>
      <c r="G324" s="62" t="str">
        <f>IFERROR(INDEX(StockInData[Expiry],MATCH(ProductMaster[[#This Row],[Product ID]],StockInData[Product ID],0)),"")</f>
        <v/>
      </c>
      <c r="H324" s="47"/>
      <c r="I324" s="61">
        <f>SUMIFS(StockInData[Quantity],StockInData[Product ID],ProductMaster!$B324)-SUMIFS(StockOutData[Quantity],StockOutData[Product ID],ProductMaster!$B324)</f>
        <v>0</v>
      </c>
      <c r="J324" s="63">
        <f>SUMIFS(StockInData[Value],StockInData[Product ID],ProductMaster!$B324)-SUMIFS(StockOutData[Value],StockOutData[Product ID],ProductMaster!$B324)</f>
        <v>0</v>
      </c>
    </row>
    <row r="325" spans="1:10" hidden="1" x14ac:dyDescent="0.25">
      <c r="A325" s="60">
        <v>324</v>
      </c>
      <c r="B325" s="83" t="s">
        <v>701</v>
      </c>
      <c r="C325" s="85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2">
        <v>325</v>
      </c>
      <c r="B326" s="83" t="s">
        <v>703</v>
      </c>
      <c r="C326" s="85" t="s">
        <v>704</v>
      </c>
      <c r="D326" s="47"/>
      <c r="E326" s="47"/>
      <c r="F326" s="48"/>
      <c r="G326" s="62" t="str">
        <f>IFERROR(INDEX(StockInData[Expiry],MATCH(ProductMaster[[#This Row],[Product ID]],StockInData[Product ID],0)),"")</f>
        <v/>
      </c>
      <c r="H326" s="47"/>
      <c r="I326" s="61">
        <f>SUMIFS(StockInData[Quantity],StockInData[Product ID],ProductMaster!$B326)-SUMIFS(StockOutData[Quantity],StockOutData[Product ID],ProductMaster!$B326)</f>
        <v>0</v>
      </c>
      <c r="J326" s="63">
        <f>SUMIFS(StockInData[Value],StockInData[Product ID],ProductMaster!$B326)-SUMIFS(StockOutData[Value],StockOutData[Product ID],ProductMaster!$B326)</f>
        <v>0</v>
      </c>
    </row>
    <row r="327" spans="1:10" hidden="1" x14ac:dyDescent="0.25">
      <c r="A327" s="60">
        <v>326</v>
      </c>
      <c r="B327" s="83" t="s">
        <v>705</v>
      </c>
      <c r="C327" s="85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2">
        <v>327</v>
      </c>
      <c r="B328" s="83" t="s">
        <v>707</v>
      </c>
      <c r="C328" s="85" t="s">
        <v>708</v>
      </c>
      <c r="D328" s="47"/>
      <c r="E328" s="47"/>
      <c r="F328" s="48"/>
      <c r="G328" s="62" t="str">
        <f>IFERROR(INDEX(StockInData[Expiry],MATCH(ProductMaster[[#This Row],[Product ID]],StockInData[Product ID],0)),"")</f>
        <v/>
      </c>
      <c r="H328" s="47"/>
      <c r="I328" s="61">
        <f>SUMIFS(StockInData[Quantity],StockInData[Product ID],ProductMaster!$B328)-SUMIFS(StockOutData[Quantity],StockOutData[Product ID],ProductMaster!$B328)</f>
        <v>0</v>
      </c>
      <c r="J328" s="63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3" t="s">
        <v>709</v>
      </c>
      <c r="C329" s="85" t="s">
        <v>710</v>
      </c>
      <c r="D329" s="47"/>
      <c r="E329" s="47"/>
      <c r="F329" s="48"/>
      <c r="G329" s="62" t="str">
        <f>IFERROR(INDEX(StockInData[Expiry],MATCH(ProductMaster[[#This Row],[Product ID]],StockInData[Product ID],0)),"")</f>
        <v/>
      </c>
      <c r="H329" s="47"/>
      <c r="I329" s="61">
        <f>SUMIFS(StockInData[Quantity],StockInData[Product ID],ProductMaster!$B329)-SUMIFS(StockOutData[Quantity],StockOutData[Product ID],ProductMaster!$B329)</f>
        <v>0</v>
      </c>
      <c r="J329" s="63">
        <f>SUMIFS(StockInData[Value],StockInData[Product ID],ProductMaster!$B329)-SUMIFS(StockOutData[Value],StockOutData[Product ID],ProductMaster!$B329)</f>
        <v>0</v>
      </c>
    </row>
    <row r="330" spans="1:10" hidden="1" x14ac:dyDescent="0.25">
      <c r="A330" s="82">
        <v>329</v>
      </c>
      <c r="B330" s="83" t="s">
        <v>711</v>
      </c>
      <c r="C330" s="85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3" t="s">
        <v>713</v>
      </c>
      <c r="C331" s="85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2">
        <v>331</v>
      </c>
      <c r="B332" s="83" t="s">
        <v>715</v>
      </c>
      <c r="C332" s="85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3" t="s">
        <v>717</v>
      </c>
      <c r="C333" s="85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2">
        <v>333</v>
      </c>
      <c r="B334" s="83" t="s">
        <v>719</v>
      </c>
      <c r="C334" s="85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3" t="s">
        <v>721</v>
      </c>
      <c r="C335" s="85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2">
        <v>335</v>
      </c>
      <c r="B336" s="83" t="s">
        <v>723</v>
      </c>
      <c r="C336" s="85" t="s">
        <v>724</v>
      </c>
      <c r="D336" s="47"/>
      <c r="E336" s="47"/>
      <c r="F336" s="48"/>
      <c r="G336" s="62" t="str">
        <f>IFERROR(INDEX(StockInData[Expiry],MATCH(ProductMaster[[#This Row],[Product ID]],StockInData[Product ID],0)),"")</f>
        <v/>
      </c>
      <c r="H336" s="47"/>
      <c r="I336" s="61">
        <f>SUMIFS(StockInData[Quantity],StockInData[Product ID],ProductMaster!$B336)-SUMIFS(StockOutData[Quantity],StockOutData[Product ID],ProductMaster!$B336)</f>
        <v>0</v>
      </c>
      <c r="J336" s="63">
        <f>SUMIFS(StockInData[Value],StockInData[Product ID],ProductMaster!$B336)-SUMIFS(StockOutData[Value],StockOutData[Product ID],ProductMaster!$B336)</f>
        <v>0</v>
      </c>
    </row>
    <row r="337" spans="1:10" hidden="1" x14ac:dyDescent="0.25">
      <c r="A337" s="60">
        <v>336</v>
      </c>
      <c r="B337" s="83" t="s">
        <v>725</v>
      </c>
      <c r="C337" s="85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2">
        <v>337</v>
      </c>
      <c r="B338" s="83" t="s">
        <v>727</v>
      </c>
      <c r="C338" s="85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3" t="s">
        <v>729</v>
      </c>
      <c r="C339" s="85" t="s">
        <v>730</v>
      </c>
      <c r="D339" s="47"/>
      <c r="E339" s="47"/>
      <c r="F339" s="48"/>
      <c r="G339" s="62" t="str">
        <f>IFERROR(INDEX(StockInData[Expiry],MATCH(ProductMaster[[#This Row],[Product ID]],StockInData[Product ID],0)),"")</f>
        <v/>
      </c>
      <c r="H339" s="47"/>
      <c r="I339" s="61">
        <f>SUMIFS(StockInData[Quantity],StockInData[Product ID],ProductMaster!$B339)-SUMIFS(StockOutData[Quantity],StockOutData[Product ID],ProductMaster!$B339)</f>
        <v>0</v>
      </c>
      <c r="J339" s="63">
        <f>SUMIFS(StockInData[Value],StockInData[Product ID],ProductMaster!$B339)-SUMIFS(StockOutData[Value],StockOutData[Product ID],ProductMaster!$B339)</f>
        <v>0</v>
      </c>
    </row>
    <row r="340" spans="1:10" hidden="1" x14ac:dyDescent="0.25">
      <c r="A340" s="82">
        <v>339</v>
      </c>
      <c r="B340" s="83" t="s">
        <v>731</v>
      </c>
      <c r="C340" s="85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3" t="s">
        <v>733</v>
      </c>
      <c r="C341" s="85" t="s">
        <v>734</v>
      </c>
      <c r="D341" s="47"/>
      <c r="E341" s="47"/>
      <c r="F341" s="48"/>
      <c r="G341" s="62" t="str">
        <f>IFERROR(INDEX(StockInData[Expiry],MATCH(ProductMaster[[#This Row],[Product ID]],StockInData[Product ID],0)),"")</f>
        <v/>
      </c>
      <c r="H341" s="47"/>
      <c r="I341" s="61">
        <f>SUMIFS(StockInData[Quantity],StockInData[Product ID],ProductMaster!$B341)-SUMIFS(StockOutData[Quantity],StockOutData[Product ID],ProductMaster!$B341)</f>
        <v>0</v>
      </c>
      <c r="J341" s="63">
        <f>SUMIFS(StockInData[Value],StockInData[Product ID],ProductMaster!$B341)-SUMIFS(StockOutData[Value],StockOutData[Product ID],ProductMaster!$B341)</f>
        <v>0</v>
      </c>
    </row>
    <row r="342" spans="1:10" x14ac:dyDescent="0.25">
      <c r="A342" s="82">
        <v>341</v>
      </c>
      <c r="B342" s="83" t="s">
        <v>735</v>
      </c>
      <c r="C342" s="85" t="s">
        <v>736</v>
      </c>
      <c r="D342" s="47"/>
      <c r="E342" s="47"/>
      <c r="F342" s="48"/>
      <c r="G342" s="62" t="str">
        <f>IFERROR(INDEX(StockInData[Expiry],MATCH(ProductMaster[[#This Row],[Product ID]],StockInData[Product ID],0)),"")</f>
        <v/>
      </c>
      <c r="H342" s="47"/>
      <c r="I342" s="61">
        <f>SUMIFS(StockInData[Quantity],StockInData[Product ID],ProductMaster!$B342)-SUMIFS(StockOutData[Quantity],StockOutData[Product ID],ProductMaster!$B342)</f>
        <v>0</v>
      </c>
      <c r="J342" s="63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3" t="s">
        <v>737</v>
      </c>
      <c r="C343" s="85" t="s">
        <v>738</v>
      </c>
      <c r="D343" s="47"/>
      <c r="E343" s="47"/>
      <c r="F343" s="48"/>
      <c r="G343" s="62" t="str">
        <f>IFERROR(INDEX(StockInData[Expiry],MATCH(ProductMaster[[#This Row],[Product ID]],StockInData[Product ID],0)),"")</f>
        <v/>
      </c>
      <c r="H343" s="47"/>
      <c r="I343" s="61">
        <f>SUMIFS(StockInData[Quantity],StockInData[Product ID],ProductMaster!$B343)-SUMIFS(StockOutData[Quantity],StockOutData[Product ID],ProductMaster!$B343)</f>
        <v>0</v>
      </c>
      <c r="J343" s="63">
        <f>SUMIFS(StockInData[Value],StockInData[Product ID],ProductMaster!$B343)-SUMIFS(StockOutData[Value],StockOutData[Product ID],ProductMaster!$B343)</f>
        <v>0</v>
      </c>
    </row>
    <row r="344" spans="1:10" x14ac:dyDescent="0.25">
      <c r="A344" s="82">
        <v>343</v>
      </c>
      <c r="B344" s="83" t="s">
        <v>739</v>
      </c>
      <c r="C344" s="85" t="s">
        <v>740</v>
      </c>
      <c r="D344" s="47"/>
      <c r="E344" s="47"/>
      <c r="F344" s="48"/>
      <c r="G344" s="62" t="str">
        <f>IFERROR(INDEX(StockInData[Expiry],MATCH(ProductMaster[[#This Row],[Product ID]],StockInData[Product ID],0)),"")</f>
        <v/>
      </c>
      <c r="H344" s="47"/>
      <c r="I344" s="61">
        <f>SUMIFS(StockInData[Quantity],StockInData[Product ID],ProductMaster!$B344)-SUMIFS(StockOutData[Quantity],StockOutData[Product ID],ProductMaster!$B344)</f>
        <v>0</v>
      </c>
      <c r="J344" s="63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3" t="s">
        <v>741</v>
      </c>
      <c r="C345" s="85" t="s">
        <v>742</v>
      </c>
      <c r="D345" s="47"/>
      <c r="E345" s="47"/>
      <c r="F345" s="48"/>
      <c r="G345" s="62" t="str">
        <f>IFERROR(INDEX(StockInData[Expiry],MATCH(ProductMaster[[#This Row],[Product ID]],StockInData[Product ID],0)),"")</f>
        <v/>
      </c>
      <c r="H345" s="47"/>
      <c r="I345" s="61">
        <f>SUMIFS(StockInData[Quantity],StockInData[Product ID],ProductMaster!$B345)-SUMIFS(StockOutData[Quantity],StockOutData[Product ID],ProductMaster!$B345)</f>
        <v>0</v>
      </c>
      <c r="J345" s="63">
        <f>SUMIFS(StockInData[Value],StockInData[Product ID],ProductMaster!$B345)-SUMIFS(StockOutData[Value],StockOutData[Product ID],ProductMaster!$B345)</f>
        <v>0</v>
      </c>
    </row>
    <row r="346" spans="1:10" x14ac:dyDescent="0.25">
      <c r="A346" s="82">
        <v>345</v>
      </c>
      <c r="B346" s="83" t="s">
        <v>743</v>
      </c>
      <c r="C346" s="85" t="s">
        <v>744</v>
      </c>
      <c r="D346" s="47"/>
      <c r="E346" s="47"/>
      <c r="F346" s="48"/>
      <c r="G346" s="62" t="str">
        <f>IFERROR(INDEX(StockInData[Expiry],MATCH(ProductMaster[[#This Row],[Product ID]],StockInData[Product ID],0)),"")</f>
        <v/>
      </c>
      <c r="H346" s="47"/>
      <c r="I346" s="61">
        <f>SUMIFS(StockInData[Quantity],StockInData[Product ID],ProductMaster!$B346)-SUMIFS(StockOutData[Quantity],StockOutData[Product ID],ProductMaster!$B346)</f>
        <v>0</v>
      </c>
      <c r="J346" s="63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3" t="s">
        <v>745</v>
      </c>
      <c r="C347" s="85" t="s">
        <v>746</v>
      </c>
      <c r="D347" s="47"/>
      <c r="E347" s="47"/>
      <c r="F347" s="48"/>
      <c r="G347" s="62" t="str">
        <f>IFERROR(INDEX(StockInData[Expiry],MATCH(ProductMaster[[#This Row],[Product ID]],StockInData[Product ID],0)),"")</f>
        <v/>
      </c>
      <c r="H347" s="47"/>
      <c r="I347" s="61">
        <f>SUMIFS(StockInData[Quantity],StockInData[Product ID],ProductMaster!$B347)-SUMIFS(StockOutData[Quantity],StockOutData[Product ID],ProductMaster!$B347)</f>
        <v>0</v>
      </c>
      <c r="J347" s="63">
        <f>SUMIFS(StockInData[Value],StockInData[Product ID],ProductMaster!$B347)-SUMIFS(StockOutData[Value],StockOutData[Product ID],ProductMaster!$B347)</f>
        <v>0</v>
      </c>
    </row>
    <row r="348" spans="1:10" x14ac:dyDescent="0.25">
      <c r="A348" s="82">
        <v>347</v>
      </c>
      <c r="B348" s="83" t="s">
        <v>747</v>
      </c>
      <c r="C348" s="85" t="s">
        <v>748</v>
      </c>
      <c r="D348" s="47"/>
      <c r="E348" s="47"/>
      <c r="F348" s="48"/>
      <c r="G348" s="62" t="str">
        <f>IFERROR(INDEX(StockInData[Expiry],MATCH(ProductMaster[[#This Row],[Product ID]],StockInData[Product ID],0)),"")</f>
        <v/>
      </c>
      <c r="H348" s="47"/>
      <c r="I348" s="61">
        <f>SUMIFS(StockInData[Quantity],StockInData[Product ID],ProductMaster!$B348)-SUMIFS(StockOutData[Quantity],StockOutData[Product ID],ProductMaster!$B348)</f>
        <v>0</v>
      </c>
      <c r="J348" s="63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3" t="s">
        <v>749</v>
      </c>
      <c r="C349" s="85" t="s">
        <v>750</v>
      </c>
      <c r="D349" s="47"/>
      <c r="E349" s="47"/>
      <c r="F349" s="48"/>
      <c r="G349" s="62" t="str">
        <f>IFERROR(INDEX(StockInData[Expiry],MATCH(ProductMaster[[#This Row],[Product ID]],StockInData[Product ID],0)),"")</f>
        <v/>
      </c>
      <c r="H349" s="47"/>
      <c r="I349" s="61">
        <f>SUMIFS(StockInData[Quantity],StockInData[Product ID],ProductMaster!$B349)-SUMIFS(StockOutData[Quantity],StockOutData[Product ID],ProductMaster!$B349)</f>
        <v>0</v>
      </c>
      <c r="J349" s="63">
        <f>SUMIFS(StockInData[Value],StockInData[Product ID],ProductMaster!$B349)-SUMIFS(StockOutData[Value],StockOutData[Product ID],ProductMaster!$B349)</f>
        <v>0</v>
      </c>
    </row>
    <row r="350" spans="1:10" x14ac:dyDescent="0.25">
      <c r="A350" s="82">
        <v>349</v>
      </c>
      <c r="B350" s="83" t="s">
        <v>751</v>
      </c>
      <c r="C350" s="85" t="s">
        <v>752</v>
      </c>
      <c r="D350" s="47"/>
      <c r="E350" s="47"/>
      <c r="F350" s="48"/>
      <c r="G350" s="62" t="str">
        <f>IFERROR(INDEX(StockInData[Expiry],MATCH(ProductMaster[[#This Row],[Product ID]],StockInData[Product ID],0)),"")</f>
        <v/>
      </c>
      <c r="H350" s="47"/>
      <c r="I350" s="61">
        <f>SUMIFS(StockInData[Quantity],StockInData[Product ID],ProductMaster!$B350)-SUMIFS(StockOutData[Quantity],StockOutData[Product ID],ProductMaster!$B350)</f>
        <v>0</v>
      </c>
      <c r="J350" s="63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3" t="s">
        <v>753</v>
      </c>
      <c r="C351" s="85" t="s">
        <v>754</v>
      </c>
      <c r="D351" s="47"/>
      <c r="E351" s="47"/>
      <c r="F351" s="48"/>
      <c r="G351" s="62" t="str">
        <f>IFERROR(INDEX(StockInData[Expiry],MATCH(ProductMaster[[#This Row],[Product ID]],StockInData[Product ID],0)),"")</f>
        <v/>
      </c>
      <c r="H351" s="47"/>
      <c r="I351" s="61">
        <f>SUMIFS(StockInData[Quantity],StockInData[Product ID],ProductMaster!$B351)-SUMIFS(StockOutData[Quantity],StockOutData[Product ID],ProductMaster!$B351)</f>
        <v>0</v>
      </c>
      <c r="J351" s="63">
        <f>SUMIFS(StockInData[Value],StockInData[Product ID],ProductMaster!$B351)-SUMIFS(StockOutData[Value],StockOutData[Product ID],ProductMaster!$B351)</f>
        <v>0</v>
      </c>
    </row>
    <row r="352" spans="1:10" hidden="1" x14ac:dyDescent="0.25">
      <c r="A352" s="82">
        <v>351</v>
      </c>
      <c r="B352" s="83" t="s">
        <v>755</v>
      </c>
      <c r="C352" s="85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3" t="s">
        <v>757</v>
      </c>
      <c r="C353" s="85" t="s">
        <v>758</v>
      </c>
      <c r="D353" s="47"/>
      <c r="E353" s="47"/>
      <c r="F353" s="48"/>
      <c r="G353" s="62" t="str">
        <f>IFERROR(INDEX(StockInData[Expiry],MATCH(ProductMaster[[#This Row],[Product ID]],StockInData[Product ID],0)),"")</f>
        <v/>
      </c>
      <c r="H353" s="47"/>
      <c r="I353" s="61">
        <f>SUMIFS(StockInData[Quantity],StockInData[Product ID],ProductMaster!$B353)-SUMIFS(StockOutData[Quantity],StockOutData[Product ID],ProductMaster!$B353)</f>
        <v>0</v>
      </c>
      <c r="J353" s="63">
        <f>SUMIFS(StockInData[Value],StockInData[Product ID],ProductMaster!$B353)-SUMIFS(StockOutData[Value],StockOutData[Product ID],ProductMaster!$B353)</f>
        <v>0</v>
      </c>
    </row>
    <row r="354" spans="1:10" x14ac:dyDescent="0.25">
      <c r="A354" s="82">
        <v>353</v>
      </c>
      <c r="B354" s="83" t="s">
        <v>759</v>
      </c>
      <c r="C354" s="85" t="s">
        <v>760</v>
      </c>
      <c r="D354" s="47"/>
      <c r="E354" s="47"/>
      <c r="F354" s="48"/>
      <c r="G354" s="62" t="str">
        <f>IFERROR(INDEX(StockInData[Expiry],MATCH(ProductMaster[[#This Row],[Product ID]],StockInData[Product ID],0)),"")</f>
        <v/>
      </c>
      <c r="H354" s="47"/>
      <c r="I354" s="61">
        <f>SUMIFS(StockInData[Quantity],StockInData[Product ID],ProductMaster!$B354)-SUMIFS(StockOutData[Quantity],StockOutData[Product ID],ProductMaster!$B354)</f>
        <v>0</v>
      </c>
      <c r="J354" s="63">
        <f>SUMIFS(StockInData[Value],StockInData[Product ID],ProductMaster!$B354)-SUMIFS(StockOutData[Value],StockOutData[Product ID],ProductMaster!$B354)</f>
        <v>0</v>
      </c>
    </row>
    <row r="355" spans="1:10" hidden="1" x14ac:dyDescent="0.25">
      <c r="A355" s="60">
        <v>354</v>
      </c>
      <c r="B355" s="83" t="s">
        <v>761</v>
      </c>
      <c r="C355" s="85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2">
        <v>355</v>
      </c>
      <c r="B356" s="83" t="s">
        <v>763</v>
      </c>
      <c r="C356" s="85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3" t="s">
        <v>765</v>
      </c>
      <c r="C357" s="85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2">
        <v>357</v>
      </c>
      <c r="B358" s="83" t="s">
        <v>767</v>
      </c>
      <c r="C358" s="85" t="s">
        <v>768</v>
      </c>
      <c r="D358" s="47"/>
      <c r="E358" s="47"/>
      <c r="F358" s="48"/>
      <c r="G358" s="62" t="str">
        <f>IFERROR(INDEX(StockInData[Expiry],MATCH(ProductMaster[[#This Row],[Product ID]],StockInData[Product ID],0)),"")</f>
        <v/>
      </c>
      <c r="H358" s="47"/>
      <c r="I358" s="61">
        <f>SUMIFS(StockInData[Quantity],StockInData[Product ID],ProductMaster!$B358)-SUMIFS(StockOutData[Quantity],StockOutData[Product ID],ProductMaster!$B358)</f>
        <v>0</v>
      </c>
      <c r="J358" s="63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3" t="s">
        <v>769</v>
      </c>
      <c r="C359" s="85" t="s">
        <v>770</v>
      </c>
      <c r="D359" s="47"/>
      <c r="E359" s="47"/>
      <c r="F359" s="48"/>
      <c r="G359" s="62" t="str">
        <f>IFERROR(INDEX(StockInData[Expiry],MATCH(ProductMaster[[#This Row],[Product ID]],StockInData[Product ID],0)),"")</f>
        <v/>
      </c>
      <c r="H359" s="47"/>
      <c r="I359" s="61">
        <f>SUMIFS(StockInData[Quantity],StockInData[Product ID],ProductMaster!$B359)-SUMIFS(StockOutData[Quantity],StockOutData[Product ID],ProductMaster!$B359)</f>
        <v>0</v>
      </c>
      <c r="J359" s="63">
        <f>SUMIFS(StockInData[Value],StockInData[Product ID],ProductMaster!$B359)-SUMIFS(StockOutData[Value],StockOutData[Product ID],ProductMaster!$B359)</f>
        <v>0</v>
      </c>
    </row>
    <row r="360" spans="1:10" hidden="1" x14ac:dyDescent="0.25">
      <c r="A360" s="82">
        <v>359</v>
      </c>
      <c r="B360" s="83" t="s">
        <v>771</v>
      </c>
      <c r="C360" s="85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3" t="s">
        <v>773</v>
      </c>
      <c r="C361" s="85" t="s">
        <v>774</v>
      </c>
      <c r="D361" s="47"/>
      <c r="E361" s="47"/>
      <c r="F361" s="48"/>
      <c r="G361" s="62" t="str">
        <f>IFERROR(INDEX(StockInData[Expiry],MATCH(ProductMaster[[#This Row],[Product ID]],StockInData[Product ID],0)),"")</f>
        <v/>
      </c>
      <c r="H361" s="47"/>
      <c r="I361" s="61">
        <f>SUMIFS(StockInData[Quantity],StockInData[Product ID],ProductMaster!$B361)-SUMIFS(StockOutData[Quantity],StockOutData[Product ID],ProductMaster!$B361)</f>
        <v>0</v>
      </c>
      <c r="J361" s="63">
        <f>SUMIFS(StockInData[Value],StockInData[Product ID],ProductMaster!$B361)-SUMIFS(StockOutData[Value],StockOutData[Product ID],ProductMaster!$B361)</f>
        <v>0</v>
      </c>
    </row>
    <row r="362" spans="1:10" x14ac:dyDescent="0.25">
      <c r="A362" s="82">
        <v>361</v>
      </c>
      <c r="B362" s="83" t="s">
        <v>775</v>
      </c>
      <c r="C362" s="85" t="s">
        <v>776</v>
      </c>
      <c r="D362" s="47"/>
      <c r="E362" s="47"/>
      <c r="F362" s="48"/>
      <c r="G362" s="62" t="str">
        <f>IFERROR(INDEX(StockInData[Expiry],MATCH(ProductMaster[[#This Row],[Product ID]],StockInData[Product ID],0)),"")</f>
        <v/>
      </c>
      <c r="H362" s="47"/>
      <c r="I362" s="61">
        <f>SUMIFS(StockInData[Quantity],StockInData[Product ID],ProductMaster!$B362)-SUMIFS(StockOutData[Quantity],StockOutData[Product ID],ProductMaster!$B362)</f>
        <v>0</v>
      </c>
      <c r="J362" s="63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3" t="s">
        <v>777</v>
      </c>
      <c r="C363" s="85" t="s">
        <v>778</v>
      </c>
      <c r="D363" s="47"/>
      <c r="E363" s="47"/>
      <c r="F363" s="48"/>
      <c r="G363" s="62" t="str">
        <f>IFERROR(INDEX(StockInData[Expiry],MATCH(ProductMaster[[#This Row],[Product ID]],StockInData[Product ID],0)),"")</f>
        <v/>
      </c>
      <c r="H363" s="47"/>
      <c r="I363" s="61">
        <f>SUMIFS(StockInData[Quantity],StockInData[Product ID],ProductMaster!$B363)-SUMIFS(StockOutData[Quantity],StockOutData[Product ID],ProductMaster!$B363)</f>
        <v>0</v>
      </c>
      <c r="J363" s="63">
        <f>SUMIFS(StockInData[Value],StockInData[Product ID],ProductMaster!$B363)-SUMIFS(StockOutData[Value],StockOutData[Product ID],ProductMaster!$B363)</f>
        <v>0</v>
      </c>
    </row>
    <row r="364" spans="1:10" hidden="1" x14ac:dyDescent="0.25">
      <c r="A364" s="82">
        <v>363</v>
      </c>
      <c r="B364" s="83" t="s">
        <v>779</v>
      </c>
      <c r="C364" s="85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3" t="s">
        <v>781</v>
      </c>
      <c r="C365" s="85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2">
        <v>365</v>
      </c>
      <c r="B366" s="83" t="s">
        <v>783</v>
      </c>
      <c r="C366" s="85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3" t="s">
        <v>785</v>
      </c>
      <c r="C367" s="85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82">
        <v>367</v>
      </c>
      <c r="B368" s="83" t="s">
        <v>787</v>
      </c>
      <c r="C368" s="85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3" t="s">
        <v>789</v>
      </c>
      <c r="C369" s="85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2">
        <v>369</v>
      </c>
      <c r="B370" s="83" t="s">
        <v>791</v>
      </c>
      <c r="C370" s="85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3" t="s">
        <v>793</v>
      </c>
      <c r="C371" s="85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2">
        <v>371</v>
      </c>
      <c r="B372" s="83" t="s">
        <v>795</v>
      </c>
      <c r="C372" s="85" t="s">
        <v>796</v>
      </c>
      <c r="D372" s="47"/>
      <c r="E372" s="47"/>
      <c r="F372" s="48"/>
      <c r="G372" s="62" t="str">
        <f>IFERROR(INDEX(StockInData[Expiry],MATCH(ProductMaster[[#This Row],[Product ID]],StockInData[Product ID],0)),"")</f>
        <v/>
      </c>
      <c r="H372" s="47"/>
      <c r="I372" s="61">
        <f>SUMIFS(StockInData[Quantity],StockInData[Product ID],ProductMaster!$B372)-SUMIFS(StockOutData[Quantity],StockOutData[Product ID],ProductMaster!$B372)</f>
        <v>0</v>
      </c>
      <c r="J372" s="63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3" t="s">
        <v>797</v>
      </c>
      <c r="C373" s="85" t="s">
        <v>798</v>
      </c>
      <c r="D373" s="47"/>
      <c r="E373" s="47"/>
      <c r="F373" s="48"/>
      <c r="G373" s="62" t="str">
        <f>IFERROR(INDEX(StockInData[Expiry],MATCH(ProductMaster[[#This Row],[Product ID]],StockInData[Product ID],0)),"")</f>
        <v/>
      </c>
      <c r="H373" s="47"/>
      <c r="I373" s="61">
        <f>SUMIFS(StockInData[Quantity],StockInData[Product ID],ProductMaster!$B373)-SUMIFS(StockOutData[Quantity],StockOutData[Product ID],ProductMaster!$B373)</f>
        <v>0</v>
      </c>
      <c r="J373" s="63">
        <f>SUMIFS(StockInData[Value],StockInData[Product ID],ProductMaster!$B373)-SUMIFS(StockOutData[Value],StockOutData[Product ID],ProductMaster!$B373)</f>
        <v>0</v>
      </c>
    </row>
    <row r="374" spans="1:10" x14ac:dyDescent="0.25">
      <c r="A374" s="82">
        <v>373</v>
      </c>
      <c r="B374" s="83" t="s">
        <v>799</v>
      </c>
      <c r="C374" s="85" t="s">
        <v>800</v>
      </c>
      <c r="D374" s="47"/>
      <c r="E374" s="47"/>
      <c r="F374" s="48"/>
      <c r="G374" s="62" t="str">
        <f>IFERROR(INDEX(StockInData[Expiry],MATCH(ProductMaster[[#This Row],[Product ID]],StockInData[Product ID],0)),"")</f>
        <v/>
      </c>
      <c r="H374" s="47"/>
      <c r="I374" s="61">
        <f>SUMIFS(StockInData[Quantity],StockInData[Product ID],ProductMaster!$B374)-SUMIFS(StockOutData[Quantity],StockOutData[Product ID],ProductMaster!$B374)</f>
        <v>0</v>
      </c>
      <c r="J374" s="63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3" t="s">
        <v>801</v>
      </c>
      <c r="C375" s="85" t="s">
        <v>802</v>
      </c>
      <c r="D375" s="47"/>
      <c r="E375" s="47"/>
      <c r="F375" s="48"/>
      <c r="G375" s="62" t="str">
        <f>IFERROR(INDEX(StockInData[Expiry],MATCH(ProductMaster[[#This Row],[Product ID]],StockInData[Product ID],0)),"")</f>
        <v/>
      </c>
      <c r="H375" s="47"/>
      <c r="I375" s="61">
        <f>SUMIFS(StockInData[Quantity],StockInData[Product ID],ProductMaster!$B375)-SUMIFS(StockOutData[Quantity],StockOutData[Product ID],ProductMaster!$B375)</f>
        <v>0</v>
      </c>
      <c r="J375" s="63">
        <f>SUMIFS(StockInData[Value],StockInData[Product ID],ProductMaster!$B375)-SUMIFS(StockOutData[Value],StockOutData[Product ID],ProductMaster!$B375)</f>
        <v>0</v>
      </c>
    </row>
    <row r="376" spans="1:10" hidden="1" x14ac:dyDescent="0.25">
      <c r="A376" s="82">
        <v>375</v>
      </c>
      <c r="B376" s="83" t="s">
        <v>803</v>
      </c>
      <c r="C376" s="85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3" t="s">
        <v>805</v>
      </c>
      <c r="C377" s="85" t="s">
        <v>806</v>
      </c>
      <c r="D377" s="47"/>
      <c r="E377" s="47"/>
      <c r="F377" s="48"/>
      <c r="G377" s="62" t="str">
        <f>IFERROR(INDEX(StockInData[Expiry],MATCH(ProductMaster[[#This Row],[Product ID]],StockInData[Product ID],0)),"")</f>
        <v/>
      </c>
      <c r="H377" s="47"/>
      <c r="I377" s="61">
        <f>SUMIFS(StockInData[Quantity],StockInData[Product ID],ProductMaster!$B377)-SUMIFS(StockOutData[Quantity],StockOutData[Product ID],ProductMaster!$B377)</f>
        <v>0</v>
      </c>
      <c r="J377" s="63">
        <f>SUMIFS(StockInData[Value],StockInData[Product ID],ProductMaster!$B377)-SUMIFS(StockOutData[Value],StockOutData[Product ID],ProductMaster!$B377)</f>
        <v>0</v>
      </c>
    </row>
    <row r="378" spans="1:10" x14ac:dyDescent="0.25">
      <c r="A378" s="82">
        <v>377</v>
      </c>
      <c r="B378" s="83" t="s">
        <v>807</v>
      </c>
      <c r="C378" s="85" t="s">
        <v>808</v>
      </c>
      <c r="D378" s="47"/>
      <c r="E378" s="47"/>
      <c r="F378" s="48"/>
      <c r="G378" s="62" t="str">
        <f>IFERROR(INDEX(StockInData[Expiry],MATCH(ProductMaster[[#This Row],[Product ID]],StockInData[Product ID],0)),"")</f>
        <v/>
      </c>
      <c r="H378" s="47"/>
      <c r="I378" s="61">
        <f>SUMIFS(StockInData[Quantity],StockInData[Product ID],ProductMaster!$B378)-SUMIFS(StockOutData[Quantity],StockOutData[Product ID],ProductMaster!$B378)</f>
        <v>0</v>
      </c>
      <c r="J378" s="63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3" t="s">
        <v>809</v>
      </c>
      <c r="C379" s="85" t="s">
        <v>810</v>
      </c>
      <c r="D379" s="47"/>
      <c r="E379" s="47"/>
      <c r="F379" s="48"/>
      <c r="G379" s="62" t="str">
        <f>IFERROR(INDEX(StockInData[Expiry],MATCH(ProductMaster[[#This Row],[Product ID]],StockInData[Product ID],0)),"")</f>
        <v/>
      </c>
      <c r="H379" s="47"/>
      <c r="I379" s="61">
        <f>SUMIFS(StockInData[Quantity],StockInData[Product ID],ProductMaster!$B379)-SUMIFS(StockOutData[Quantity],StockOutData[Product ID],ProductMaster!$B379)</f>
        <v>0</v>
      </c>
      <c r="J379" s="63">
        <f>SUMIFS(StockInData[Value],StockInData[Product ID],ProductMaster!$B379)-SUMIFS(StockOutData[Value],StockOutData[Product ID],ProductMaster!$B379)</f>
        <v>0</v>
      </c>
    </row>
    <row r="380" spans="1:10" hidden="1" x14ac:dyDescent="0.25">
      <c r="A380" s="82">
        <v>379</v>
      </c>
      <c r="B380" s="83" t="s">
        <v>811</v>
      </c>
      <c r="C380" s="85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3" t="s">
        <v>813</v>
      </c>
      <c r="C381" s="85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2">
        <v>381</v>
      </c>
      <c r="B382" s="83" t="s">
        <v>815</v>
      </c>
      <c r="C382" s="85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3" t="s">
        <v>817</v>
      </c>
      <c r="C383" s="85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2">
        <v>383</v>
      </c>
      <c r="B384" s="83" t="s">
        <v>819</v>
      </c>
      <c r="C384" s="85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3" t="s">
        <v>821</v>
      </c>
      <c r="C385" s="85" t="s">
        <v>822</v>
      </c>
      <c r="D385" s="47"/>
      <c r="E385" s="47"/>
      <c r="F385" s="48"/>
      <c r="G385" s="62" t="str">
        <f>IFERROR(INDEX(StockInData[Expiry],MATCH(ProductMaster[[#This Row],[Product ID]],StockInData[Product ID],0)),"")</f>
        <v/>
      </c>
      <c r="H385" s="47"/>
      <c r="I385" s="61">
        <f>SUMIFS(StockInData[Quantity],StockInData[Product ID],ProductMaster!$B385)-SUMIFS(StockOutData[Quantity],StockOutData[Product ID],ProductMaster!$B385)</f>
        <v>0</v>
      </c>
      <c r="J385" s="63">
        <f>SUMIFS(StockInData[Value],StockInData[Product ID],ProductMaster!$B385)-SUMIFS(StockOutData[Value],StockOutData[Product ID],ProductMaster!$B385)</f>
        <v>0</v>
      </c>
    </row>
    <row r="386" spans="1:10" x14ac:dyDescent="0.25">
      <c r="A386" s="82">
        <v>385</v>
      </c>
      <c r="B386" s="83" t="s">
        <v>823</v>
      </c>
      <c r="C386" s="85" t="s">
        <v>824</v>
      </c>
      <c r="D386" s="47"/>
      <c r="E386" s="47"/>
      <c r="F386" s="48"/>
      <c r="G386" s="62" t="str">
        <f>IFERROR(INDEX(StockInData[Expiry],MATCH(ProductMaster[[#This Row],[Product ID]],StockInData[Product ID],0)),"")</f>
        <v/>
      </c>
      <c r="H386" s="47"/>
      <c r="I386" s="61">
        <f>SUMIFS(StockInData[Quantity],StockInData[Product ID],ProductMaster!$B386)-SUMIFS(StockOutData[Quantity],StockOutData[Product ID],ProductMaster!$B386)</f>
        <v>0</v>
      </c>
      <c r="J386" s="63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3" t="s">
        <v>825</v>
      </c>
      <c r="C387" s="85" t="s">
        <v>826</v>
      </c>
      <c r="D387" s="47"/>
      <c r="E387" s="47"/>
      <c r="F387" s="48"/>
      <c r="G387" s="62" t="str">
        <f>IFERROR(INDEX(StockInData[Expiry],MATCH(ProductMaster[[#This Row],[Product ID]],StockInData[Product ID],0)),"")</f>
        <v/>
      </c>
      <c r="H387" s="47"/>
      <c r="I387" s="61">
        <f>SUMIFS(StockInData[Quantity],StockInData[Product ID],ProductMaster!$B387)-SUMIFS(StockOutData[Quantity],StockOutData[Product ID],ProductMaster!$B387)</f>
        <v>0</v>
      </c>
      <c r="J387" s="63">
        <f>SUMIFS(StockInData[Value],StockInData[Product ID],ProductMaster!$B387)-SUMIFS(StockOutData[Value],StockOutData[Product ID],ProductMaster!$B387)</f>
        <v>0</v>
      </c>
    </row>
    <row r="388" spans="1:10" x14ac:dyDescent="0.25">
      <c r="A388" s="82">
        <v>387</v>
      </c>
      <c r="B388" s="83" t="s">
        <v>827</v>
      </c>
      <c r="C388" s="85" t="s">
        <v>828</v>
      </c>
      <c r="D388" s="47"/>
      <c r="E388" s="47"/>
      <c r="F388" s="48"/>
      <c r="G388" s="62" t="str">
        <f>IFERROR(INDEX(StockInData[Expiry],MATCH(ProductMaster[[#This Row],[Product ID]],StockInData[Product ID],0)),"")</f>
        <v/>
      </c>
      <c r="H388" s="47"/>
      <c r="I388" s="61">
        <f>SUMIFS(StockInData[Quantity],StockInData[Product ID],ProductMaster!$B388)-SUMIFS(StockOutData[Quantity],StockOutData[Product ID],ProductMaster!$B388)</f>
        <v>0</v>
      </c>
      <c r="J388" s="63">
        <f>SUMIFS(StockInData[Value],StockInData[Product ID],ProductMaster!$B388)-SUMIFS(StockOutData[Value],StockOutData[Product ID],ProductMaster!$B388)</f>
        <v>0</v>
      </c>
    </row>
    <row r="389" spans="1:10" hidden="1" x14ac:dyDescent="0.25">
      <c r="A389" s="60">
        <v>388</v>
      </c>
      <c r="B389" s="83" t="s">
        <v>829</v>
      </c>
      <c r="C389" s="85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2">
        <v>389</v>
      </c>
      <c r="B390" s="83" t="s">
        <v>831</v>
      </c>
      <c r="C390" s="85" t="s">
        <v>832</v>
      </c>
      <c r="D390" s="47"/>
      <c r="E390" s="47"/>
      <c r="F390" s="48"/>
      <c r="G390" s="62" t="str">
        <f>IFERROR(INDEX(StockInData[Expiry],MATCH(ProductMaster[[#This Row],[Product ID]],StockInData[Product ID],0)),"")</f>
        <v/>
      </c>
      <c r="H390" s="47"/>
      <c r="I390" s="61">
        <f>SUMIFS(StockInData[Quantity],StockInData[Product ID],ProductMaster!$B390)-SUMIFS(StockOutData[Quantity],StockOutData[Product ID],ProductMaster!$B390)</f>
        <v>0</v>
      </c>
      <c r="J390" s="63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3" t="s">
        <v>833</v>
      </c>
      <c r="C391" s="85" t="s">
        <v>834</v>
      </c>
      <c r="D391" s="47"/>
      <c r="E391" s="47"/>
      <c r="F391" s="48"/>
      <c r="G391" s="62" t="str">
        <f>IFERROR(INDEX(StockInData[Expiry],MATCH(ProductMaster[[#This Row],[Product ID]],StockInData[Product ID],0)),"")</f>
        <v/>
      </c>
      <c r="H391" s="47"/>
      <c r="I391" s="61">
        <f>SUMIFS(StockInData[Quantity],StockInData[Product ID],ProductMaster!$B391)-SUMIFS(StockOutData[Quantity],StockOutData[Product ID],ProductMaster!$B391)</f>
        <v>0</v>
      </c>
      <c r="J391" s="63">
        <f>SUMIFS(StockInData[Value],StockInData[Product ID],ProductMaster!$B391)-SUMIFS(StockOutData[Value],StockOutData[Product ID],ProductMaster!$B391)</f>
        <v>0</v>
      </c>
    </row>
    <row r="392" spans="1:10" x14ac:dyDescent="0.25">
      <c r="A392" s="82">
        <v>391</v>
      </c>
      <c r="B392" s="83" t="s">
        <v>835</v>
      </c>
      <c r="C392" s="85" t="s">
        <v>836</v>
      </c>
      <c r="D392" s="47"/>
      <c r="E392" s="47"/>
      <c r="F392" s="48"/>
      <c r="G392" s="62" t="str">
        <f>IFERROR(INDEX(StockInData[Expiry],MATCH(ProductMaster[[#This Row],[Product ID]],StockInData[Product ID],0)),"")</f>
        <v/>
      </c>
      <c r="H392" s="47"/>
      <c r="I392" s="61">
        <f>SUMIFS(StockInData[Quantity],StockInData[Product ID],ProductMaster!$B392)-SUMIFS(StockOutData[Quantity],StockOutData[Product ID],ProductMaster!$B392)</f>
        <v>0</v>
      </c>
      <c r="J392" s="63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3" t="s">
        <v>837</v>
      </c>
      <c r="C393" s="85" t="s">
        <v>838</v>
      </c>
      <c r="D393" s="47"/>
      <c r="E393" s="47"/>
      <c r="F393" s="48"/>
      <c r="G393" s="62" t="str">
        <f>IFERROR(INDEX(StockInData[Expiry],MATCH(ProductMaster[[#This Row],[Product ID]],StockInData[Product ID],0)),"")</f>
        <v/>
      </c>
      <c r="H393" s="47"/>
      <c r="I393" s="61">
        <f>SUMIFS(StockInData[Quantity],StockInData[Product ID],ProductMaster!$B393)-SUMIFS(StockOutData[Quantity],StockOutData[Product ID],ProductMaster!$B393)</f>
        <v>0</v>
      </c>
      <c r="J393" s="63">
        <f>SUMIFS(StockInData[Value],StockInData[Product ID],ProductMaster!$B393)-SUMIFS(StockOutData[Value],StockOutData[Product ID],ProductMaster!$B393)</f>
        <v>0</v>
      </c>
    </row>
    <row r="394" spans="1:10" x14ac:dyDescent="0.25">
      <c r="A394" s="82">
        <v>393</v>
      </c>
      <c r="B394" s="83" t="s">
        <v>839</v>
      </c>
      <c r="C394" s="85" t="s">
        <v>840</v>
      </c>
      <c r="D394" s="47"/>
      <c r="E394" s="47"/>
      <c r="F394" s="48"/>
      <c r="G394" s="62" t="str">
        <f>IFERROR(INDEX(StockInData[Expiry],MATCH(ProductMaster[[#This Row],[Product ID]],StockInData[Product ID],0)),"")</f>
        <v/>
      </c>
      <c r="H394" s="47"/>
      <c r="I394" s="61">
        <f>SUMIFS(StockInData[Quantity],StockInData[Product ID],ProductMaster!$B394)-SUMIFS(StockOutData[Quantity],StockOutData[Product ID],ProductMaster!$B394)</f>
        <v>0</v>
      </c>
      <c r="J394" s="63">
        <f>SUMIFS(StockInData[Value],StockInData[Product ID],ProductMaster!$B394)-SUMIFS(StockOutData[Value],StockOutData[Product ID],ProductMaster!$B394)</f>
        <v>0</v>
      </c>
    </row>
    <row r="395" spans="1:10" hidden="1" x14ac:dyDescent="0.25">
      <c r="A395" s="60">
        <v>394</v>
      </c>
      <c r="B395" s="83" t="s">
        <v>841</v>
      </c>
      <c r="C395" s="85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2">
        <v>395</v>
      </c>
      <c r="B396" s="83" t="s">
        <v>843</v>
      </c>
      <c r="C396" s="85" t="s">
        <v>844</v>
      </c>
      <c r="D396" s="47"/>
      <c r="E396" s="47"/>
      <c r="F396" s="48"/>
      <c r="G396" s="62" t="str">
        <f>IFERROR(INDEX(StockInData[Expiry],MATCH(ProductMaster[[#This Row],[Product ID]],StockInData[Product ID],0)),"")</f>
        <v/>
      </c>
      <c r="H396" s="47"/>
      <c r="I396" s="61">
        <f>SUMIFS(StockInData[Quantity],StockInData[Product ID],ProductMaster!$B396)-SUMIFS(StockOutData[Quantity],StockOutData[Product ID],ProductMaster!$B396)</f>
        <v>0</v>
      </c>
      <c r="J396" s="63">
        <f>SUMIFS(StockInData[Value],StockInData[Product ID],ProductMaster!$B396)-SUMIFS(StockOutData[Value],StockOutData[Product ID],ProductMaster!$B396)</f>
        <v>0</v>
      </c>
    </row>
    <row r="397" spans="1:10" hidden="1" x14ac:dyDescent="0.25">
      <c r="A397" s="60">
        <v>396</v>
      </c>
      <c r="B397" s="83" t="s">
        <v>845</v>
      </c>
      <c r="C397" s="85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2">
        <v>397</v>
      </c>
      <c r="B398" s="83" t="s">
        <v>847</v>
      </c>
      <c r="C398" s="85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3" t="s">
        <v>849</v>
      </c>
      <c r="C399" s="85" t="s">
        <v>850</v>
      </c>
      <c r="D399" s="47"/>
      <c r="E399" s="47"/>
      <c r="F399" s="48"/>
      <c r="G399" s="62" t="str">
        <f>IFERROR(INDEX(StockInData[Expiry],MATCH(ProductMaster[[#This Row],[Product ID]],StockInData[Product ID],0)),"")</f>
        <v/>
      </c>
      <c r="H399" s="47"/>
      <c r="I399" s="61">
        <f>SUMIFS(StockInData[Quantity],StockInData[Product ID],ProductMaster!$B399)-SUMIFS(StockOutData[Quantity],StockOutData[Product ID],ProductMaster!$B399)</f>
        <v>0</v>
      </c>
      <c r="J399" s="63">
        <f>SUMIFS(StockInData[Value],StockInData[Product ID],ProductMaster!$B399)-SUMIFS(StockOutData[Value],StockOutData[Product ID],ProductMaster!$B399)</f>
        <v>0</v>
      </c>
    </row>
    <row r="400" spans="1:10" hidden="1" x14ac:dyDescent="0.25">
      <c r="A400" s="82">
        <v>399</v>
      </c>
      <c r="B400" s="83" t="s">
        <v>851</v>
      </c>
      <c r="C400" s="85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3" t="s">
        <v>853</v>
      </c>
      <c r="C401" s="85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2">
        <v>401</v>
      </c>
      <c r="B402" s="83" t="s">
        <v>855</v>
      </c>
      <c r="C402" s="85" t="s">
        <v>856</v>
      </c>
      <c r="D402" s="47"/>
      <c r="E402" s="47"/>
      <c r="F402" s="48"/>
      <c r="G402" s="62" t="str">
        <f>IFERROR(INDEX(StockInData[Expiry],MATCH(ProductMaster[[#This Row],[Product ID]],StockInData[Product ID],0)),"")</f>
        <v/>
      </c>
      <c r="H402" s="47"/>
      <c r="I402" s="61">
        <f>SUMIFS(StockInData[Quantity],StockInData[Product ID],ProductMaster!$B402)-SUMIFS(StockOutData[Quantity],StockOutData[Product ID],ProductMaster!$B402)</f>
        <v>0</v>
      </c>
      <c r="J402" s="63">
        <f>SUMIFS(StockInData[Value],StockInData[Product ID],ProductMaster!$B402)-SUMIFS(StockOutData[Value],StockOutData[Product ID],ProductMaster!$B402)</f>
        <v>0</v>
      </c>
    </row>
    <row r="403" spans="1:10" hidden="1" x14ac:dyDescent="0.25">
      <c r="A403" s="60">
        <v>402</v>
      </c>
      <c r="B403" s="83" t="s">
        <v>857</v>
      </c>
      <c r="C403" s="85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2">
        <v>403</v>
      </c>
      <c r="B404" s="83" t="s">
        <v>859</v>
      </c>
      <c r="C404" s="85" t="s">
        <v>860</v>
      </c>
      <c r="D404" s="47"/>
      <c r="E404" s="47"/>
      <c r="F404" s="48"/>
      <c r="G404" s="62" t="str">
        <f>IFERROR(INDEX(StockInData[Expiry],MATCH(ProductMaster[[#This Row],[Product ID]],StockInData[Product ID],0)),"")</f>
        <v/>
      </c>
      <c r="H404" s="47"/>
      <c r="I404" s="61">
        <f>SUMIFS(StockInData[Quantity],StockInData[Product ID],ProductMaster!$B404)-SUMIFS(StockOutData[Quantity],StockOutData[Product ID],ProductMaster!$B404)</f>
        <v>0</v>
      </c>
      <c r="J404" s="63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3" t="s">
        <v>861</v>
      </c>
      <c r="C405" s="85" t="s">
        <v>862</v>
      </c>
      <c r="D405" s="47"/>
      <c r="E405" s="47"/>
      <c r="F405" s="48"/>
      <c r="G405" s="62" t="str">
        <f>IFERROR(INDEX(StockInData[Expiry],MATCH(ProductMaster[[#This Row],[Product ID]],StockInData[Product ID],0)),"")</f>
        <v/>
      </c>
      <c r="H405" s="47"/>
      <c r="I405" s="61">
        <f>SUMIFS(StockInData[Quantity],StockInData[Product ID],ProductMaster!$B405)-SUMIFS(StockOutData[Quantity],StockOutData[Product ID],ProductMaster!$B405)</f>
        <v>0</v>
      </c>
      <c r="J405" s="63">
        <f>SUMIFS(StockInData[Value],StockInData[Product ID],ProductMaster!$B405)-SUMIFS(StockOutData[Value],StockOutData[Product ID],ProductMaster!$B405)</f>
        <v>0</v>
      </c>
    </row>
    <row r="406" spans="1:10" x14ac:dyDescent="0.25">
      <c r="A406" s="82">
        <v>405</v>
      </c>
      <c r="B406" s="83" t="s">
        <v>863</v>
      </c>
      <c r="C406" s="85" t="s">
        <v>864</v>
      </c>
      <c r="D406" s="47"/>
      <c r="E406" s="47"/>
      <c r="F406" s="48"/>
      <c r="G406" s="62" t="str">
        <f>IFERROR(INDEX(StockInData[Expiry],MATCH(ProductMaster[[#This Row],[Product ID]],StockInData[Product ID],0)),"")</f>
        <v/>
      </c>
      <c r="H406" s="47"/>
      <c r="I406" s="61">
        <f>SUMIFS(StockInData[Quantity],StockInData[Product ID],ProductMaster!$B406)-SUMIFS(StockOutData[Quantity],StockOutData[Product ID],ProductMaster!$B406)</f>
        <v>0</v>
      </c>
      <c r="J406" s="63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3" t="s">
        <v>865</v>
      </c>
      <c r="C407" s="85" t="s">
        <v>866</v>
      </c>
      <c r="D407" s="47"/>
      <c r="E407" s="47"/>
      <c r="F407" s="48"/>
      <c r="G407" s="62" t="str">
        <f>IFERROR(INDEX(StockInData[Expiry],MATCH(ProductMaster[[#This Row],[Product ID]],StockInData[Product ID],0)),"")</f>
        <v/>
      </c>
      <c r="H407" s="47"/>
      <c r="I407" s="61">
        <f>SUMIFS(StockInData[Quantity],StockInData[Product ID],ProductMaster!$B407)-SUMIFS(StockOutData[Quantity],StockOutData[Product ID],ProductMaster!$B407)</f>
        <v>0</v>
      </c>
      <c r="J407" s="63">
        <f>SUMIFS(StockInData[Value],StockInData[Product ID],ProductMaster!$B407)-SUMIFS(StockOutData[Value],StockOutData[Product ID],ProductMaster!$B407)</f>
        <v>0</v>
      </c>
    </row>
    <row r="408" spans="1:10" x14ac:dyDescent="0.25">
      <c r="A408" s="82">
        <v>407</v>
      </c>
      <c r="B408" s="83" t="s">
        <v>867</v>
      </c>
      <c r="C408" s="85" t="s">
        <v>868</v>
      </c>
      <c r="D408" s="47"/>
      <c r="E408" s="47"/>
      <c r="F408" s="48"/>
      <c r="G408" s="62" t="str">
        <f>IFERROR(INDEX(StockInData[Expiry],MATCH(ProductMaster[[#This Row],[Product ID]],StockInData[Product ID],0)),"")</f>
        <v/>
      </c>
      <c r="H408" s="47"/>
      <c r="I408" s="61">
        <f>SUMIFS(StockInData[Quantity],StockInData[Product ID],ProductMaster!$B408)-SUMIFS(StockOutData[Quantity],StockOutData[Product ID],ProductMaster!$B408)</f>
        <v>0</v>
      </c>
      <c r="J408" s="63">
        <f>SUMIFS(StockInData[Value],StockInData[Product ID],ProductMaster!$B408)-SUMIFS(StockOutData[Value],StockOutData[Product ID],ProductMaster!$B408)</f>
        <v>0</v>
      </c>
    </row>
    <row r="409" spans="1:10" hidden="1" x14ac:dyDescent="0.25">
      <c r="A409" s="60">
        <v>408</v>
      </c>
      <c r="B409" s="83" t="s">
        <v>869</v>
      </c>
      <c r="C409" s="85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2">
        <v>409</v>
      </c>
      <c r="B410" s="83" t="s">
        <v>871</v>
      </c>
      <c r="C410" s="85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3" t="s">
        <v>873</v>
      </c>
      <c r="C411" s="85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2">
        <v>411</v>
      </c>
      <c r="B412" s="83" t="s">
        <v>875</v>
      </c>
      <c r="C412" s="85" t="s">
        <v>876</v>
      </c>
      <c r="D412" s="47"/>
      <c r="E412" s="47"/>
      <c r="F412" s="48"/>
      <c r="G412" s="62" t="str">
        <f>IFERROR(INDEX(StockInData[Expiry],MATCH(ProductMaster[[#This Row],[Product ID]],StockInData[Product ID],0)),"")</f>
        <v/>
      </c>
      <c r="H412" s="47"/>
      <c r="I412" s="61">
        <f>SUMIFS(StockInData[Quantity],StockInData[Product ID],ProductMaster!$B412)-SUMIFS(StockOutData[Quantity],StockOutData[Product ID],ProductMaster!$B412)</f>
        <v>0</v>
      </c>
      <c r="J412" s="63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3" t="s">
        <v>877</v>
      </c>
      <c r="C413" s="85" t="s">
        <v>878</v>
      </c>
      <c r="D413" s="47"/>
      <c r="E413" s="47"/>
      <c r="F413" s="48"/>
      <c r="G413" s="62" t="str">
        <f>IFERROR(INDEX(StockInData[Expiry],MATCH(ProductMaster[[#This Row],[Product ID]],StockInData[Product ID],0)),"")</f>
        <v/>
      </c>
      <c r="H413" s="47"/>
      <c r="I413" s="61">
        <f>SUMIFS(StockInData[Quantity],StockInData[Product ID],ProductMaster!$B413)-SUMIFS(StockOutData[Quantity],StockOutData[Product ID],ProductMaster!$B413)</f>
        <v>0</v>
      </c>
      <c r="J413" s="63">
        <f>SUMIFS(StockInData[Value],StockInData[Product ID],ProductMaster!$B413)-SUMIFS(StockOutData[Value],StockOutData[Product ID],ProductMaster!$B413)</f>
        <v>0</v>
      </c>
    </row>
    <row r="414" spans="1:10" x14ac:dyDescent="0.25">
      <c r="A414" s="82">
        <v>413</v>
      </c>
      <c r="B414" s="83" t="s">
        <v>879</v>
      </c>
      <c r="C414" s="85" t="s">
        <v>880</v>
      </c>
      <c r="D414" s="47"/>
      <c r="E414" s="47"/>
      <c r="F414" s="48"/>
      <c r="G414" s="62" t="str">
        <f>IFERROR(INDEX(StockInData[Expiry],MATCH(ProductMaster[[#This Row],[Product ID]],StockInData[Product ID],0)),"")</f>
        <v/>
      </c>
      <c r="H414" s="47"/>
      <c r="I414" s="61">
        <f>SUMIFS(StockInData[Quantity],StockInData[Product ID],ProductMaster!$B414)-SUMIFS(StockOutData[Quantity],StockOutData[Product ID],ProductMaster!$B414)</f>
        <v>0</v>
      </c>
      <c r="J414" s="63">
        <f>SUMIFS(StockInData[Value],StockInData[Product ID],ProductMaster!$B414)-SUMIFS(StockOutData[Value],StockOutData[Product ID],ProductMaster!$B414)</f>
        <v>0</v>
      </c>
    </row>
    <row r="415" spans="1:10" hidden="1" x14ac:dyDescent="0.25">
      <c r="A415" s="60">
        <v>414</v>
      </c>
      <c r="B415" s="83" t="s">
        <v>881</v>
      </c>
      <c r="C415" s="85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2">
        <v>415</v>
      </c>
      <c r="B416" s="83" t="s">
        <v>883</v>
      </c>
      <c r="C416" s="85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3" t="s">
        <v>885</v>
      </c>
      <c r="C417" s="85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2">
        <v>417</v>
      </c>
      <c r="B418" s="83" t="s">
        <v>887</v>
      </c>
      <c r="C418" s="85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3" t="s">
        <v>889</v>
      </c>
      <c r="C419" s="85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2">
        <v>419</v>
      </c>
      <c r="B420" s="83" t="s">
        <v>891</v>
      </c>
      <c r="C420" s="85" t="s">
        <v>892</v>
      </c>
      <c r="D420" s="47"/>
      <c r="E420" s="47"/>
      <c r="F420" s="48"/>
      <c r="G420" s="62" t="str">
        <f>IFERROR(INDEX(StockInData[Expiry],MATCH(ProductMaster[[#This Row],[Product ID]],StockInData[Product ID],0)),"")</f>
        <v/>
      </c>
      <c r="H420" s="47"/>
      <c r="I420" s="61">
        <f>SUMIFS(StockInData[Quantity],StockInData[Product ID],ProductMaster!$B420)-SUMIFS(StockOutData[Quantity],StockOutData[Product ID],ProductMaster!$B420)</f>
        <v>0</v>
      </c>
      <c r="J420" s="63">
        <f>SUMIFS(StockInData[Value],StockInData[Product ID],ProductMaster!$B420)-SUMIFS(StockOutData[Value],StockOutData[Product ID],ProductMaster!$B420)</f>
        <v>0</v>
      </c>
    </row>
    <row r="421" spans="1:10" hidden="1" x14ac:dyDescent="0.25">
      <c r="A421" s="60">
        <v>420</v>
      </c>
      <c r="B421" s="83" t="s">
        <v>893</v>
      </c>
      <c r="C421" s="85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2">
        <v>421</v>
      </c>
      <c r="B422" s="83" t="s">
        <v>895</v>
      </c>
      <c r="C422" s="85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3" t="s">
        <v>897</v>
      </c>
      <c r="C423" s="85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2">
        <v>423</v>
      </c>
      <c r="B424" s="83" t="s">
        <v>899</v>
      </c>
      <c r="C424" s="85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3" t="s">
        <v>901</v>
      </c>
      <c r="C425" s="85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2">
        <v>425</v>
      </c>
      <c r="B426" s="83" t="s">
        <v>903</v>
      </c>
      <c r="C426" s="85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3" t="s">
        <v>905</v>
      </c>
      <c r="C427" s="85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2">
        <v>427</v>
      </c>
      <c r="B428" s="83" t="s">
        <v>907</v>
      </c>
      <c r="C428" s="85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3" t="s">
        <v>909</v>
      </c>
      <c r="C429" s="85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2">
        <v>429</v>
      </c>
      <c r="B430" s="83" t="s">
        <v>911</v>
      </c>
      <c r="C430" s="85" t="s">
        <v>912</v>
      </c>
      <c r="D430" s="47"/>
      <c r="E430" s="47"/>
      <c r="F430" s="48"/>
      <c r="G430" s="62" t="str">
        <f>IFERROR(INDEX(StockInData[Expiry],MATCH(ProductMaster[[#This Row],[Product ID]],StockInData[Product ID],0)),"")</f>
        <v/>
      </c>
      <c r="H430" s="47"/>
      <c r="I430" s="61">
        <f>SUMIFS(StockInData[Quantity],StockInData[Product ID],ProductMaster!$B430)-SUMIFS(StockOutData[Quantity],StockOutData[Product ID],ProductMaster!$B430)</f>
        <v>0</v>
      </c>
      <c r="J430" s="63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3" t="s">
        <v>913</v>
      </c>
      <c r="C431" s="85" t="s">
        <v>914</v>
      </c>
      <c r="D431" s="47"/>
      <c r="E431" s="47"/>
      <c r="F431" s="48"/>
      <c r="G431" s="62" t="str">
        <f>IFERROR(INDEX(StockInData[Expiry],MATCH(ProductMaster[[#This Row],[Product ID]],StockInData[Product ID],0)),"")</f>
        <v/>
      </c>
      <c r="H431" s="47"/>
      <c r="I431" s="61">
        <f>SUMIFS(StockInData[Quantity],StockInData[Product ID],ProductMaster!$B431)-SUMIFS(StockOutData[Quantity],StockOutData[Product ID],ProductMaster!$B431)</f>
        <v>0</v>
      </c>
      <c r="J431" s="63">
        <f>SUMIFS(StockInData[Value],StockInData[Product ID],ProductMaster!$B431)-SUMIFS(StockOutData[Value],StockOutData[Product ID],ProductMaster!$B431)</f>
        <v>0</v>
      </c>
    </row>
    <row r="432" spans="1:10" x14ac:dyDescent="0.25">
      <c r="A432" s="82">
        <v>431</v>
      </c>
      <c r="B432" s="83" t="s">
        <v>915</v>
      </c>
      <c r="C432" s="85" t="s">
        <v>916</v>
      </c>
      <c r="D432" s="47"/>
      <c r="E432" s="47"/>
      <c r="F432" s="48"/>
      <c r="G432" s="62" t="str">
        <f>IFERROR(INDEX(StockInData[Expiry],MATCH(ProductMaster[[#This Row],[Product ID]],StockInData[Product ID],0)),"")</f>
        <v/>
      </c>
      <c r="H432" s="47"/>
      <c r="I432" s="61">
        <f>SUMIFS(StockInData[Quantity],StockInData[Product ID],ProductMaster!$B432)-SUMIFS(StockOutData[Quantity],StockOutData[Product ID],ProductMaster!$B432)</f>
        <v>0</v>
      </c>
      <c r="J432" s="63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3" t="s">
        <v>917</v>
      </c>
      <c r="C433" s="85" t="s">
        <v>918</v>
      </c>
      <c r="D433" s="47"/>
      <c r="E433" s="47"/>
      <c r="F433" s="48"/>
      <c r="G433" s="62" t="str">
        <f>IFERROR(INDEX(StockInData[Expiry],MATCH(ProductMaster[[#This Row],[Product ID]],StockInData[Product ID],0)),"")</f>
        <v/>
      </c>
      <c r="H433" s="47"/>
      <c r="I433" s="61">
        <f>SUMIFS(StockInData[Quantity],StockInData[Product ID],ProductMaster!$B433)-SUMIFS(StockOutData[Quantity],StockOutData[Product ID],ProductMaster!$B433)</f>
        <v>0</v>
      </c>
      <c r="J433" s="63">
        <f>SUMIFS(StockInData[Value],StockInData[Product ID],ProductMaster!$B433)-SUMIFS(StockOutData[Value],StockOutData[Product ID],ProductMaster!$B433)</f>
        <v>0</v>
      </c>
    </row>
    <row r="434" spans="1:10" hidden="1" x14ac:dyDescent="0.25">
      <c r="A434" s="82">
        <v>433</v>
      </c>
      <c r="B434" s="83" t="s">
        <v>919</v>
      </c>
      <c r="C434" s="85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3" t="s">
        <v>921</v>
      </c>
      <c r="C435" s="85" t="s">
        <v>922</v>
      </c>
      <c r="D435" s="47"/>
      <c r="E435" s="47"/>
      <c r="F435" s="48"/>
      <c r="G435" s="62" t="str">
        <f>IFERROR(INDEX(StockInData[Expiry],MATCH(ProductMaster[[#This Row],[Product ID]],StockInData[Product ID],0)),"")</f>
        <v/>
      </c>
      <c r="H435" s="47"/>
      <c r="I435" s="61">
        <f>SUMIFS(StockInData[Quantity],StockInData[Product ID],ProductMaster!$B435)-SUMIFS(StockOutData[Quantity],StockOutData[Product ID],ProductMaster!$B435)</f>
        <v>0</v>
      </c>
      <c r="J435" s="63">
        <f>SUMIFS(StockInData[Value],StockInData[Product ID],ProductMaster!$B435)-SUMIFS(StockOutData[Value],StockOutData[Product ID],ProductMaster!$B435)</f>
        <v>0</v>
      </c>
    </row>
    <row r="436" spans="1:10" hidden="1" x14ac:dyDescent="0.25">
      <c r="A436" s="82">
        <v>435</v>
      </c>
      <c r="B436" s="83" t="s">
        <v>923</v>
      </c>
      <c r="C436" s="85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3" t="s">
        <v>925</v>
      </c>
      <c r="C437" s="85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2">
        <v>437</v>
      </c>
      <c r="B438" s="83" t="s">
        <v>927</v>
      </c>
      <c r="C438" s="85" t="s">
        <v>928</v>
      </c>
      <c r="D438" s="47"/>
      <c r="E438" s="47"/>
      <c r="F438" s="48"/>
      <c r="G438" s="62" t="str">
        <f>IFERROR(INDEX(StockInData[Expiry],MATCH(ProductMaster[[#This Row],[Product ID]],StockInData[Product ID],0)),"")</f>
        <v/>
      </c>
      <c r="H438" s="47"/>
      <c r="I438" s="61">
        <f>SUMIFS(StockInData[Quantity],StockInData[Product ID],ProductMaster!$B438)-SUMIFS(StockOutData[Quantity],StockOutData[Product ID],ProductMaster!$B438)</f>
        <v>0</v>
      </c>
      <c r="J438" s="63">
        <f>SUMIFS(StockInData[Value],StockInData[Product ID],ProductMaster!$B438)-SUMIFS(StockOutData[Value],StockOutData[Product ID],ProductMaster!$B438)</f>
        <v>0</v>
      </c>
    </row>
    <row r="439" spans="1:10" hidden="1" x14ac:dyDescent="0.25">
      <c r="A439" s="60">
        <v>438</v>
      </c>
      <c r="B439" s="83" t="s">
        <v>929</v>
      </c>
      <c r="C439" s="85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2">
        <v>439</v>
      </c>
      <c r="B440" s="83" t="s">
        <v>931</v>
      </c>
      <c r="C440" s="85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3" t="s">
        <v>933</v>
      </c>
      <c r="C441" s="85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2">
        <v>441</v>
      </c>
      <c r="B442" s="83" t="s">
        <v>935</v>
      </c>
      <c r="C442" s="85" t="s">
        <v>936</v>
      </c>
      <c r="D442" s="47"/>
      <c r="E442" s="47"/>
      <c r="F442" s="48"/>
      <c r="G442" s="62" t="str">
        <f>IFERROR(INDEX(StockInData[Expiry],MATCH(ProductMaster[[#This Row],[Product ID]],StockInData[Product ID],0)),"")</f>
        <v/>
      </c>
      <c r="H442" s="47"/>
      <c r="I442" s="61">
        <f>SUMIFS(StockInData[Quantity],StockInData[Product ID],ProductMaster!$B442)-SUMIFS(StockOutData[Quantity],StockOutData[Product ID],ProductMaster!$B442)</f>
        <v>0</v>
      </c>
      <c r="J442" s="63">
        <f>SUMIFS(StockInData[Value],StockInData[Product ID],ProductMaster!$B442)-SUMIFS(StockOutData[Value],StockOutData[Product ID],ProductMaster!$B442)</f>
        <v>0</v>
      </c>
    </row>
    <row r="443" spans="1:10" hidden="1" x14ac:dyDescent="0.25">
      <c r="A443" s="60">
        <v>442</v>
      </c>
      <c r="B443" s="83" t="s">
        <v>937</v>
      </c>
      <c r="C443" s="85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2">
        <v>443</v>
      </c>
      <c r="B444" s="83" t="s">
        <v>939</v>
      </c>
      <c r="C444" s="85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3" t="s">
        <v>941</v>
      </c>
      <c r="C445" s="85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2">
        <v>445</v>
      </c>
      <c r="B446" s="83" t="s">
        <v>943</v>
      </c>
      <c r="C446" s="85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3" t="s">
        <v>945</v>
      </c>
      <c r="C447" s="85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2">
        <v>447</v>
      </c>
      <c r="B448" s="83" t="s">
        <v>947</v>
      </c>
      <c r="C448" s="85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3" t="s">
        <v>949</v>
      </c>
      <c r="C449" s="85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2">
        <v>449</v>
      </c>
      <c r="B450" s="83" t="s">
        <v>951</v>
      </c>
      <c r="C450" s="85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3" t="s">
        <v>953</v>
      </c>
      <c r="C451" s="85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2">
        <v>451</v>
      </c>
      <c r="B452" s="83" t="s">
        <v>955</v>
      </c>
      <c r="C452" s="85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3" t="s">
        <v>957</v>
      </c>
      <c r="C453" s="85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2">
        <v>453</v>
      </c>
      <c r="B454" s="83" t="s">
        <v>959</v>
      </c>
      <c r="C454" s="85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3" t="s">
        <v>961</v>
      </c>
      <c r="C455" s="85" t="s">
        <v>962</v>
      </c>
      <c r="D455" s="47"/>
      <c r="E455" s="47"/>
      <c r="F455" s="48"/>
      <c r="G455" s="62" t="str">
        <f>IFERROR(INDEX(StockInData[Expiry],MATCH(ProductMaster[[#This Row],[Product ID]],StockInData[Product ID],0)),"")</f>
        <v/>
      </c>
      <c r="H455" s="47"/>
      <c r="I455" s="61">
        <f>SUMIFS(StockInData[Quantity],StockInData[Product ID],ProductMaster!$B455)-SUMIFS(StockOutData[Quantity],StockOutData[Product ID],ProductMaster!$B455)</f>
        <v>0</v>
      </c>
      <c r="J455" s="63">
        <f>SUMIFS(StockInData[Value],StockInData[Product ID],ProductMaster!$B455)-SUMIFS(StockOutData[Value],StockOutData[Product ID],ProductMaster!$B455)</f>
        <v>0</v>
      </c>
    </row>
    <row r="456" spans="1:10" hidden="1" x14ac:dyDescent="0.25">
      <c r="A456" s="82">
        <v>455</v>
      </c>
      <c r="B456" s="83" t="s">
        <v>963</v>
      </c>
      <c r="C456" s="85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3" t="s">
        <v>965</v>
      </c>
      <c r="C457" s="85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2">
        <v>457</v>
      </c>
      <c r="B458" s="83" t="s">
        <v>967</v>
      </c>
      <c r="C458" s="85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3" t="s">
        <v>969</v>
      </c>
      <c r="C459" s="85" t="s">
        <v>970</v>
      </c>
      <c r="D459" s="47"/>
      <c r="E459" s="47"/>
      <c r="F459" s="48"/>
      <c r="G459" s="62" t="str">
        <f>IFERROR(INDEX(StockInData[Expiry],MATCH(ProductMaster[[#This Row],[Product ID]],StockInData[Product ID],0)),"")</f>
        <v/>
      </c>
      <c r="H459" s="47"/>
      <c r="I459" s="61">
        <f>SUMIFS(StockInData[Quantity],StockInData[Product ID],ProductMaster!$B459)-SUMIFS(StockOutData[Quantity],StockOutData[Product ID],ProductMaster!$B459)</f>
        <v>0</v>
      </c>
      <c r="J459" s="63">
        <f>SUMIFS(StockInData[Value],StockInData[Product ID],ProductMaster!$B459)-SUMIFS(StockOutData[Value],StockOutData[Product ID],ProductMaster!$B459)</f>
        <v>0</v>
      </c>
    </row>
    <row r="460" spans="1:10" hidden="1" x14ac:dyDescent="0.25">
      <c r="A460" s="82">
        <v>459</v>
      </c>
      <c r="B460" s="83" t="s">
        <v>971</v>
      </c>
      <c r="C460" s="85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3" t="s">
        <v>973</v>
      </c>
      <c r="C461" s="85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2">
        <v>461</v>
      </c>
      <c r="B462" s="83" t="s">
        <v>975</v>
      </c>
      <c r="C462" s="85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3" t="s">
        <v>977</v>
      </c>
      <c r="C463" s="85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2">
        <v>463</v>
      </c>
      <c r="B464" s="83" t="s">
        <v>979</v>
      </c>
      <c r="C464" s="85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3" t="s">
        <v>981</v>
      </c>
      <c r="C465" s="85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2">
        <v>465</v>
      </c>
      <c r="B466" s="83" t="s">
        <v>983</v>
      </c>
      <c r="C466" s="85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3" t="s">
        <v>985</v>
      </c>
      <c r="C467" s="85" t="s">
        <v>986</v>
      </c>
      <c r="D467" s="47"/>
      <c r="E467" s="47"/>
      <c r="F467" s="48"/>
      <c r="G467" s="62" t="str">
        <f>IFERROR(INDEX(StockInData[Expiry],MATCH(ProductMaster[[#This Row],[Product ID]],StockInData[Product ID],0)),"")</f>
        <v/>
      </c>
      <c r="H467" s="47"/>
      <c r="I467" s="61">
        <f>SUMIFS(StockInData[Quantity],StockInData[Product ID],ProductMaster!$B467)-SUMIFS(StockOutData[Quantity],StockOutData[Product ID],ProductMaster!$B467)</f>
        <v>0</v>
      </c>
      <c r="J467" s="63">
        <f>SUMIFS(StockInData[Value],StockInData[Product ID],ProductMaster!$B467)-SUMIFS(StockOutData[Value],StockOutData[Product ID],ProductMaster!$B467)</f>
        <v>0</v>
      </c>
    </row>
    <row r="468" spans="1:10" x14ac:dyDescent="0.25">
      <c r="A468" s="82">
        <v>467</v>
      </c>
      <c r="B468" s="83" t="s">
        <v>987</v>
      </c>
      <c r="C468" s="85" t="s">
        <v>988</v>
      </c>
      <c r="D468" s="47"/>
      <c r="E468" s="47"/>
      <c r="F468" s="48"/>
      <c r="G468" s="62" t="str">
        <f>IFERROR(INDEX(StockInData[Expiry],MATCH(ProductMaster[[#This Row],[Product ID]],StockInData[Product ID],0)),"")</f>
        <v/>
      </c>
      <c r="H468" s="47"/>
      <c r="I468" s="61">
        <f>SUMIFS(StockInData[Quantity],StockInData[Product ID],ProductMaster!$B468)-SUMIFS(StockOutData[Quantity],StockOutData[Product ID],ProductMaster!$B468)</f>
        <v>0</v>
      </c>
      <c r="J468" s="63">
        <f>SUMIFS(StockInData[Value],StockInData[Product ID],ProductMaster!$B468)-SUMIFS(StockOutData[Value],StockOutData[Product ID],ProductMaster!$B468)</f>
        <v>0</v>
      </c>
    </row>
    <row r="469" spans="1:10" hidden="1" x14ac:dyDescent="0.25">
      <c r="A469" s="60">
        <v>468</v>
      </c>
      <c r="B469" s="83" t="s">
        <v>989</v>
      </c>
      <c r="C469" s="85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x14ac:dyDescent="0.25">
      <c r="A470" s="82">
        <v>469</v>
      </c>
      <c r="B470" s="83" t="s">
        <v>991</v>
      </c>
      <c r="C470" s="85" t="s">
        <v>992</v>
      </c>
      <c r="D470" s="47"/>
      <c r="E470" s="47"/>
      <c r="F470" s="48"/>
      <c r="G470" s="62" t="str">
        <f>IFERROR(INDEX(StockInData[Expiry],MATCH(ProductMaster[[#This Row],[Product ID]],StockInData[Product ID],0)),"")</f>
        <v/>
      </c>
      <c r="H470" s="47"/>
      <c r="I470" s="61">
        <f>SUMIFS(StockInData[Quantity],StockInData[Product ID],ProductMaster!$B470)-SUMIFS(StockOutData[Quantity],StockOutData[Product ID],ProductMaster!$B470)</f>
        <v>0</v>
      </c>
      <c r="J470" s="63">
        <f>SUMIFS(StockInData[Value],StockInData[Product ID],ProductMaster!$B470)-SUMIFS(StockOutData[Value],StockOutData[Product ID],ProductMaster!$B470)</f>
        <v>0</v>
      </c>
    </row>
    <row r="471" spans="1:10" hidden="1" x14ac:dyDescent="0.25">
      <c r="A471" s="60">
        <v>470</v>
      </c>
      <c r="B471" s="83" t="s">
        <v>993</v>
      </c>
      <c r="C471" s="85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x14ac:dyDescent="0.25">
      <c r="A472" s="82">
        <v>471</v>
      </c>
      <c r="B472" s="83" t="s">
        <v>995</v>
      </c>
      <c r="C472" s="85" t="s">
        <v>996</v>
      </c>
      <c r="D472" s="47"/>
      <c r="E472" s="47"/>
      <c r="F472" s="48"/>
      <c r="G472" s="62" t="str">
        <f>IFERROR(INDEX(StockInData[Expiry],MATCH(ProductMaster[[#This Row],[Product ID]],StockInData[Product ID],0)),"")</f>
        <v/>
      </c>
      <c r="H472" s="47"/>
      <c r="I472" s="61">
        <f>SUMIFS(StockInData[Quantity],StockInData[Product ID],ProductMaster!$B472)-SUMIFS(StockOutData[Quantity],StockOutData[Product ID],ProductMaster!$B472)</f>
        <v>0</v>
      </c>
      <c r="J472" s="63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3" t="s">
        <v>997</v>
      </c>
      <c r="C473" s="85" t="s">
        <v>998</v>
      </c>
      <c r="D473" s="47"/>
      <c r="E473" s="47"/>
      <c r="F473" s="48"/>
      <c r="G473" s="62" t="str">
        <f>IFERROR(INDEX(StockInData[Expiry],MATCH(ProductMaster[[#This Row],[Product ID]],StockInData[Product ID],0)),"")</f>
        <v/>
      </c>
      <c r="H473" s="47"/>
      <c r="I473" s="61">
        <f>SUMIFS(StockInData[Quantity],StockInData[Product ID],ProductMaster!$B473)-SUMIFS(StockOutData[Quantity],StockOutData[Product ID],ProductMaster!$B473)</f>
        <v>0</v>
      </c>
      <c r="J473" s="63">
        <f>SUMIFS(StockInData[Value],StockInData[Product ID],ProductMaster!$B473)-SUMIFS(StockOutData[Value],StockOutData[Product ID],ProductMaster!$B473)</f>
        <v>0</v>
      </c>
    </row>
    <row r="474" spans="1:10" hidden="1" x14ac:dyDescent="0.25">
      <c r="A474" s="82">
        <v>473</v>
      </c>
      <c r="B474" s="83" t="s">
        <v>999</v>
      </c>
      <c r="C474" s="85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3" t="s">
        <v>1001</v>
      </c>
      <c r="C475" s="85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82">
        <v>475</v>
      </c>
      <c r="B476" s="83" t="s">
        <v>1003</v>
      </c>
      <c r="C476" s="85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3" t="s">
        <v>1005</v>
      </c>
      <c r="C477" s="85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x14ac:dyDescent="0.25">
      <c r="A478" s="82">
        <v>477</v>
      </c>
      <c r="B478" s="83" t="s">
        <v>1007</v>
      </c>
      <c r="C478" s="85" t="s">
        <v>1008</v>
      </c>
      <c r="D478" s="47"/>
      <c r="E478" s="47"/>
      <c r="F478" s="48"/>
      <c r="G478" s="62" t="str">
        <f>IFERROR(INDEX(StockInData[Expiry],MATCH(ProductMaster[[#This Row],[Product ID]],StockInData[Product ID],0)),"")</f>
        <v/>
      </c>
      <c r="H478" s="47"/>
      <c r="I478" s="61">
        <f>SUMIFS(StockInData[Quantity],StockInData[Product ID],ProductMaster!$B478)-SUMIFS(StockOutData[Quantity],StockOutData[Product ID],ProductMaster!$B478)</f>
        <v>0</v>
      </c>
      <c r="J478" s="63">
        <f>SUMIFS(StockInData[Value],StockInData[Product ID],ProductMaster!$B478)-SUMIFS(StockOutData[Value],StockOutData[Product ID],ProductMaster!$B478)</f>
        <v>0</v>
      </c>
    </row>
    <row r="479" spans="1:10" hidden="1" x14ac:dyDescent="0.25">
      <c r="A479" s="60">
        <v>478</v>
      </c>
      <c r="B479" s="83" t="s">
        <v>1009</v>
      </c>
      <c r="C479" s="85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x14ac:dyDescent="0.25">
      <c r="A480" s="82">
        <v>479</v>
      </c>
      <c r="B480" s="83" t="s">
        <v>1011</v>
      </c>
      <c r="C480" s="85" t="s">
        <v>1012</v>
      </c>
      <c r="D480" s="47"/>
      <c r="E480" s="47"/>
      <c r="F480" s="48"/>
      <c r="G480" s="62" t="str">
        <f>IFERROR(INDEX(StockInData[Expiry],MATCH(ProductMaster[[#This Row],[Product ID]],StockInData[Product ID],0)),"")</f>
        <v/>
      </c>
      <c r="H480" s="47"/>
      <c r="I480" s="61">
        <f>SUMIFS(StockInData[Quantity],StockInData[Product ID],ProductMaster!$B480)-SUMIFS(StockOutData[Quantity],StockOutData[Product ID],ProductMaster!$B480)</f>
        <v>0</v>
      </c>
      <c r="J480" s="63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3" t="s">
        <v>1013</v>
      </c>
      <c r="C481" s="85" t="s">
        <v>1014</v>
      </c>
      <c r="D481" s="47"/>
      <c r="E481" s="47"/>
      <c r="F481" s="48"/>
      <c r="G481" s="62" t="str">
        <f>IFERROR(INDEX(StockInData[Expiry],MATCH(ProductMaster[[#This Row],[Product ID]],StockInData[Product ID],0)),"")</f>
        <v/>
      </c>
      <c r="H481" s="47"/>
      <c r="I481" s="61">
        <f>SUMIFS(StockInData[Quantity],StockInData[Product ID],ProductMaster!$B481)-SUMIFS(StockOutData[Quantity],StockOutData[Product ID],ProductMaster!$B481)</f>
        <v>0</v>
      </c>
      <c r="J481" s="63">
        <f>SUMIFS(StockInData[Value],StockInData[Product ID],ProductMaster!$B481)-SUMIFS(StockOutData[Value],StockOutData[Product ID],ProductMaster!$B481)</f>
        <v>0</v>
      </c>
    </row>
    <row r="482" spans="1:10" x14ac:dyDescent="0.25">
      <c r="A482" s="82">
        <v>481</v>
      </c>
      <c r="B482" s="83" t="s">
        <v>1015</v>
      </c>
      <c r="C482" s="85" t="s">
        <v>1016</v>
      </c>
      <c r="D482" s="47"/>
      <c r="E482" s="47"/>
      <c r="F482" s="48"/>
      <c r="G482" s="62" t="str">
        <f>IFERROR(INDEX(StockInData[Expiry],MATCH(ProductMaster[[#This Row],[Product ID]],StockInData[Product ID],0)),"")</f>
        <v/>
      </c>
      <c r="H482" s="47"/>
      <c r="I482" s="61">
        <f>SUMIFS(StockInData[Quantity],StockInData[Product ID],ProductMaster!$B482)-SUMIFS(StockOutData[Quantity],StockOutData[Product ID],ProductMaster!$B482)</f>
        <v>0</v>
      </c>
      <c r="J482" s="63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3" t="s">
        <v>1017</v>
      </c>
      <c r="C483" s="85" t="s">
        <v>1018</v>
      </c>
      <c r="D483" s="47"/>
      <c r="E483" s="47"/>
      <c r="F483" s="48"/>
      <c r="G483" s="62" t="str">
        <f>IFERROR(INDEX(StockInData[Expiry],MATCH(ProductMaster[[#This Row],[Product ID]],StockInData[Product ID],0)),"")</f>
        <v/>
      </c>
      <c r="H483" s="47"/>
      <c r="I483" s="61">
        <f>SUMIFS(StockInData[Quantity],StockInData[Product ID],ProductMaster!$B483)-SUMIFS(StockOutData[Quantity],StockOutData[Product ID],ProductMaster!$B483)</f>
        <v>0</v>
      </c>
      <c r="J483" s="63">
        <f>SUMIFS(StockInData[Value],StockInData[Product ID],ProductMaster!$B483)-SUMIFS(StockOutData[Value],StockOutData[Product ID],ProductMaster!$B483)</f>
        <v>0</v>
      </c>
    </row>
    <row r="484" spans="1:10" x14ac:dyDescent="0.25">
      <c r="A484" s="82">
        <v>483</v>
      </c>
      <c r="B484" s="83" t="s">
        <v>1019</v>
      </c>
      <c r="C484" s="85" t="s">
        <v>1020</v>
      </c>
      <c r="D484" s="47"/>
      <c r="E484" s="47"/>
      <c r="F484" s="48"/>
      <c r="G484" s="62" t="str">
        <f>IFERROR(INDEX(StockInData[Expiry],MATCH(ProductMaster[[#This Row],[Product ID]],StockInData[Product ID],0)),"")</f>
        <v/>
      </c>
      <c r="H484" s="47"/>
      <c r="I484" s="61">
        <f>SUMIFS(StockInData[Quantity],StockInData[Product ID],ProductMaster!$B484)-SUMIFS(StockOutData[Quantity],StockOutData[Product ID],ProductMaster!$B484)</f>
        <v>0</v>
      </c>
      <c r="J484" s="63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3" t="s">
        <v>1021</v>
      </c>
      <c r="C485" s="85" t="s">
        <v>1022</v>
      </c>
      <c r="D485" s="47"/>
      <c r="E485" s="47"/>
      <c r="F485" s="48"/>
      <c r="G485" s="62" t="str">
        <f>IFERROR(INDEX(StockInData[Expiry],MATCH(ProductMaster[[#This Row],[Product ID]],StockInData[Product ID],0)),"")</f>
        <v/>
      </c>
      <c r="H485" s="47"/>
      <c r="I485" s="61">
        <f>SUMIFS(StockInData[Quantity],StockInData[Product ID],ProductMaster!$B485)-SUMIFS(StockOutData[Quantity],StockOutData[Product ID],ProductMaster!$B485)</f>
        <v>0</v>
      </c>
      <c r="J485" s="63">
        <f>SUMIFS(StockInData[Value],StockInData[Product ID],ProductMaster!$B485)-SUMIFS(StockOutData[Value],StockOutData[Product ID],ProductMaster!$B485)</f>
        <v>0</v>
      </c>
    </row>
    <row r="486" spans="1:10" x14ac:dyDescent="0.25">
      <c r="A486" s="82">
        <v>485</v>
      </c>
      <c r="B486" s="83" t="s">
        <v>1023</v>
      </c>
      <c r="C486" s="85" t="s">
        <v>1024</v>
      </c>
      <c r="D486" s="47"/>
      <c r="E486" s="47"/>
      <c r="F486" s="48"/>
      <c r="G486" s="62" t="str">
        <f>IFERROR(INDEX(StockInData[Expiry],MATCH(ProductMaster[[#This Row],[Product ID]],StockInData[Product ID],0)),"")</f>
        <v/>
      </c>
      <c r="H486" s="47"/>
      <c r="I486" s="61">
        <f>SUMIFS(StockInData[Quantity],StockInData[Product ID],ProductMaster!$B486)-SUMIFS(StockOutData[Quantity],StockOutData[Product ID],ProductMaster!$B486)</f>
        <v>0</v>
      </c>
      <c r="J486" s="63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3" t="s">
        <v>1025</v>
      </c>
      <c r="C487" s="85" t="s">
        <v>1026</v>
      </c>
      <c r="D487" s="47"/>
      <c r="E487" s="47"/>
      <c r="F487" s="48"/>
      <c r="G487" s="62" t="str">
        <f>IFERROR(INDEX(StockInData[Expiry],MATCH(ProductMaster[[#This Row],[Product ID]],StockInData[Product ID],0)),"")</f>
        <v/>
      </c>
      <c r="H487" s="47"/>
      <c r="I487" s="61">
        <f>SUMIFS(StockInData[Quantity],StockInData[Product ID],ProductMaster!$B487)-SUMIFS(StockOutData[Quantity],StockOutData[Product ID],ProductMaster!$B487)</f>
        <v>0</v>
      </c>
      <c r="J487" s="63">
        <f>SUMIFS(StockInData[Value],StockInData[Product ID],ProductMaster!$B487)-SUMIFS(StockOutData[Value],StockOutData[Product ID],ProductMaster!$B487)</f>
        <v>0</v>
      </c>
    </row>
    <row r="488" spans="1:10" hidden="1" x14ac:dyDescent="0.25">
      <c r="A488" s="82">
        <v>487</v>
      </c>
      <c r="B488" s="83" t="s">
        <v>1027</v>
      </c>
      <c r="C488" s="85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3" t="s">
        <v>1028</v>
      </c>
      <c r="C489" s="85" t="s">
        <v>1029</v>
      </c>
      <c r="D489" s="47"/>
      <c r="E489" s="47"/>
      <c r="F489" s="48"/>
      <c r="G489" s="62" t="str">
        <f>IFERROR(INDEX(StockInData[Expiry],MATCH(ProductMaster[[#This Row],[Product ID]],StockInData[Product ID],0)),"")</f>
        <v/>
      </c>
      <c r="H489" s="47"/>
      <c r="I489" s="61">
        <f>SUMIFS(StockInData[Quantity],StockInData[Product ID],ProductMaster!$B489)-SUMIFS(StockOutData[Quantity],StockOutData[Product ID],ProductMaster!$B489)</f>
        <v>0</v>
      </c>
      <c r="J489" s="63">
        <f>SUMIFS(StockInData[Value],StockInData[Product ID],ProductMaster!$B489)-SUMIFS(StockOutData[Value],StockOutData[Product ID],ProductMaster!$B489)</f>
        <v>0</v>
      </c>
    </row>
    <row r="490" spans="1:10" x14ac:dyDescent="0.25">
      <c r="A490" s="82">
        <v>489</v>
      </c>
      <c r="B490" s="83" t="s">
        <v>1030</v>
      </c>
      <c r="C490" s="85" t="s">
        <v>1031</v>
      </c>
      <c r="D490" s="47"/>
      <c r="E490" s="47"/>
      <c r="F490" s="48"/>
      <c r="G490" s="62" t="str">
        <f>IFERROR(INDEX(StockInData[Expiry],MATCH(ProductMaster[[#This Row],[Product ID]],StockInData[Product ID],0)),"")</f>
        <v/>
      </c>
      <c r="H490" s="47"/>
      <c r="I490" s="61">
        <f>SUMIFS(StockInData[Quantity],StockInData[Product ID],ProductMaster!$B490)-SUMIFS(StockOutData[Quantity],StockOutData[Product ID],ProductMaster!$B490)</f>
        <v>0</v>
      </c>
      <c r="J490" s="63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3" t="s">
        <v>1032</v>
      </c>
      <c r="C491" s="85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0</v>
      </c>
      <c r="J491" s="63">
        <f>SUMIFS(StockInData[Value],StockInData[Product ID],ProductMaster!$B491)-SUMIFS(StockOutData[Value],StockOutData[Product ID],ProductMaster!$B491)</f>
        <v>0</v>
      </c>
    </row>
    <row r="492" spans="1:10" hidden="1" x14ac:dyDescent="0.25">
      <c r="A492" s="82">
        <v>491</v>
      </c>
      <c r="B492" s="83" t="s">
        <v>1034</v>
      </c>
      <c r="C492" s="85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3" t="s">
        <v>1036</v>
      </c>
      <c r="C493" s="85" t="s">
        <v>1037</v>
      </c>
      <c r="D493" s="47"/>
      <c r="E493" s="47"/>
      <c r="F493" s="48"/>
      <c r="G493" s="62" t="str">
        <f>IFERROR(INDEX(StockInData[Expiry],MATCH(ProductMaster[[#This Row],[Product ID]],StockInData[Product ID],0)),"")</f>
        <v/>
      </c>
      <c r="H493" s="47"/>
      <c r="I493" s="61">
        <f>SUMIFS(StockInData[Quantity],StockInData[Product ID],ProductMaster!$B493)-SUMIFS(StockOutData[Quantity],StockOutData[Product ID],ProductMaster!$B493)</f>
        <v>0</v>
      </c>
      <c r="J493" s="63">
        <f>SUMIFS(StockInData[Value],StockInData[Product ID],ProductMaster!$B493)-SUMIFS(StockOutData[Value],StockOutData[Product ID],ProductMaster!$B493)</f>
        <v>0</v>
      </c>
    </row>
    <row r="494" spans="1:10" x14ac:dyDescent="0.25">
      <c r="A494" s="82">
        <v>493</v>
      </c>
      <c r="B494" s="83" t="s">
        <v>1038</v>
      </c>
      <c r="C494" s="85" t="s">
        <v>1039</v>
      </c>
      <c r="D494" s="47"/>
      <c r="E494" s="47"/>
      <c r="F494" s="48"/>
      <c r="G494" s="62" t="str">
        <f>IFERROR(INDEX(StockInData[Expiry],MATCH(ProductMaster[[#This Row],[Product ID]],StockInData[Product ID],0)),"")</f>
        <v/>
      </c>
      <c r="H494" s="47"/>
      <c r="I494" s="61">
        <f>SUMIFS(StockInData[Quantity],StockInData[Product ID],ProductMaster!$B494)-SUMIFS(StockOutData[Quantity],StockOutData[Product ID],ProductMaster!$B494)</f>
        <v>0</v>
      </c>
      <c r="J494" s="63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3" t="s">
        <v>1040</v>
      </c>
      <c r="C495" s="85" t="s">
        <v>1041</v>
      </c>
      <c r="D495" s="47"/>
      <c r="E495" s="47"/>
      <c r="F495" s="48"/>
      <c r="G495" s="62" t="str">
        <f>IFERROR(INDEX(StockInData[Expiry],MATCH(ProductMaster[[#This Row],[Product ID]],StockInData[Product ID],0)),"")</f>
        <v/>
      </c>
      <c r="H495" s="47"/>
      <c r="I495" s="61">
        <f>SUMIFS(StockInData[Quantity],StockInData[Product ID],ProductMaster!$B495)-SUMIFS(StockOutData[Quantity],StockOutData[Product ID],ProductMaster!$B495)</f>
        <v>0</v>
      </c>
      <c r="J495" s="63">
        <f>SUMIFS(StockInData[Value],StockInData[Product ID],ProductMaster!$B495)-SUMIFS(StockOutData[Value],StockOutData[Product ID],ProductMaster!$B495)</f>
        <v>0</v>
      </c>
    </row>
    <row r="496" spans="1:10" hidden="1" x14ac:dyDescent="0.25">
      <c r="A496" s="82">
        <v>495</v>
      </c>
      <c r="B496" s="83" t="s">
        <v>1042</v>
      </c>
      <c r="C496" s="85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3" t="s">
        <v>1044</v>
      </c>
      <c r="C497" s="85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2">
        <v>497</v>
      </c>
      <c r="B498" s="83" t="s">
        <v>1046</v>
      </c>
      <c r="C498" s="85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3" t="s">
        <v>1048</v>
      </c>
      <c r="C499" s="85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82">
        <v>499</v>
      </c>
      <c r="B500" s="83" t="s">
        <v>1050</v>
      </c>
      <c r="C500" s="85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3" t="s">
        <v>1052</v>
      </c>
      <c r="C501" s="85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2">
        <v>501</v>
      </c>
      <c r="B502" s="83" t="s">
        <v>1054</v>
      </c>
      <c r="C502" s="85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3" t="s">
        <v>1056</v>
      </c>
      <c r="C503" s="85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2">
        <v>503</v>
      </c>
      <c r="B504" s="83" t="s">
        <v>1058</v>
      </c>
      <c r="C504" s="85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3" t="s">
        <v>1060</v>
      </c>
      <c r="C505" s="85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2">
        <v>505</v>
      </c>
      <c r="B506" s="83" t="s">
        <v>1062</v>
      </c>
      <c r="C506" s="85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3" t="s">
        <v>1064</v>
      </c>
      <c r="C507" s="85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2">
        <v>507</v>
      </c>
      <c r="B508" s="83" t="s">
        <v>1066</v>
      </c>
      <c r="C508" s="85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3" t="s">
        <v>1068</v>
      </c>
      <c r="C509" s="85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2">
        <v>509</v>
      </c>
      <c r="B510" s="83" t="s">
        <v>1070</v>
      </c>
      <c r="C510" s="85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3" t="s">
        <v>1072</v>
      </c>
      <c r="C511" s="85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2">
        <v>511</v>
      </c>
      <c r="B512" s="83" t="s">
        <v>1074</v>
      </c>
      <c r="C512" s="85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3" t="s">
        <v>1076</v>
      </c>
      <c r="C513" s="85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2">
        <v>513</v>
      </c>
      <c r="B514" s="83" t="s">
        <v>1078</v>
      </c>
      <c r="C514" s="85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3" t="s">
        <v>1080</v>
      </c>
      <c r="C515" s="85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2">
        <v>515</v>
      </c>
      <c r="B516" s="83" t="s">
        <v>1082</v>
      </c>
      <c r="C516" s="85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3" t="s">
        <v>1084</v>
      </c>
      <c r="C517" s="85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2">
        <v>517</v>
      </c>
      <c r="B518" s="83" t="s">
        <v>1086</v>
      </c>
      <c r="C518" s="85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3" t="s">
        <v>1088</v>
      </c>
      <c r="C519" s="85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2">
        <v>519</v>
      </c>
      <c r="B520" s="83" t="s">
        <v>1090</v>
      </c>
      <c r="C520" s="85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3" t="s">
        <v>1092</v>
      </c>
      <c r="C521" s="85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2">
        <v>521</v>
      </c>
      <c r="B522" s="83" t="s">
        <v>1094</v>
      </c>
      <c r="C522" s="85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3" t="s">
        <v>1096</v>
      </c>
      <c r="C523" s="85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2">
        <v>523</v>
      </c>
      <c r="B524" s="83" t="s">
        <v>1098</v>
      </c>
      <c r="C524" s="85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3" t="s">
        <v>1100</v>
      </c>
      <c r="C525" s="85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2">
        <v>525</v>
      </c>
      <c r="B526" s="83" t="s">
        <v>1102</v>
      </c>
      <c r="C526" s="85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3" t="s">
        <v>1104</v>
      </c>
      <c r="C527" s="85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2">
        <v>527</v>
      </c>
      <c r="B528" s="83" t="s">
        <v>1106</v>
      </c>
      <c r="C528" s="85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3" t="s">
        <v>1108</v>
      </c>
      <c r="C529" s="85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2">
        <v>529</v>
      </c>
      <c r="B530" s="83" t="s">
        <v>1110</v>
      </c>
      <c r="C530" s="85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3" t="s">
        <v>1112</v>
      </c>
      <c r="C531" s="85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2">
        <v>531</v>
      </c>
      <c r="B532" s="83" t="s">
        <v>1114</v>
      </c>
      <c r="C532" s="85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3" t="s">
        <v>1116</v>
      </c>
      <c r="C533" s="85" t="s">
        <v>1117</v>
      </c>
      <c r="D533" s="47"/>
      <c r="E533" s="47"/>
      <c r="F533" s="48"/>
      <c r="G533" s="62" t="str">
        <f>IFERROR(INDEX(StockInData[Expiry],MATCH(ProductMaster[[#This Row],[Product ID]],StockInData[Product ID],0)),"")</f>
        <v/>
      </c>
      <c r="H533" s="47"/>
      <c r="I533" s="61">
        <f>SUMIFS(StockInData[Quantity],StockInData[Product ID],ProductMaster!$B533)-SUMIFS(StockOutData[Quantity],StockOutData[Product ID],ProductMaster!$B533)</f>
        <v>0</v>
      </c>
      <c r="J533" s="63">
        <f>SUMIFS(StockInData[Value],StockInData[Product ID],ProductMaster!$B533)-SUMIFS(StockOutData[Value],StockOutData[Product ID],ProductMaster!$B533)</f>
        <v>0</v>
      </c>
    </row>
    <row r="534" spans="1:10" hidden="1" x14ac:dyDescent="0.25">
      <c r="A534" s="82">
        <v>533</v>
      </c>
      <c r="B534" s="83" t="s">
        <v>1118</v>
      </c>
      <c r="C534" s="85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3" t="s">
        <v>1120</v>
      </c>
      <c r="C535" s="85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2">
        <v>535</v>
      </c>
      <c r="B536" s="83" t="s">
        <v>1122</v>
      </c>
      <c r="C536" s="85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3" t="s">
        <v>1124</v>
      </c>
      <c r="C537" s="85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2">
        <v>537</v>
      </c>
      <c r="B538" s="83" t="s">
        <v>1126</v>
      </c>
      <c r="C538" s="85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3" t="s">
        <v>1128</v>
      </c>
      <c r="C539" s="85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2">
        <v>539</v>
      </c>
      <c r="B540" s="83" t="s">
        <v>1130</v>
      </c>
      <c r="C540" s="85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3" t="s">
        <v>1132</v>
      </c>
      <c r="C541" s="85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2">
        <v>541</v>
      </c>
      <c r="B542" s="83" t="s">
        <v>1134</v>
      </c>
      <c r="C542" s="85" t="s">
        <v>1135</v>
      </c>
      <c r="D542" s="47"/>
      <c r="E542" s="47"/>
      <c r="F542" s="48"/>
      <c r="G542" s="62" t="str">
        <f>IFERROR(INDEX(StockInData[Expiry],MATCH(ProductMaster[[#This Row],[Product ID]],StockInData[Product ID],0)),"")</f>
        <v/>
      </c>
      <c r="H542" s="47"/>
      <c r="I542" s="61">
        <f>SUMIFS(StockInData[Quantity],StockInData[Product ID],ProductMaster!$B542)-SUMIFS(StockOutData[Quantity],StockOutData[Product ID],ProductMaster!$B542)</f>
        <v>0</v>
      </c>
      <c r="J542" s="63">
        <f>SUMIFS(StockInData[Value],StockInData[Product ID],ProductMaster!$B542)-SUMIFS(StockOutData[Value],StockOutData[Product ID],ProductMaster!$B542)</f>
        <v>0</v>
      </c>
    </row>
    <row r="543" spans="1:10" hidden="1" x14ac:dyDescent="0.25">
      <c r="A543" s="60">
        <v>542</v>
      </c>
      <c r="B543" s="83" t="s">
        <v>1136</v>
      </c>
      <c r="C543" s="85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2">
        <v>543</v>
      </c>
      <c r="B544" s="83" t="s">
        <v>1138</v>
      </c>
      <c r="C544" s="85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3" t="s">
        <v>1140</v>
      </c>
      <c r="C545" s="85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2">
        <v>545</v>
      </c>
      <c r="B546" s="83" t="s">
        <v>1142</v>
      </c>
      <c r="C546" s="85" t="s">
        <v>1143</v>
      </c>
      <c r="D546" s="47"/>
      <c r="E546" s="47"/>
      <c r="F546" s="48"/>
      <c r="G546" s="62" t="str">
        <f>IFERROR(INDEX(StockInData[Expiry],MATCH(ProductMaster[[#This Row],[Product ID]],StockInData[Product ID],0)),"")</f>
        <v/>
      </c>
      <c r="H546" s="47"/>
      <c r="I546" s="61">
        <f>SUMIFS(StockInData[Quantity],StockInData[Product ID],ProductMaster!$B546)-SUMIFS(StockOutData[Quantity],StockOutData[Product ID],ProductMaster!$B546)</f>
        <v>0</v>
      </c>
      <c r="J546" s="63">
        <f>SUMIFS(StockInData[Value],StockInData[Product ID],ProductMaster!$B546)-SUMIFS(StockOutData[Value],StockOutData[Product ID],ProductMaster!$B546)</f>
        <v>0</v>
      </c>
    </row>
    <row r="547" spans="1:10" hidden="1" x14ac:dyDescent="0.25">
      <c r="A547" s="60">
        <v>546</v>
      </c>
      <c r="B547" s="83" t="s">
        <v>1144</v>
      </c>
      <c r="C547" s="85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2">
        <v>547</v>
      </c>
      <c r="B548" s="83" t="s">
        <v>1146</v>
      </c>
      <c r="C548" s="85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3" t="s">
        <v>1148</v>
      </c>
      <c r="C549" s="85" t="s">
        <v>1149</v>
      </c>
      <c r="D549" s="47"/>
      <c r="E549" s="47"/>
      <c r="F549" s="48"/>
      <c r="G549" s="62" t="str">
        <f>IFERROR(INDEX(StockInData[Expiry],MATCH(ProductMaster[[#This Row],[Product ID]],StockInData[Product ID],0)),"")</f>
        <v/>
      </c>
      <c r="H549" s="47"/>
      <c r="I549" s="61">
        <f>SUMIFS(StockInData[Quantity],StockInData[Product ID],ProductMaster!$B549)-SUMIFS(StockOutData[Quantity],StockOutData[Product ID],ProductMaster!$B549)</f>
        <v>0</v>
      </c>
      <c r="J549" s="63">
        <f>SUMIFS(StockInData[Value],StockInData[Product ID],ProductMaster!$B549)-SUMIFS(StockOutData[Value],StockOutData[Product ID],ProductMaster!$B549)</f>
        <v>0</v>
      </c>
    </row>
    <row r="550" spans="1:10" hidden="1" x14ac:dyDescent="0.25">
      <c r="A550" s="82">
        <v>549</v>
      </c>
      <c r="B550" s="83" t="s">
        <v>1150</v>
      </c>
      <c r="C550" s="85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3" t="s">
        <v>1152</v>
      </c>
      <c r="C551" s="85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2">
        <v>551</v>
      </c>
      <c r="B552" s="83" t="s">
        <v>1154</v>
      </c>
      <c r="C552" s="85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3" t="s">
        <v>1156</v>
      </c>
      <c r="C553" s="85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2">
        <v>553</v>
      </c>
      <c r="B554" s="83" t="s">
        <v>1158</v>
      </c>
      <c r="C554" s="85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3" t="s">
        <v>1160</v>
      </c>
      <c r="C555" s="85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2">
        <v>555</v>
      </c>
      <c r="B556" s="83" t="s">
        <v>1162</v>
      </c>
      <c r="C556" s="85" t="s">
        <v>1163</v>
      </c>
      <c r="D556" s="47"/>
      <c r="E556" s="47"/>
      <c r="F556" s="48"/>
      <c r="G556" s="62" t="str">
        <f>IFERROR(INDEX(StockInData[Expiry],MATCH(ProductMaster[[#This Row],[Product ID]],StockInData[Product ID],0)),"")</f>
        <v/>
      </c>
      <c r="H556" s="47"/>
      <c r="I556" s="61">
        <f>SUMIFS(StockInData[Quantity],StockInData[Product ID],ProductMaster!$B556)-SUMIFS(StockOutData[Quantity],StockOutData[Product ID],ProductMaster!$B556)</f>
        <v>0</v>
      </c>
      <c r="J556" s="63">
        <f>SUMIFS(StockInData[Value],StockInData[Product ID],ProductMaster!$B556)-SUMIFS(StockOutData[Value],StockOutData[Product ID],ProductMaster!$B556)</f>
        <v>0</v>
      </c>
    </row>
    <row r="557" spans="1:10" hidden="1" x14ac:dyDescent="0.25">
      <c r="A557" s="60">
        <v>556</v>
      </c>
      <c r="B557" s="83" t="s">
        <v>1164</v>
      </c>
      <c r="C557" s="85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2">
        <v>557</v>
      </c>
      <c r="B558" s="83" t="s">
        <v>1166</v>
      </c>
      <c r="C558" s="85" t="s">
        <v>1167</v>
      </c>
      <c r="D558" s="47"/>
      <c r="E558" s="47"/>
      <c r="F558" s="48"/>
      <c r="G558" s="62" t="str">
        <f>IFERROR(INDEX(StockInData[Expiry],MATCH(ProductMaster[[#This Row],[Product ID]],StockInData[Product ID],0)),"")</f>
        <v/>
      </c>
      <c r="H558" s="47"/>
      <c r="I558" s="61">
        <f>SUMIFS(StockInData[Quantity],StockInData[Product ID],ProductMaster!$B558)-SUMIFS(StockOutData[Quantity],StockOutData[Product ID],ProductMaster!$B558)</f>
        <v>0</v>
      </c>
      <c r="J558" s="63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3" t="s">
        <v>1168</v>
      </c>
      <c r="C559" s="85" t="s">
        <v>1169</v>
      </c>
      <c r="D559" s="47"/>
      <c r="E559" s="47"/>
      <c r="F559" s="48"/>
      <c r="G559" s="62" t="str">
        <f>IFERROR(INDEX(StockInData[Expiry],MATCH(ProductMaster[[#This Row],[Product ID]],StockInData[Product ID],0)),"")</f>
        <v/>
      </c>
      <c r="H559" s="47"/>
      <c r="I559" s="61">
        <f>SUMIFS(StockInData[Quantity],StockInData[Product ID],ProductMaster!$B559)-SUMIFS(StockOutData[Quantity],StockOutData[Product ID],ProductMaster!$B559)</f>
        <v>0</v>
      </c>
      <c r="J559" s="63">
        <f>SUMIFS(StockInData[Value],StockInData[Product ID],ProductMaster!$B559)-SUMIFS(StockOutData[Value],StockOutData[Product ID],ProductMaster!$B559)</f>
        <v>0</v>
      </c>
    </row>
    <row r="560" spans="1:10" x14ac:dyDescent="0.25">
      <c r="A560" s="82">
        <v>559</v>
      </c>
      <c r="B560" s="83" t="s">
        <v>1170</v>
      </c>
      <c r="C560" s="85" t="s">
        <v>1171</v>
      </c>
      <c r="D560" s="47"/>
      <c r="E560" s="47"/>
      <c r="F560" s="48"/>
      <c r="G560" s="62" t="str">
        <f>IFERROR(INDEX(StockInData[Expiry],MATCH(ProductMaster[[#This Row],[Product ID]],StockInData[Product ID],0)),"")</f>
        <v/>
      </c>
      <c r="H560" s="47"/>
      <c r="I560" s="61">
        <f>SUMIFS(StockInData[Quantity],StockInData[Product ID],ProductMaster!$B560)-SUMIFS(StockOutData[Quantity],StockOutData[Product ID],ProductMaster!$B560)</f>
        <v>0</v>
      </c>
      <c r="J560" s="63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3" t="s">
        <v>1172</v>
      </c>
      <c r="C561" s="85" t="s">
        <v>1173</v>
      </c>
      <c r="D561" s="47"/>
      <c r="E561" s="47"/>
      <c r="F561" s="48"/>
      <c r="G561" s="62" t="str">
        <f>IFERROR(INDEX(StockInData[Expiry],MATCH(ProductMaster[[#This Row],[Product ID]],StockInData[Product ID],0)),"")</f>
        <v/>
      </c>
      <c r="H561" s="47"/>
      <c r="I561" s="61">
        <f>SUMIFS(StockInData[Quantity],StockInData[Product ID],ProductMaster!$B561)-SUMIFS(StockOutData[Quantity],StockOutData[Product ID],ProductMaster!$B561)</f>
        <v>0</v>
      </c>
      <c r="J561" s="63">
        <f>SUMIFS(StockInData[Value],StockInData[Product ID],ProductMaster!$B561)-SUMIFS(StockOutData[Value],StockOutData[Product ID],ProductMaster!$B561)</f>
        <v>0</v>
      </c>
    </row>
    <row r="562" spans="1:10" hidden="1" x14ac:dyDescent="0.25">
      <c r="A562" s="82">
        <v>561</v>
      </c>
      <c r="B562" s="83" t="s">
        <v>1174</v>
      </c>
      <c r="C562" s="85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3" t="s">
        <v>1176</v>
      </c>
      <c r="C563" s="85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2">
        <v>563</v>
      </c>
      <c r="B564" s="83" t="s">
        <v>1178</v>
      </c>
      <c r="C564" s="85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3" t="s">
        <v>1180</v>
      </c>
      <c r="C565" s="85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2">
        <v>565</v>
      </c>
      <c r="B566" s="83" t="s">
        <v>1182</v>
      </c>
      <c r="C566" s="85" t="s">
        <v>1183</v>
      </c>
      <c r="D566" s="47"/>
      <c r="E566" s="47"/>
      <c r="F566" s="48"/>
      <c r="G566" s="62" t="str">
        <f>IFERROR(INDEX(StockInData[Expiry],MATCH(ProductMaster[[#This Row],[Product ID]],StockInData[Product ID],0)),"")</f>
        <v/>
      </c>
      <c r="H566" s="47"/>
      <c r="I566" s="61">
        <f>SUMIFS(StockInData[Quantity],StockInData[Product ID],ProductMaster!$B566)-SUMIFS(StockOutData[Quantity],StockOutData[Product ID],ProductMaster!$B566)</f>
        <v>0</v>
      </c>
      <c r="J566" s="63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3" t="s">
        <v>1184</v>
      </c>
      <c r="C567" s="85" t="s">
        <v>1185</v>
      </c>
      <c r="D567" s="47"/>
      <c r="E567" s="47"/>
      <c r="F567" s="48"/>
      <c r="G567" s="62" t="str">
        <f>IFERROR(INDEX(StockInData[Expiry],MATCH(ProductMaster[[#This Row],[Product ID]],StockInData[Product ID],0)),"")</f>
        <v/>
      </c>
      <c r="H567" s="47"/>
      <c r="I567" s="61">
        <f>SUMIFS(StockInData[Quantity],StockInData[Product ID],ProductMaster!$B567)-SUMIFS(StockOutData[Quantity],StockOutData[Product ID],ProductMaster!$B567)</f>
        <v>0</v>
      </c>
      <c r="J567" s="63">
        <f>SUMIFS(StockInData[Value],StockInData[Product ID],ProductMaster!$B567)-SUMIFS(StockOutData[Value],StockOutData[Product ID],ProductMaster!$B567)</f>
        <v>0</v>
      </c>
    </row>
    <row r="568" spans="1:10" x14ac:dyDescent="0.25">
      <c r="A568" s="82">
        <v>567</v>
      </c>
      <c r="B568" s="83" t="s">
        <v>1186</v>
      </c>
      <c r="C568" s="85" t="s">
        <v>1187</v>
      </c>
      <c r="D568" s="47"/>
      <c r="E568" s="47"/>
      <c r="F568" s="48"/>
      <c r="G568" s="62" t="str">
        <f>IFERROR(INDEX(StockInData[Expiry],MATCH(ProductMaster[[#This Row],[Product ID]],StockInData[Product ID],0)),"")</f>
        <v/>
      </c>
      <c r="H568" s="47"/>
      <c r="I568" s="61">
        <f>SUMIFS(StockInData[Quantity],StockInData[Product ID],ProductMaster!$B568)-SUMIFS(StockOutData[Quantity],StockOutData[Product ID],ProductMaster!$B568)</f>
        <v>0</v>
      </c>
      <c r="J568" s="63">
        <f>SUMIFS(StockInData[Value],StockInData[Product ID],ProductMaster!$B568)-SUMIFS(StockOutData[Value],StockOutData[Product ID],ProductMaster!$B568)</f>
        <v>0</v>
      </c>
    </row>
    <row r="569" spans="1:10" hidden="1" x14ac:dyDescent="0.25">
      <c r="A569" s="60">
        <v>568</v>
      </c>
      <c r="B569" s="83" t="s">
        <v>1188</v>
      </c>
      <c r="C569" s="85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2">
        <v>569</v>
      </c>
      <c r="B570" s="83" t="s">
        <v>1190</v>
      </c>
      <c r="C570" s="85" t="s">
        <v>1191</v>
      </c>
      <c r="D570" s="47"/>
      <c r="E570" s="47"/>
      <c r="F570" s="48"/>
      <c r="G570" s="62" t="str">
        <f>IFERROR(INDEX(StockInData[Expiry],MATCH(ProductMaster[[#This Row],[Product ID]],StockInData[Product ID],0)),"")</f>
        <v/>
      </c>
      <c r="H570" s="47"/>
      <c r="I570" s="61">
        <f>SUMIFS(StockInData[Quantity],StockInData[Product ID],ProductMaster!$B570)-SUMIFS(StockOutData[Quantity],StockOutData[Product ID],ProductMaster!$B570)</f>
        <v>0</v>
      </c>
      <c r="J570" s="63">
        <f>SUMIFS(StockInData[Value],StockInData[Product ID],ProductMaster!$B570)-SUMIFS(StockOutData[Value],StockOutData[Product ID],ProductMaster!$B570)</f>
        <v>0</v>
      </c>
    </row>
    <row r="571" spans="1:10" hidden="1" x14ac:dyDescent="0.25">
      <c r="A571" s="60">
        <v>570</v>
      </c>
      <c r="B571" s="83" t="s">
        <v>1192</v>
      </c>
      <c r="C571" s="85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2">
        <v>571</v>
      </c>
      <c r="B572" s="83" t="s">
        <v>1194</v>
      </c>
      <c r="C572" s="85" t="s">
        <v>1195</v>
      </c>
      <c r="D572" s="47"/>
      <c r="E572" s="47"/>
      <c r="F572" s="48"/>
      <c r="G572" s="62" t="str">
        <f>IFERROR(INDEX(StockInData[Expiry],MATCH(ProductMaster[[#This Row],[Product ID]],StockInData[Product ID],0)),"")</f>
        <v/>
      </c>
      <c r="H572" s="47"/>
      <c r="I572" s="61">
        <f>SUMIFS(StockInData[Quantity],StockInData[Product ID],ProductMaster!$B572)-SUMIFS(StockOutData[Quantity],StockOutData[Product ID],ProductMaster!$B572)</f>
        <v>0</v>
      </c>
      <c r="J572" s="63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3" t="s">
        <v>1196</v>
      </c>
      <c r="C573" s="85" t="s">
        <v>1197</v>
      </c>
      <c r="D573" s="47"/>
      <c r="E573" s="47"/>
      <c r="F573" s="48"/>
      <c r="G573" s="62" t="str">
        <f>IFERROR(INDEX(StockInData[Expiry],MATCH(ProductMaster[[#This Row],[Product ID]],StockInData[Product ID],0)),"")</f>
        <v/>
      </c>
      <c r="H573" s="47"/>
      <c r="I573" s="61">
        <f>SUMIFS(StockInData[Quantity],StockInData[Product ID],ProductMaster!$B573)-SUMIFS(StockOutData[Quantity],StockOutData[Product ID],ProductMaster!$B573)</f>
        <v>0</v>
      </c>
      <c r="J573" s="63">
        <f>SUMIFS(StockInData[Value],StockInData[Product ID],ProductMaster!$B573)-SUMIFS(StockOutData[Value],StockOutData[Product ID],ProductMaster!$B573)</f>
        <v>0</v>
      </c>
    </row>
    <row r="574" spans="1:10" x14ac:dyDescent="0.25">
      <c r="A574" s="82">
        <v>573</v>
      </c>
      <c r="B574" s="83" t="s">
        <v>1198</v>
      </c>
      <c r="C574" s="85" t="s">
        <v>1199</v>
      </c>
      <c r="D574" s="47"/>
      <c r="E574" s="47"/>
      <c r="F574" s="48"/>
      <c r="G574" s="62" t="str">
        <f>IFERROR(INDEX(StockInData[Expiry],MATCH(ProductMaster[[#This Row],[Product ID]],StockInData[Product ID],0)),"")</f>
        <v/>
      </c>
      <c r="H574" s="47"/>
      <c r="I574" s="61">
        <f>SUMIFS(StockInData[Quantity],StockInData[Product ID],ProductMaster!$B574)-SUMIFS(StockOutData[Quantity],StockOutData[Product ID],ProductMaster!$B574)</f>
        <v>0</v>
      </c>
      <c r="J574" s="63">
        <f>SUMIFS(StockInData[Value],StockInData[Product ID],ProductMaster!$B574)-SUMIFS(StockOutData[Value],StockOutData[Product ID],ProductMaster!$B574)</f>
        <v>0</v>
      </c>
    </row>
    <row r="575" spans="1:10" hidden="1" x14ac:dyDescent="0.25">
      <c r="A575" s="60">
        <v>574</v>
      </c>
      <c r="B575" s="83" t="s">
        <v>1200</v>
      </c>
      <c r="C575" s="85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2">
        <v>575</v>
      </c>
      <c r="B576" s="83" t="s">
        <v>1202</v>
      </c>
      <c r="C576" s="85" t="s">
        <v>1203</v>
      </c>
      <c r="D576" s="47"/>
      <c r="E576" s="47"/>
      <c r="F576" s="48"/>
      <c r="G576" s="62" t="str">
        <f>IFERROR(INDEX(StockInData[Expiry],MATCH(ProductMaster[[#This Row],[Product ID]],StockInData[Product ID],0)),"")</f>
        <v/>
      </c>
      <c r="H576" s="47"/>
      <c r="I576" s="61">
        <f>SUMIFS(StockInData[Quantity],StockInData[Product ID],ProductMaster!$B576)-SUMIFS(StockOutData[Quantity],StockOutData[Product ID],ProductMaster!$B576)</f>
        <v>0</v>
      </c>
      <c r="J576" s="63">
        <f>SUMIFS(StockInData[Value],StockInData[Product ID],ProductMaster!$B576)-SUMIFS(StockOutData[Value],StockOutData[Product ID],ProductMaster!$B576)</f>
        <v>0</v>
      </c>
    </row>
    <row r="577" spans="1:10" hidden="1" x14ac:dyDescent="0.25">
      <c r="A577" s="60">
        <v>576</v>
      </c>
      <c r="B577" s="83" t="s">
        <v>1204</v>
      </c>
      <c r="C577" s="85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2">
        <v>577</v>
      </c>
      <c r="B578" s="83" t="s">
        <v>1206</v>
      </c>
      <c r="C578" s="85" t="s">
        <v>1207</v>
      </c>
      <c r="D578" s="47"/>
      <c r="E578" s="47"/>
      <c r="F578" s="48"/>
      <c r="G578" s="62" t="str">
        <f>IFERROR(INDEX(StockInData[Expiry],MATCH(ProductMaster[[#This Row],[Product ID]],StockInData[Product ID],0)),"")</f>
        <v/>
      </c>
      <c r="H578" s="47"/>
      <c r="I578" s="61">
        <f>SUMIFS(StockInData[Quantity],StockInData[Product ID],ProductMaster!$B578)-SUMIFS(StockOutData[Quantity],StockOutData[Product ID],ProductMaster!$B578)</f>
        <v>0</v>
      </c>
      <c r="J578" s="63">
        <f>SUMIFS(StockInData[Value],StockInData[Product ID],ProductMaster!$B578)-SUMIFS(StockOutData[Value],StockOutData[Product ID],ProductMaster!$B578)</f>
        <v>0</v>
      </c>
    </row>
    <row r="579" spans="1:10" hidden="1" x14ac:dyDescent="0.25">
      <c r="A579" s="60">
        <v>578</v>
      </c>
      <c r="B579" s="83" t="s">
        <v>1208</v>
      </c>
      <c r="C579" s="85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2">
        <v>579</v>
      </c>
      <c r="B580" s="83" t="s">
        <v>1210</v>
      </c>
      <c r="C580" s="85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3" t="s">
        <v>1212</v>
      </c>
      <c r="C581" s="85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2">
        <v>581</v>
      </c>
      <c r="B582" s="83" t="s">
        <v>1214</v>
      </c>
      <c r="C582" s="85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3" t="s">
        <v>1216</v>
      </c>
      <c r="C583" s="85" t="s">
        <v>1217</v>
      </c>
      <c r="D583" s="47"/>
      <c r="E583" s="47"/>
      <c r="F583" s="48"/>
      <c r="G583" s="62" t="str">
        <f>IFERROR(INDEX(StockInData[Expiry],MATCH(ProductMaster[[#This Row],[Product ID]],StockInData[Product ID],0)),"")</f>
        <v/>
      </c>
      <c r="H583" s="47"/>
      <c r="I583" s="61">
        <f>SUMIFS(StockInData[Quantity],StockInData[Product ID],ProductMaster!$B583)-SUMIFS(StockOutData[Quantity],StockOutData[Product ID],ProductMaster!$B583)</f>
        <v>0</v>
      </c>
      <c r="J583" s="63">
        <f>SUMIFS(StockInData[Value],StockInData[Product ID],ProductMaster!$B583)-SUMIFS(StockOutData[Value],StockOutData[Product ID],ProductMaster!$B583)</f>
        <v>0</v>
      </c>
    </row>
    <row r="584" spans="1:10" hidden="1" x14ac:dyDescent="0.25">
      <c r="A584" s="82">
        <v>583</v>
      </c>
      <c r="B584" s="83" t="s">
        <v>1218</v>
      </c>
      <c r="C584" s="85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3" t="s">
        <v>1220</v>
      </c>
      <c r="C585" s="85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2">
        <v>585</v>
      </c>
      <c r="B586" s="83" t="s">
        <v>1222</v>
      </c>
      <c r="C586" s="85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3" t="s">
        <v>1224</v>
      </c>
      <c r="C587" s="85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2">
        <v>587</v>
      </c>
      <c r="B588" s="83" t="s">
        <v>1226</v>
      </c>
      <c r="C588" s="85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3" t="s">
        <v>1228</v>
      </c>
      <c r="C589" s="85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2">
        <v>589</v>
      </c>
      <c r="B590" s="83" t="s">
        <v>1230</v>
      </c>
      <c r="C590" s="85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3" t="s">
        <v>1232</v>
      </c>
      <c r="C591" s="85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2">
        <v>591</v>
      </c>
      <c r="B592" s="83" t="s">
        <v>1234</v>
      </c>
      <c r="C592" s="85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3" t="s">
        <v>1236</v>
      </c>
      <c r="C593" s="85" t="s">
        <v>1237</v>
      </c>
      <c r="D593" s="47"/>
      <c r="E593" s="47"/>
      <c r="F593" s="48"/>
      <c r="G593" s="62" t="str">
        <f>IFERROR(INDEX(StockInData[Expiry],MATCH(ProductMaster[[#This Row],[Product ID]],StockInData[Product ID],0)),"")</f>
        <v/>
      </c>
      <c r="H593" s="47"/>
      <c r="I593" s="61">
        <f>SUMIFS(StockInData[Quantity],StockInData[Product ID],ProductMaster!$B593)-SUMIFS(StockOutData[Quantity],StockOutData[Product ID],ProductMaster!$B593)</f>
        <v>0</v>
      </c>
      <c r="J593" s="63">
        <f>SUMIFS(StockInData[Value],StockInData[Product ID],ProductMaster!$B593)-SUMIFS(StockOutData[Value],StockOutData[Product ID],ProductMaster!$B593)</f>
        <v>0</v>
      </c>
    </row>
    <row r="594" spans="1:10" hidden="1" x14ac:dyDescent="0.25">
      <c r="A594" s="82">
        <v>593</v>
      </c>
      <c r="B594" s="83" t="s">
        <v>1238</v>
      </c>
      <c r="C594" s="85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3" t="s">
        <v>1240</v>
      </c>
      <c r="C595" s="85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2">
        <v>595</v>
      </c>
      <c r="B596" s="83" t="s">
        <v>1242</v>
      </c>
      <c r="C596" s="85" t="s">
        <v>1243</v>
      </c>
      <c r="D596" s="47"/>
      <c r="E596" s="47"/>
      <c r="F596" s="48"/>
      <c r="G596" s="62" t="str">
        <f>IFERROR(INDEX(StockInData[Expiry],MATCH(ProductMaster[[#This Row],[Product ID]],StockInData[Product ID],0)),"")</f>
        <v/>
      </c>
      <c r="H596" s="47"/>
      <c r="I596" s="61">
        <f>SUMIFS(StockInData[Quantity],StockInData[Product ID],ProductMaster!$B596)-SUMIFS(StockOutData[Quantity],StockOutData[Product ID],ProductMaster!$B596)</f>
        <v>0</v>
      </c>
      <c r="J596" s="63">
        <f>SUMIFS(StockInData[Value],StockInData[Product ID],ProductMaster!$B596)-SUMIFS(StockOutData[Value],StockOutData[Product ID],ProductMaster!$B596)</f>
        <v>0</v>
      </c>
    </row>
    <row r="597" spans="1:10" hidden="1" x14ac:dyDescent="0.25">
      <c r="A597" s="60">
        <v>596</v>
      </c>
      <c r="B597" s="83" t="s">
        <v>1244</v>
      </c>
      <c r="C597" s="85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2">
        <v>597</v>
      </c>
      <c r="B598" s="83" t="s">
        <v>1246</v>
      </c>
      <c r="C598" s="85" t="s">
        <v>1247</v>
      </c>
      <c r="D598" s="47"/>
      <c r="E598" s="47"/>
      <c r="F598" s="48"/>
      <c r="G598" s="62" t="str">
        <f>IFERROR(INDEX(StockInData[Expiry],MATCH(ProductMaster[[#This Row],[Product ID]],StockInData[Product ID],0)),"")</f>
        <v/>
      </c>
      <c r="H598" s="47"/>
      <c r="I598" s="61">
        <f>SUMIFS(StockInData[Quantity],StockInData[Product ID],ProductMaster!$B598)-SUMIFS(StockOutData[Quantity],StockOutData[Product ID],ProductMaster!$B598)</f>
        <v>0</v>
      </c>
      <c r="J598" s="63">
        <f>SUMIFS(StockInData[Value],StockInData[Product ID],ProductMaster!$B598)-SUMIFS(StockOutData[Value],StockOutData[Product ID],ProductMaster!$B598)</f>
        <v>0</v>
      </c>
    </row>
    <row r="599" spans="1:10" hidden="1" x14ac:dyDescent="0.25">
      <c r="A599" s="60">
        <v>598</v>
      </c>
      <c r="B599" s="83" t="s">
        <v>1248</v>
      </c>
      <c r="C599" s="85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2">
        <v>599</v>
      </c>
      <c r="B600" s="83" t="s">
        <v>1250</v>
      </c>
      <c r="C600" s="85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3" t="s">
        <v>1252</v>
      </c>
      <c r="C601" s="85" t="s">
        <v>1253</v>
      </c>
      <c r="D601" s="47"/>
      <c r="E601" s="47"/>
      <c r="F601" s="48"/>
      <c r="G601" s="62" t="str">
        <f>IFERROR(INDEX(StockInData[Expiry],MATCH(ProductMaster[[#This Row],[Product ID]],StockInData[Product ID],0)),"")</f>
        <v/>
      </c>
      <c r="H601" s="47"/>
      <c r="I601" s="61">
        <f>SUMIFS(StockInData[Quantity],StockInData[Product ID],ProductMaster!$B601)-SUMIFS(StockOutData[Quantity],StockOutData[Product ID],ProductMaster!$B601)</f>
        <v>0</v>
      </c>
      <c r="J601" s="63">
        <f>SUMIFS(StockInData[Value],StockInData[Product ID],ProductMaster!$B601)-SUMIFS(StockOutData[Value],StockOutData[Product ID],ProductMaster!$B601)</f>
        <v>0</v>
      </c>
    </row>
    <row r="602" spans="1:10" x14ac:dyDescent="0.25">
      <c r="A602" s="82">
        <v>601</v>
      </c>
      <c r="B602" s="83" t="s">
        <v>1254</v>
      </c>
      <c r="C602" s="85" t="s">
        <v>1255</v>
      </c>
      <c r="D602" s="47"/>
      <c r="E602" s="47"/>
      <c r="F602" s="48"/>
      <c r="G602" s="62" t="str">
        <f>IFERROR(INDEX(StockInData[Expiry],MATCH(ProductMaster[[#This Row],[Product ID]],StockInData[Product ID],0)),"")</f>
        <v/>
      </c>
      <c r="H602" s="47"/>
      <c r="I602" s="61">
        <f>SUMIFS(StockInData[Quantity],StockInData[Product ID],ProductMaster!$B602)-SUMIFS(StockOutData[Quantity],StockOutData[Product ID],ProductMaster!$B602)</f>
        <v>0</v>
      </c>
      <c r="J602" s="63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3" t="s">
        <v>1256</v>
      </c>
      <c r="C603" s="85" t="s">
        <v>1257</v>
      </c>
      <c r="D603" s="47"/>
      <c r="E603" s="47"/>
      <c r="F603" s="48"/>
      <c r="G603" s="62" t="str">
        <f>IFERROR(INDEX(StockInData[Expiry],MATCH(ProductMaster[[#This Row],[Product ID]],StockInData[Product ID],0)),"")</f>
        <v/>
      </c>
      <c r="H603" s="47"/>
      <c r="I603" s="61">
        <f>SUMIFS(StockInData[Quantity],StockInData[Product ID],ProductMaster!$B603)-SUMIFS(StockOutData[Quantity],StockOutData[Product ID],ProductMaster!$B603)</f>
        <v>0</v>
      </c>
      <c r="J603" s="63">
        <f>SUMIFS(StockInData[Value],StockInData[Product ID],ProductMaster!$B603)-SUMIFS(StockOutData[Value],StockOutData[Product ID],ProductMaster!$B603)</f>
        <v>0</v>
      </c>
    </row>
    <row r="604" spans="1:10" x14ac:dyDescent="0.25">
      <c r="A604" s="82">
        <v>603</v>
      </c>
      <c r="B604" s="83" t="s">
        <v>1258</v>
      </c>
      <c r="C604" s="85" t="s">
        <v>1259</v>
      </c>
      <c r="D604" s="47"/>
      <c r="E604" s="47"/>
      <c r="F604" s="48"/>
      <c r="G604" s="62" t="str">
        <f>IFERROR(INDEX(StockInData[Expiry],MATCH(ProductMaster[[#This Row],[Product ID]],StockInData[Product ID],0)),"")</f>
        <v/>
      </c>
      <c r="H604" s="47"/>
      <c r="I604" s="61">
        <f>SUMIFS(StockInData[Quantity],StockInData[Product ID],ProductMaster!$B604)-SUMIFS(StockOutData[Quantity],StockOutData[Product ID],ProductMaster!$B604)</f>
        <v>0</v>
      </c>
      <c r="J604" s="63">
        <f>SUMIFS(StockInData[Value],StockInData[Product ID],ProductMaster!$B604)-SUMIFS(StockOutData[Value],StockOutData[Product ID],ProductMaster!$B604)</f>
        <v>0</v>
      </c>
    </row>
    <row r="605" spans="1:10" hidden="1" x14ac:dyDescent="0.25">
      <c r="A605" s="60">
        <v>604</v>
      </c>
      <c r="B605" s="83" t="s">
        <v>1260</v>
      </c>
      <c r="C605" s="85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2">
        <v>605</v>
      </c>
      <c r="B606" s="83" t="s">
        <v>1262</v>
      </c>
      <c r="C606" s="85" t="s">
        <v>1263</v>
      </c>
      <c r="D606" s="47"/>
      <c r="E606" s="47"/>
      <c r="F606" s="48"/>
      <c r="G606" s="62" t="str">
        <f>IFERROR(INDEX(StockInData[Expiry],MATCH(ProductMaster[[#This Row],[Product ID]],StockInData[Product ID],0)),"")</f>
        <v/>
      </c>
      <c r="H606" s="47"/>
      <c r="I606" s="61">
        <f>SUMIFS(StockInData[Quantity],StockInData[Product ID],ProductMaster!$B606)-SUMIFS(StockOutData[Quantity],StockOutData[Product ID],ProductMaster!$B606)</f>
        <v>0</v>
      </c>
      <c r="J606" s="63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3" t="s">
        <v>1264</v>
      </c>
      <c r="C607" s="85" t="s">
        <v>1265</v>
      </c>
      <c r="D607" s="47"/>
      <c r="E607" s="47"/>
      <c r="F607" s="48"/>
      <c r="G607" s="62" t="str">
        <f>IFERROR(INDEX(StockInData[Expiry],MATCH(ProductMaster[[#This Row],[Product ID]],StockInData[Product ID],0)),"")</f>
        <v/>
      </c>
      <c r="H607" s="47"/>
      <c r="I607" s="61">
        <f>SUMIFS(StockInData[Quantity],StockInData[Product ID],ProductMaster!$B607)-SUMIFS(StockOutData[Quantity],StockOutData[Product ID],ProductMaster!$B607)</f>
        <v>0</v>
      </c>
      <c r="J607" s="63">
        <f>SUMIFS(StockInData[Value],StockInData[Product ID],ProductMaster!$B607)-SUMIFS(StockOutData[Value],StockOutData[Product ID],ProductMaster!$B607)</f>
        <v>0</v>
      </c>
    </row>
    <row r="608" spans="1:10" x14ac:dyDescent="0.25">
      <c r="A608" s="82">
        <v>607</v>
      </c>
      <c r="B608" s="83" t="s">
        <v>1266</v>
      </c>
      <c r="C608" s="85" t="s">
        <v>1267</v>
      </c>
      <c r="D608" s="47"/>
      <c r="E608" s="47"/>
      <c r="F608" s="48"/>
      <c r="G608" s="62" t="str">
        <f>IFERROR(INDEX(StockInData[Expiry],MATCH(ProductMaster[[#This Row],[Product ID]],StockInData[Product ID],0)),"")</f>
        <v/>
      </c>
      <c r="H608" s="47"/>
      <c r="I608" s="61">
        <f>SUMIFS(StockInData[Quantity],StockInData[Product ID],ProductMaster!$B608)-SUMIFS(StockOutData[Quantity],StockOutData[Product ID],ProductMaster!$B608)</f>
        <v>0</v>
      </c>
      <c r="J608" s="63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3" t="s">
        <v>1268</v>
      </c>
      <c r="C609" s="85" t="s">
        <v>1269</v>
      </c>
      <c r="D609" s="47"/>
      <c r="E609" s="47"/>
      <c r="F609" s="48"/>
      <c r="G609" s="62" t="str">
        <f>IFERROR(INDEX(StockInData[Expiry],MATCH(ProductMaster[[#This Row],[Product ID]],StockInData[Product ID],0)),"")</f>
        <v/>
      </c>
      <c r="H609" s="47"/>
      <c r="I609" s="61">
        <f>SUMIFS(StockInData[Quantity],StockInData[Product ID],ProductMaster!$B609)-SUMIFS(StockOutData[Quantity],StockOutData[Product ID],ProductMaster!$B609)</f>
        <v>0</v>
      </c>
      <c r="J609" s="63">
        <f>SUMIFS(StockInData[Value],StockInData[Product ID],ProductMaster!$B609)-SUMIFS(StockOutData[Value],StockOutData[Product ID],ProductMaster!$B609)</f>
        <v>0</v>
      </c>
    </row>
    <row r="610" spans="1:10" hidden="1" x14ac:dyDescent="0.25">
      <c r="A610" s="82">
        <v>609</v>
      </c>
      <c r="B610" s="83" t="s">
        <v>1270</v>
      </c>
      <c r="C610" s="85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3" t="s">
        <v>1272</v>
      </c>
      <c r="C611" s="85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x14ac:dyDescent="0.25">
      <c r="A612" s="82">
        <v>611</v>
      </c>
      <c r="B612" s="83" t="s">
        <v>1274</v>
      </c>
      <c r="C612" s="85" t="s">
        <v>1275</v>
      </c>
      <c r="D612" s="47"/>
      <c r="E612" s="47"/>
      <c r="F612" s="48"/>
      <c r="G612" s="62" t="str">
        <f>IFERROR(INDEX(StockInData[Expiry],MATCH(ProductMaster[[#This Row],[Product ID]],StockInData[Product ID],0)),"")</f>
        <v/>
      </c>
      <c r="H612" s="47"/>
      <c r="I612" s="61">
        <f>SUMIFS(StockInData[Quantity],StockInData[Product ID],ProductMaster!$B612)-SUMIFS(StockOutData[Quantity],StockOutData[Product ID],ProductMaster!$B612)</f>
        <v>0</v>
      </c>
      <c r="J612" s="63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3" t="s">
        <v>1276</v>
      </c>
      <c r="C613" s="85" t="s">
        <v>1277</v>
      </c>
      <c r="D613" s="47"/>
      <c r="E613" s="47"/>
      <c r="F613" s="48"/>
      <c r="G613" s="62" t="str">
        <f>IFERROR(INDEX(StockInData[Expiry],MATCH(ProductMaster[[#This Row],[Product ID]],StockInData[Product ID],0)),"")</f>
        <v/>
      </c>
      <c r="H613" s="47"/>
      <c r="I613" s="61">
        <f>SUMIFS(StockInData[Quantity],StockInData[Product ID],ProductMaster!$B613)-SUMIFS(StockOutData[Quantity],StockOutData[Product ID],ProductMaster!$B613)</f>
        <v>0</v>
      </c>
      <c r="J613" s="63">
        <f>SUMIFS(StockInData[Value],StockInData[Product ID],ProductMaster!$B613)-SUMIFS(StockOutData[Value],StockOutData[Product ID],ProductMaster!$B613)</f>
        <v>0</v>
      </c>
    </row>
    <row r="614" spans="1:10" x14ac:dyDescent="0.25">
      <c r="A614" s="82">
        <v>613</v>
      </c>
      <c r="B614" s="83" t="s">
        <v>1278</v>
      </c>
      <c r="C614" s="85" t="s">
        <v>1279</v>
      </c>
      <c r="D614" s="47"/>
      <c r="E614" s="47"/>
      <c r="F614" s="48"/>
      <c r="G614" s="62" t="str">
        <f>IFERROR(INDEX(StockInData[Expiry],MATCH(ProductMaster[[#This Row],[Product ID]],StockInData[Product ID],0)),"")</f>
        <v/>
      </c>
      <c r="H614" s="47"/>
      <c r="I614" s="61">
        <f>SUMIFS(StockInData[Quantity],StockInData[Product ID],ProductMaster!$B614)-SUMIFS(StockOutData[Quantity],StockOutData[Product ID],ProductMaster!$B614)</f>
        <v>0</v>
      </c>
      <c r="J614" s="63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3" t="s">
        <v>1280</v>
      </c>
      <c r="C615" s="85" t="s">
        <v>1281</v>
      </c>
      <c r="D615" s="47"/>
      <c r="E615" s="47"/>
      <c r="F615" s="48"/>
      <c r="G615" s="62" t="str">
        <f>IFERROR(INDEX(StockInData[Expiry],MATCH(ProductMaster[[#This Row],[Product ID]],StockInData[Product ID],0)),"")</f>
        <v/>
      </c>
      <c r="H615" s="47"/>
      <c r="I615" s="61">
        <f>SUMIFS(StockInData[Quantity],StockInData[Product ID],ProductMaster!$B615)-SUMIFS(StockOutData[Quantity],StockOutData[Product ID],ProductMaster!$B615)</f>
        <v>0</v>
      </c>
      <c r="J615" s="63">
        <f>SUMIFS(StockInData[Value],StockInData[Product ID],ProductMaster!$B615)-SUMIFS(StockOutData[Value],StockOutData[Product ID],ProductMaster!$B615)</f>
        <v>0</v>
      </c>
    </row>
    <row r="616" spans="1:10" x14ac:dyDescent="0.25">
      <c r="A616" s="82">
        <v>615</v>
      </c>
      <c r="B616" s="83" t="s">
        <v>1282</v>
      </c>
      <c r="C616" s="85" t="s">
        <v>1283</v>
      </c>
      <c r="D616" s="47"/>
      <c r="E616" s="47"/>
      <c r="F616" s="48"/>
      <c r="G616" s="62" t="str">
        <f>IFERROR(INDEX(StockInData[Expiry],MATCH(ProductMaster[[#This Row],[Product ID]],StockInData[Product ID],0)),"")</f>
        <v/>
      </c>
      <c r="H616" s="47"/>
      <c r="I616" s="61">
        <f>SUMIFS(StockInData[Quantity],StockInData[Product ID],ProductMaster!$B616)-SUMIFS(StockOutData[Quantity],StockOutData[Product ID],ProductMaster!$B616)</f>
        <v>0</v>
      </c>
      <c r="J616" s="63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3" t="s">
        <v>1284</v>
      </c>
      <c r="C617" s="85" t="s">
        <v>1285</v>
      </c>
      <c r="D617" s="47"/>
      <c r="E617" s="47"/>
      <c r="F617" s="48"/>
      <c r="G617" s="62" t="str">
        <f>IFERROR(INDEX(StockInData[Expiry],MATCH(ProductMaster[[#This Row],[Product ID]],StockInData[Product ID],0)),"")</f>
        <v/>
      </c>
      <c r="H617" s="47"/>
      <c r="I617" s="61">
        <f>SUMIFS(StockInData[Quantity],StockInData[Product ID],ProductMaster!$B617)-SUMIFS(StockOutData[Quantity],StockOutData[Product ID],ProductMaster!$B617)</f>
        <v>0</v>
      </c>
      <c r="J617" s="63">
        <f>SUMIFS(StockInData[Value],StockInData[Product ID],ProductMaster!$B617)-SUMIFS(StockOutData[Value],StockOutData[Product ID],ProductMaster!$B617)</f>
        <v>0</v>
      </c>
    </row>
    <row r="618" spans="1:10" x14ac:dyDescent="0.25">
      <c r="A618" s="82">
        <v>617</v>
      </c>
      <c r="B618" s="83" t="s">
        <v>1286</v>
      </c>
      <c r="C618" s="85" t="s">
        <v>1287</v>
      </c>
      <c r="D618" s="47"/>
      <c r="E618" s="47"/>
      <c r="F618" s="48"/>
      <c r="G618" s="62" t="str">
        <f>IFERROR(INDEX(StockInData[Expiry],MATCH(ProductMaster[[#This Row],[Product ID]],StockInData[Product ID],0)),"")</f>
        <v/>
      </c>
      <c r="H618" s="47"/>
      <c r="I618" s="61">
        <f>SUMIFS(StockInData[Quantity],StockInData[Product ID],ProductMaster!$B618)-SUMIFS(StockOutData[Quantity],StockOutData[Product ID],ProductMaster!$B618)</f>
        <v>0</v>
      </c>
      <c r="J618" s="63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3" t="s">
        <v>1288</v>
      </c>
      <c r="C619" s="85" t="s">
        <v>1289</v>
      </c>
      <c r="D619" s="47"/>
      <c r="E619" s="47"/>
      <c r="F619" s="48"/>
      <c r="G619" s="62" t="str">
        <f>IFERROR(INDEX(StockInData[Expiry],MATCH(ProductMaster[[#This Row],[Product ID]],StockInData[Product ID],0)),"")</f>
        <v/>
      </c>
      <c r="H619" s="47"/>
      <c r="I619" s="61">
        <f>SUMIFS(StockInData[Quantity],StockInData[Product ID],ProductMaster!$B619)-SUMIFS(StockOutData[Quantity],StockOutData[Product ID],ProductMaster!$B619)</f>
        <v>0</v>
      </c>
      <c r="J619" s="63">
        <f>SUMIFS(StockInData[Value],StockInData[Product ID],ProductMaster!$B619)-SUMIFS(StockOutData[Value],StockOutData[Product ID],ProductMaster!$B619)</f>
        <v>0</v>
      </c>
    </row>
    <row r="620" spans="1:10" hidden="1" x14ac:dyDescent="0.25">
      <c r="A620" s="82">
        <v>619</v>
      </c>
      <c r="B620" s="83" t="s">
        <v>1290</v>
      </c>
      <c r="C620" s="85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3" t="s">
        <v>1292</v>
      </c>
      <c r="C621" s="85" t="s">
        <v>1293</v>
      </c>
      <c r="D621" s="47"/>
      <c r="E621" s="47"/>
      <c r="F621" s="48"/>
      <c r="G621" s="62" t="str">
        <f>IFERROR(INDEX(StockInData[Expiry],MATCH(ProductMaster[[#This Row],[Product ID]],StockInData[Product ID],0)),"")</f>
        <v/>
      </c>
      <c r="H621" s="47"/>
      <c r="I621" s="61">
        <f>SUMIFS(StockInData[Quantity],StockInData[Product ID],ProductMaster!$B621)-SUMIFS(StockOutData[Quantity],StockOutData[Product ID],ProductMaster!$B621)</f>
        <v>0</v>
      </c>
      <c r="J621" s="63">
        <f>SUMIFS(StockInData[Value],StockInData[Product ID],ProductMaster!$B621)-SUMIFS(StockOutData[Value],StockOutData[Product ID],ProductMaster!$B621)</f>
        <v>0</v>
      </c>
    </row>
    <row r="622" spans="1:10" x14ac:dyDescent="0.25">
      <c r="A622" s="82">
        <v>621</v>
      </c>
      <c r="B622" s="83" t="s">
        <v>1294</v>
      </c>
      <c r="C622" s="85" t="s">
        <v>1295</v>
      </c>
      <c r="D622" s="47"/>
      <c r="E622" s="47"/>
      <c r="F622" s="48"/>
      <c r="G622" s="62" t="str">
        <f>IFERROR(INDEX(StockInData[Expiry],MATCH(ProductMaster[[#This Row],[Product ID]],StockInData[Product ID],0)),"")</f>
        <v/>
      </c>
      <c r="H622" s="47"/>
      <c r="I622" s="61">
        <f>SUMIFS(StockInData[Quantity],StockInData[Product ID],ProductMaster!$B622)-SUMIFS(StockOutData[Quantity],StockOutData[Product ID],ProductMaster!$B622)</f>
        <v>0</v>
      </c>
      <c r="J622" s="63">
        <f>SUMIFS(StockInData[Value],StockInData[Product ID],ProductMaster!$B622)-SUMIFS(StockOutData[Value],StockOutData[Product ID],ProductMaster!$B622)</f>
        <v>0</v>
      </c>
    </row>
    <row r="623" spans="1:10" hidden="1" x14ac:dyDescent="0.25">
      <c r="A623" s="60">
        <v>622</v>
      </c>
      <c r="B623" s="83" t="s">
        <v>1296</v>
      </c>
      <c r="C623" s="85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2">
        <v>623</v>
      </c>
      <c r="B624" s="83" t="s">
        <v>1298</v>
      </c>
      <c r="C624" s="85" t="s">
        <v>1299</v>
      </c>
      <c r="D624" s="47"/>
      <c r="E624" s="47"/>
      <c r="F624" s="48"/>
      <c r="G624" s="62" t="str">
        <f>IFERROR(INDEX(StockInData[Expiry],MATCH(ProductMaster[[#This Row],[Product ID]],StockInData[Product ID],0)),"")</f>
        <v/>
      </c>
      <c r="H624" s="47"/>
      <c r="I624" s="61">
        <f>SUMIFS(StockInData[Quantity],StockInData[Product ID],ProductMaster!$B624)-SUMIFS(StockOutData[Quantity],StockOutData[Product ID],ProductMaster!$B624)</f>
        <v>0</v>
      </c>
      <c r="J624" s="63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3" t="s">
        <v>1300</v>
      </c>
      <c r="C625" s="85" t="s">
        <v>1301</v>
      </c>
      <c r="D625" s="47"/>
      <c r="E625" s="47"/>
      <c r="F625" s="48"/>
      <c r="G625" s="62" t="str">
        <f>IFERROR(INDEX(StockInData[Expiry],MATCH(ProductMaster[[#This Row],[Product ID]],StockInData[Product ID],0)),"")</f>
        <v/>
      </c>
      <c r="H625" s="47"/>
      <c r="I625" s="61">
        <f>SUMIFS(StockInData[Quantity],StockInData[Product ID],ProductMaster!$B625)-SUMIFS(StockOutData[Quantity],StockOutData[Product ID],ProductMaster!$B625)</f>
        <v>0</v>
      </c>
      <c r="J625" s="63">
        <f>SUMIFS(StockInData[Value],StockInData[Product ID],ProductMaster!$B625)-SUMIFS(StockOutData[Value],StockOutData[Product ID],ProductMaster!$B625)</f>
        <v>0</v>
      </c>
    </row>
    <row r="626" spans="1:10" x14ac:dyDescent="0.25">
      <c r="A626" s="82">
        <v>625</v>
      </c>
      <c r="B626" s="83" t="s">
        <v>1302</v>
      </c>
      <c r="C626" s="85" t="s">
        <v>1303</v>
      </c>
      <c r="D626" s="47"/>
      <c r="E626" s="47"/>
      <c r="F626" s="48"/>
      <c r="G626" s="62" t="str">
        <f>IFERROR(INDEX(StockInData[Expiry],MATCH(ProductMaster[[#This Row],[Product ID]],StockInData[Product ID],0)),"")</f>
        <v/>
      </c>
      <c r="H626" s="47"/>
      <c r="I626" s="61">
        <f>SUMIFS(StockInData[Quantity],StockInData[Product ID],ProductMaster!$B626)-SUMIFS(StockOutData[Quantity],StockOutData[Product ID],ProductMaster!$B626)</f>
        <v>0</v>
      </c>
      <c r="J626" s="63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3" t="s">
        <v>1304</v>
      </c>
      <c r="C627" s="85" t="s">
        <v>1305</v>
      </c>
      <c r="D627" s="47"/>
      <c r="E627" s="47"/>
      <c r="F627" s="48"/>
      <c r="G627" s="62" t="str">
        <f>IFERROR(INDEX(StockInData[Expiry],MATCH(ProductMaster[[#This Row],[Product ID]],StockInData[Product ID],0)),"")</f>
        <v/>
      </c>
      <c r="H627" s="47"/>
      <c r="I627" s="61">
        <f>SUMIFS(StockInData[Quantity],StockInData[Product ID],ProductMaster!$B627)-SUMIFS(StockOutData[Quantity],StockOutData[Product ID],ProductMaster!$B627)</f>
        <v>0</v>
      </c>
      <c r="J627" s="63">
        <f>SUMIFS(StockInData[Value],StockInData[Product ID],ProductMaster!$B627)-SUMIFS(StockOutData[Value],StockOutData[Product ID],ProductMaster!$B627)</f>
        <v>0</v>
      </c>
    </row>
    <row r="628" spans="1:10" hidden="1" x14ac:dyDescent="0.25">
      <c r="A628" s="82">
        <v>627</v>
      </c>
      <c r="B628" s="83" t="s">
        <v>1306</v>
      </c>
      <c r="C628" s="85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3" t="s">
        <v>1308</v>
      </c>
      <c r="C629" s="85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2">
        <v>629</v>
      </c>
      <c r="B630" s="83" t="s">
        <v>1310</v>
      </c>
      <c r="C630" s="85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3" t="s">
        <v>1312</v>
      </c>
      <c r="C631" s="85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2">
        <v>631</v>
      </c>
      <c r="B632" s="83" t="s">
        <v>1314</v>
      </c>
      <c r="C632" s="85" t="s">
        <v>1315</v>
      </c>
      <c r="D632" s="47"/>
      <c r="E632" s="47"/>
      <c r="F632" s="48"/>
      <c r="G632" s="62" t="str">
        <f>IFERROR(INDEX(StockInData[Expiry],MATCH(ProductMaster[[#This Row],[Product ID]],StockInData[Product ID],0)),"")</f>
        <v/>
      </c>
      <c r="H632" s="47"/>
      <c r="I632" s="61">
        <f>SUMIFS(StockInData[Quantity],StockInData[Product ID],ProductMaster!$B632)-SUMIFS(StockOutData[Quantity],StockOutData[Product ID],ProductMaster!$B632)</f>
        <v>0</v>
      </c>
      <c r="J632" s="63">
        <f>SUMIFS(StockInData[Value],StockInData[Product ID],ProductMaster!$B632)-SUMIFS(StockOutData[Value],StockOutData[Product ID],ProductMaster!$B632)</f>
        <v>0</v>
      </c>
    </row>
    <row r="633" spans="1:10" hidden="1" x14ac:dyDescent="0.25">
      <c r="A633" s="60">
        <v>632</v>
      </c>
      <c r="B633" s="83" t="s">
        <v>1316</v>
      </c>
      <c r="C633" s="85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2">
        <v>633</v>
      </c>
      <c r="B634" s="83" t="s">
        <v>1318</v>
      </c>
      <c r="C634" s="85" t="s">
        <v>1319</v>
      </c>
      <c r="D634" s="47"/>
      <c r="E634" s="47"/>
      <c r="F634" s="48"/>
      <c r="G634" s="62" t="str">
        <f>IFERROR(INDEX(StockInData[Expiry],MATCH(ProductMaster[[#This Row],[Product ID]],StockInData[Product ID],0)),"")</f>
        <v/>
      </c>
      <c r="H634" s="47"/>
      <c r="I634" s="61">
        <f>SUMIFS(StockInData[Quantity],StockInData[Product ID],ProductMaster!$B634)-SUMIFS(StockOutData[Quantity],StockOutData[Product ID],ProductMaster!$B634)</f>
        <v>0</v>
      </c>
      <c r="J634" s="63">
        <f>SUMIFS(StockInData[Value],StockInData[Product ID],ProductMaster!$B634)-SUMIFS(StockOutData[Value],StockOutData[Product ID],ProductMaster!$B634)</f>
        <v>0</v>
      </c>
    </row>
    <row r="635" spans="1:10" hidden="1" x14ac:dyDescent="0.25">
      <c r="A635" s="60">
        <v>634</v>
      </c>
      <c r="B635" s="83" t="s">
        <v>1320</v>
      </c>
      <c r="C635" s="85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2">
        <v>635</v>
      </c>
      <c r="B636" s="83" t="s">
        <v>1322</v>
      </c>
      <c r="C636" s="85" t="s">
        <v>1323</v>
      </c>
      <c r="D636" s="47"/>
      <c r="E636" s="47"/>
      <c r="F636" s="48"/>
      <c r="G636" s="62" t="str">
        <f>IFERROR(INDEX(StockInData[Expiry],MATCH(ProductMaster[[#This Row],[Product ID]],StockInData[Product ID],0)),"")</f>
        <v/>
      </c>
      <c r="H636" s="47"/>
      <c r="I636" s="61">
        <f>SUMIFS(StockInData[Quantity],StockInData[Product ID],ProductMaster!$B636)-SUMIFS(StockOutData[Quantity],StockOutData[Product ID],ProductMaster!$B636)</f>
        <v>0</v>
      </c>
      <c r="J636" s="63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3" t="s">
        <v>1324</v>
      </c>
      <c r="C637" s="85" t="s">
        <v>1325</v>
      </c>
      <c r="D637" s="47"/>
      <c r="E637" s="47"/>
      <c r="F637" s="48"/>
      <c r="G637" s="62" t="str">
        <f>IFERROR(INDEX(StockInData[Expiry],MATCH(ProductMaster[[#This Row],[Product ID]],StockInData[Product ID],0)),"")</f>
        <v/>
      </c>
      <c r="H637" s="47"/>
      <c r="I637" s="61">
        <f>SUMIFS(StockInData[Quantity],StockInData[Product ID],ProductMaster!$B637)-SUMIFS(StockOutData[Quantity],StockOutData[Product ID],ProductMaster!$B637)</f>
        <v>0</v>
      </c>
      <c r="J637" s="63">
        <f>SUMIFS(StockInData[Value],StockInData[Product ID],ProductMaster!$B637)-SUMIFS(StockOutData[Value],StockOutData[Product ID],ProductMaster!$B637)</f>
        <v>0</v>
      </c>
    </row>
    <row r="638" spans="1:10" x14ac:dyDescent="0.25">
      <c r="A638" s="82">
        <v>637</v>
      </c>
      <c r="B638" s="83" t="s">
        <v>1326</v>
      </c>
      <c r="C638" s="85" t="s">
        <v>1327</v>
      </c>
      <c r="D638" s="47"/>
      <c r="E638" s="47"/>
      <c r="F638" s="48"/>
      <c r="G638" s="62" t="str">
        <f>IFERROR(INDEX(StockInData[Expiry],MATCH(ProductMaster[[#This Row],[Product ID]],StockInData[Product ID],0)),"")</f>
        <v/>
      </c>
      <c r="H638" s="47"/>
      <c r="I638" s="61">
        <f>SUMIFS(StockInData[Quantity],StockInData[Product ID],ProductMaster!$B638)-SUMIFS(StockOutData[Quantity],StockOutData[Product ID],ProductMaster!$B638)</f>
        <v>0</v>
      </c>
      <c r="J638" s="63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3" t="s">
        <v>1328</v>
      </c>
      <c r="C639" s="85" t="s">
        <v>1329</v>
      </c>
      <c r="D639" s="47"/>
      <c r="E639" s="47"/>
      <c r="F639" s="48"/>
      <c r="G639" s="62" t="str">
        <f>IFERROR(INDEX(StockInData[Expiry],MATCH(ProductMaster[[#This Row],[Product ID]],StockInData[Product ID],0)),"")</f>
        <v/>
      </c>
      <c r="H639" s="47"/>
      <c r="I639" s="61">
        <f>SUMIFS(StockInData[Quantity],StockInData[Product ID],ProductMaster!$B639)-SUMIFS(StockOutData[Quantity],StockOutData[Product ID],ProductMaster!$B639)</f>
        <v>0</v>
      </c>
      <c r="J639" s="63">
        <f>SUMIFS(StockInData[Value],StockInData[Product ID],ProductMaster!$B639)-SUMIFS(StockOutData[Value],StockOutData[Product ID],ProductMaster!$B639)</f>
        <v>0</v>
      </c>
    </row>
    <row r="640" spans="1:10" x14ac:dyDescent="0.25">
      <c r="A640" s="82">
        <v>639</v>
      </c>
      <c r="B640" s="83" t="s">
        <v>1330</v>
      </c>
      <c r="C640" s="85" t="s">
        <v>1331</v>
      </c>
      <c r="D640" s="47"/>
      <c r="E640" s="47"/>
      <c r="F640" s="48"/>
      <c r="G640" s="62" t="str">
        <f>IFERROR(INDEX(StockInData[Expiry],MATCH(ProductMaster[[#This Row],[Product ID]],StockInData[Product ID],0)),"")</f>
        <v/>
      </c>
      <c r="H640" s="47"/>
      <c r="I640" s="61">
        <f>SUMIFS(StockInData[Quantity],StockInData[Product ID],ProductMaster!$B640)-SUMIFS(StockOutData[Quantity],StockOutData[Product ID],ProductMaster!$B640)</f>
        <v>0</v>
      </c>
      <c r="J640" s="63">
        <f>SUMIFS(StockInData[Value],StockInData[Product ID],ProductMaster!$B640)-SUMIFS(StockOutData[Value],StockOutData[Product ID],ProductMaster!$B640)</f>
        <v>0</v>
      </c>
    </row>
    <row r="641" spans="1:10" hidden="1" x14ac:dyDescent="0.25">
      <c r="A641" s="60">
        <v>640</v>
      </c>
      <c r="B641" s="83" t="s">
        <v>1332</v>
      </c>
      <c r="C641" s="85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2">
        <v>641</v>
      </c>
      <c r="B642" s="83" t="s">
        <v>1334</v>
      </c>
      <c r="C642" s="85" t="s">
        <v>1335</v>
      </c>
      <c r="D642" s="47"/>
      <c r="E642" s="47"/>
      <c r="F642" s="48"/>
      <c r="G642" s="62" t="str">
        <f>IFERROR(INDEX(StockInData[Expiry],MATCH(ProductMaster[[#This Row],[Product ID]],StockInData[Product ID],0)),"")</f>
        <v/>
      </c>
      <c r="H642" s="47"/>
      <c r="I642" s="61">
        <f>SUMIFS(StockInData[Quantity],StockInData[Product ID],ProductMaster!$B642)-SUMIFS(StockOutData[Quantity],StockOutData[Product ID],ProductMaster!$B642)</f>
        <v>0</v>
      </c>
      <c r="J642" s="63">
        <f>SUMIFS(StockInData[Value],StockInData[Product ID],ProductMaster!$B642)-SUMIFS(StockOutData[Value],StockOutData[Product ID],ProductMaster!$B642)</f>
        <v>0</v>
      </c>
    </row>
    <row r="643" spans="1:10" hidden="1" x14ac:dyDescent="0.25">
      <c r="A643" s="60">
        <v>642</v>
      </c>
      <c r="B643" s="83" t="s">
        <v>1336</v>
      </c>
      <c r="C643" s="85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2">
        <v>643</v>
      </c>
      <c r="B644" s="83" t="s">
        <v>1338</v>
      </c>
      <c r="C644" s="85" t="s">
        <v>1339</v>
      </c>
      <c r="D644" s="47"/>
      <c r="E644" s="47"/>
      <c r="F644" s="48"/>
      <c r="G644" s="62" t="str">
        <f>IFERROR(INDEX(StockInData[Expiry],MATCH(ProductMaster[[#This Row],[Product ID]],StockInData[Product ID],0)),"")</f>
        <v/>
      </c>
      <c r="H644" s="47"/>
      <c r="I644" s="61">
        <f>SUMIFS(StockInData[Quantity],StockInData[Product ID],ProductMaster!$B644)-SUMIFS(StockOutData[Quantity],StockOutData[Product ID],ProductMaster!$B644)</f>
        <v>0</v>
      </c>
      <c r="J644" s="63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3" t="s">
        <v>1340</v>
      </c>
      <c r="C645" s="85" t="s">
        <v>1341</v>
      </c>
      <c r="D645" s="47"/>
      <c r="E645" s="47"/>
      <c r="F645" s="48"/>
      <c r="G645" s="62" t="str">
        <f>IFERROR(INDEX(StockInData[Expiry],MATCH(ProductMaster[[#This Row],[Product ID]],StockInData[Product ID],0)),"")</f>
        <v/>
      </c>
      <c r="H645" s="47"/>
      <c r="I645" s="61">
        <f>SUMIFS(StockInData[Quantity],StockInData[Product ID],ProductMaster!$B645)-SUMIFS(StockOutData[Quantity],StockOutData[Product ID],ProductMaster!$B645)</f>
        <v>0</v>
      </c>
      <c r="J645" s="63">
        <f>SUMIFS(StockInData[Value],StockInData[Product ID],ProductMaster!$B645)-SUMIFS(StockOutData[Value],StockOutData[Product ID],ProductMaster!$B645)</f>
        <v>0</v>
      </c>
    </row>
    <row r="646" spans="1:10" x14ac:dyDescent="0.25">
      <c r="A646" s="82">
        <v>645</v>
      </c>
      <c r="B646" s="83" t="s">
        <v>1342</v>
      </c>
      <c r="C646" s="85" t="s">
        <v>1343</v>
      </c>
      <c r="D646" s="47"/>
      <c r="E646" s="47"/>
      <c r="F646" s="48"/>
      <c r="G646" s="62" t="str">
        <f>IFERROR(INDEX(StockInData[Expiry],MATCH(ProductMaster[[#This Row],[Product ID]],StockInData[Product ID],0)),"")</f>
        <v/>
      </c>
      <c r="H646" s="47"/>
      <c r="I646" s="61">
        <f>SUMIFS(StockInData[Quantity],StockInData[Product ID],ProductMaster!$B646)-SUMIFS(StockOutData[Quantity],StockOutData[Product ID],ProductMaster!$B646)</f>
        <v>0</v>
      </c>
      <c r="J646" s="63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3" t="s">
        <v>1344</v>
      </c>
      <c r="C647" s="85" t="s">
        <v>1345</v>
      </c>
      <c r="D647" s="47"/>
      <c r="E647" s="47"/>
      <c r="F647" s="48"/>
      <c r="G647" s="62" t="str">
        <f>IFERROR(INDEX(StockInData[Expiry],MATCH(ProductMaster[[#This Row],[Product ID]],StockInData[Product ID],0)),"")</f>
        <v/>
      </c>
      <c r="H647" s="47"/>
      <c r="I647" s="61">
        <f>SUMIFS(StockInData[Quantity],StockInData[Product ID],ProductMaster!$B647)-SUMIFS(StockOutData[Quantity],StockOutData[Product ID],ProductMaster!$B647)</f>
        <v>0</v>
      </c>
      <c r="J647" s="63">
        <f>SUMIFS(StockInData[Value],StockInData[Product ID],ProductMaster!$B647)-SUMIFS(StockOutData[Value],StockOutData[Product ID],ProductMaster!$B647)</f>
        <v>0</v>
      </c>
    </row>
    <row r="648" spans="1:10" hidden="1" x14ac:dyDescent="0.25">
      <c r="A648" s="82">
        <v>647</v>
      </c>
      <c r="B648" s="83" t="s">
        <v>1346</v>
      </c>
      <c r="C648" s="85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3" t="s">
        <v>1348</v>
      </c>
      <c r="C649" s="85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2">
        <v>649</v>
      </c>
      <c r="B650" s="83" t="s">
        <v>1350</v>
      </c>
      <c r="C650" s="85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3" t="s">
        <v>1352</v>
      </c>
      <c r="C651" s="85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2">
        <v>651</v>
      </c>
      <c r="B652" s="83" t="s">
        <v>1354</v>
      </c>
      <c r="C652" s="85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3" t="s">
        <v>1356</v>
      </c>
      <c r="C653" s="85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2">
        <v>653</v>
      </c>
      <c r="B654" s="83" t="s">
        <v>1358</v>
      </c>
      <c r="C654" s="85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3" t="s">
        <v>1360</v>
      </c>
      <c r="C655" s="85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2">
        <v>655</v>
      </c>
      <c r="B656" s="83" t="s">
        <v>1362</v>
      </c>
      <c r="C656" s="85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3" t="s">
        <v>1364</v>
      </c>
      <c r="C657" s="85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2">
        <v>657</v>
      </c>
      <c r="B658" s="83" t="s">
        <v>1366</v>
      </c>
      <c r="C658" s="85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3" t="s">
        <v>1368</v>
      </c>
      <c r="C659" s="85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2">
        <v>659</v>
      </c>
      <c r="B660" s="83" t="s">
        <v>1370</v>
      </c>
      <c r="C660" s="85" t="s">
        <v>1371</v>
      </c>
      <c r="D660" s="47"/>
      <c r="E660" s="47"/>
      <c r="F660" s="48"/>
      <c r="G660" s="62" t="str">
        <f>IFERROR(INDEX(StockInData[Expiry],MATCH(ProductMaster[[#This Row],[Product ID]],StockInData[Product ID],0)),"")</f>
        <v/>
      </c>
      <c r="H660" s="47"/>
      <c r="I660" s="61">
        <f>SUMIFS(StockInData[Quantity],StockInData[Product ID],ProductMaster!$B660)-SUMIFS(StockOutData[Quantity],StockOutData[Product ID],ProductMaster!$B660)</f>
        <v>0</v>
      </c>
      <c r="J660" s="63">
        <f>SUMIFS(StockInData[Value],StockInData[Product ID],ProductMaster!$B660)-SUMIFS(StockOutData[Value],StockOutData[Product ID],ProductMaster!$B660)</f>
        <v>0</v>
      </c>
    </row>
    <row r="661" spans="1:10" hidden="1" x14ac:dyDescent="0.25">
      <c r="A661" s="60">
        <v>660</v>
      </c>
      <c r="B661" s="83" t="s">
        <v>1372</v>
      </c>
      <c r="C661" s="85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2">
        <v>661</v>
      </c>
      <c r="B662" s="83" t="s">
        <v>1374</v>
      </c>
      <c r="C662" s="85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3" t="s">
        <v>1376</v>
      </c>
      <c r="C663" s="85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2">
        <v>663</v>
      </c>
      <c r="B664" s="83" t="s">
        <v>1378</v>
      </c>
      <c r="C664" s="85" t="s">
        <v>1379</v>
      </c>
      <c r="D664" s="47"/>
      <c r="E664" s="47"/>
      <c r="F664" s="48"/>
      <c r="G664" s="62" t="str">
        <f>IFERROR(INDEX(StockInData[Expiry],MATCH(ProductMaster[[#This Row],[Product ID]],StockInData[Product ID],0)),"")</f>
        <v/>
      </c>
      <c r="H664" s="47"/>
      <c r="I664" s="61">
        <f>SUMIFS(StockInData[Quantity],StockInData[Product ID],ProductMaster!$B664)-SUMIFS(StockOutData[Quantity],StockOutData[Product ID],ProductMaster!$B664)</f>
        <v>0</v>
      </c>
      <c r="J664" s="63">
        <f>SUMIFS(StockInData[Value],StockInData[Product ID],ProductMaster!$B664)-SUMIFS(StockOutData[Value],StockOutData[Product ID],ProductMaster!$B664)</f>
        <v>0</v>
      </c>
    </row>
    <row r="665" spans="1:10" hidden="1" x14ac:dyDescent="0.25">
      <c r="A665" s="60">
        <v>664</v>
      </c>
      <c r="B665" s="83" t="s">
        <v>1380</v>
      </c>
      <c r="C665" s="85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2">
        <v>665</v>
      </c>
      <c r="B666" s="83" t="s">
        <v>1382</v>
      </c>
      <c r="C666" s="85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3" t="s">
        <v>1384</v>
      </c>
      <c r="C667" s="85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2">
        <v>667</v>
      </c>
      <c r="B668" s="83" t="s">
        <v>1386</v>
      </c>
      <c r="C668" s="85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3" t="s">
        <v>1388</v>
      </c>
      <c r="C669" s="85" t="s">
        <v>1389</v>
      </c>
      <c r="D669" s="47"/>
      <c r="E669" s="47"/>
      <c r="F669" s="48"/>
      <c r="G669" s="62" t="str">
        <f>IFERROR(INDEX(StockInData[Expiry],MATCH(ProductMaster[[#This Row],[Product ID]],StockInData[Product ID],0)),"")</f>
        <v/>
      </c>
      <c r="H669" s="47"/>
      <c r="I669" s="61">
        <f>SUMIFS(StockInData[Quantity],StockInData[Product ID],ProductMaster!$B669)-SUMIFS(StockOutData[Quantity],StockOutData[Product ID],ProductMaster!$B669)</f>
        <v>0</v>
      </c>
      <c r="J669" s="63">
        <f>SUMIFS(StockInData[Value],StockInData[Product ID],ProductMaster!$B669)-SUMIFS(StockOutData[Value],StockOutData[Product ID],ProductMaster!$B669)</f>
        <v>0</v>
      </c>
    </row>
    <row r="670" spans="1:10" hidden="1" x14ac:dyDescent="0.25">
      <c r="A670" s="82">
        <v>669</v>
      </c>
      <c r="B670" s="83" t="s">
        <v>1390</v>
      </c>
      <c r="C670" s="85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3" t="s">
        <v>1392</v>
      </c>
      <c r="C671" s="85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2">
        <v>671</v>
      </c>
      <c r="B672" s="83" t="s">
        <v>1394</v>
      </c>
      <c r="C672" s="85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3" t="s">
        <v>1396</v>
      </c>
      <c r="C673" s="85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2">
        <v>673</v>
      </c>
      <c r="B674" s="83" t="s">
        <v>1398</v>
      </c>
      <c r="C674" s="85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3" t="s">
        <v>1400</v>
      </c>
      <c r="C675" s="85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2">
        <v>675</v>
      </c>
      <c r="B676" s="83" t="s">
        <v>1402</v>
      </c>
      <c r="C676" s="85" t="s">
        <v>1403</v>
      </c>
      <c r="D676" s="47"/>
      <c r="E676" s="47"/>
      <c r="F676" s="48"/>
      <c r="G676" s="62" t="str">
        <f>IFERROR(INDEX(StockInData[Expiry],MATCH(ProductMaster[[#This Row],[Product ID]],StockInData[Product ID],0)),"")</f>
        <v/>
      </c>
      <c r="H676" s="47"/>
      <c r="I676" s="61">
        <f>SUMIFS(StockInData[Quantity],StockInData[Product ID],ProductMaster!$B676)-SUMIFS(StockOutData[Quantity],StockOutData[Product ID],ProductMaster!$B676)</f>
        <v>0</v>
      </c>
      <c r="J676" s="63">
        <f>SUMIFS(StockInData[Value],StockInData[Product ID],ProductMaster!$B676)-SUMIFS(StockOutData[Value],StockOutData[Product ID],ProductMaster!$B676)</f>
        <v>0</v>
      </c>
    </row>
    <row r="677" spans="1:10" hidden="1" x14ac:dyDescent="0.25">
      <c r="A677" s="60">
        <v>676</v>
      </c>
      <c r="B677" s="83" t="s">
        <v>1404</v>
      </c>
      <c r="C677" s="85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2">
        <v>677</v>
      </c>
      <c r="B678" s="83" t="s">
        <v>1406</v>
      </c>
      <c r="C678" s="85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3" t="s">
        <v>1408</v>
      </c>
      <c r="C679" s="85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2">
        <v>679</v>
      </c>
      <c r="B680" s="83" t="s">
        <v>1410</v>
      </c>
      <c r="C680" s="85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3" t="s">
        <v>1412</v>
      </c>
      <c r="C681" s="85" t="s">
        <v>1413</v>
      </c>
      <c r="D681" s="47"/>
      <c r="E681" s="47"/>
      <c r="F681" s="48"/>
      <c r="G681" s="62" t="str">
        <f>IFERROR(INDEX(StockInData[Expiry],MATCH(ProductMaster[[#This Row],[Product ID]],StockInData[Product ID],0)),"")</f>
        <v/>
      </c>
      <c r="H681" s="47"/>
      <c r="I681" s="61">
        <f>SUMIFS(StockInData[Quantity],StockInData[Product ID],ProductMaster!$B681)-SUMIFS(StockOutData[Quantity],StockOutData[Product ID],ProductMaster!$B681)</f>
        <v>0</v>
      </c>
      <c r="J681" s="63">
        <f>SUMIFS(StockInData[Value],StockInData[Product ID],ProductMaster!$B681)-SUMIFS(StockOutData[Value],StockOutData[Product ID],ProductMaster!$B681)</f>
        <v>0</v>
      </c>
    </row>
    <row r="682" spans="1:10" x14ac:dyDescent="0.25">
      <c r="A682" s="82">
        <v>681</v>
      </c>
      <c r="B682" s="83" t="s">
        <v>1414</v>
      </c>
      <c r="C682" s="85" t="s">
        <v>1415</v>
      </c>
      <c r="D682" s="47"/>
      <c r="E682" s="47"/>
      <c r="F682" s="48"/>
      <c r="G682" s="62" t="str">
        <f>IFERROR(INDEX(StockInData[Expiry],MATCH(ProductMaster[[#This Row],[Product ID]],StockInData[Product ID],0)),"")</f>
        <v/>
      </c>
      <c r="H682" s="47"/>
      <c r="I682" s="61">
        <f>SUMIFS(StockInData[Quantity],StockInData[Product ID],ProductMaster!$B682)-SUMIFS(StockOutData[Quantity],StockOutData[Product ID],ProductMaster!$B682)</f>
        <v>0</v>
      </c>
      <c r="J682" s="63">
        <f>SUMIFS(StockInData[Value],StockInData[Product ID],ProductMaster!$B682)-SUMIFS(StockOutData[Value],StockOutData[Product ID],ProductMaster!$B682)</f>
        <v>0</v>
      </c>
    </row>
    <row r="683" spans="1:10" hidden="1" x14ac:dyDescent="0.25">
      <c r="A683" s="60">
        <v>682</v>
      </c>
      <c r="B683" s="83" t="s">
        <v>1416</v>
      </c>
      <c r="C683" s="85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2">
        <v>683</v>
      </c>
      <c r="B684" s="83" t="s">
        <v>1418</v>
      </c>
      <c r="C684" s="85" t="s">
        <v>1419</v>
      </c>
      <c r="D684" s="47"/>
      <c r="E684" s="47"/>
      <c r="F684" s="48"/>
      <c r="G684" s="62" t="str">
        <f>IFERROR(INDEX(StockInData[Expiry],MATCH(ProductMaster[[#This Row],[Product ID]],StockInData[Product ID],0)),"")</f>
        <v/>
      </c>
      <c r="H684" s="47"/>
      <c r="I684" s="61">
        <f>SUMIFS(StockInData[Quantity],StockInData[Product ID],ProductMaster!$B684)-SUMIFS(StockOutData[Quantity],StockOutData[Product ID],ProductMaster!$B684)</f>
        <v>0</v>
      </c>
      <c r="J684" s="63">
        <f>SUMIFS(StockInData[Value],StockInData[Product ID],ProductMaster!$B684)-SUMIFS(StockOutData[Value],StockOutData[Product ID],ProductMaster!$B684)</f>
        <v>0</v>
      </c>
    </row>
    <row r="685" spans="1:10" hidden="1" x14ac:dyDescent="0.25">
      <c r="A685" s="60">
        <v>684</v>
      </c>
      <c r="B685" s="83" t="s">
        <v>1420</v>
      </c>
      <c r="C685" s="85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2">
        <v>685</v>
      </c>
      <c r="B686" s="83" t="s">
        <v>1422</v>
      </c>
      <c r="C686" s="85" t="s">
        <v>1423</v>
      </c>
      <c r="D686" s="47"/>
      <c r="E686" s="47"/>
      <c r="F686" s="48"/>
      <c r="G686" s="62" t="str">
        <f>IFERROR(INDEX(StockInData[Expiry],MATCH(ProductMaster[[#This Row],[Product ID]],StockInData[Product ID],0)),"")</f>
        <v/>
      </c>
      <c r="H686" s="47"/>
      <c r="I686" s="61">
        <f>SUMIFS(StockInData[Quantity],StockInData[Product ID],ProductMaster!$B686)-SUMIFS(StockOutData[Quantity],StockOutData[Product ID],ProductMaster!$B686)</f>
        <v>0</v>
      </c>
      <c r="J686" s="63">
        <f>SUMIFS(StockInData[Value],StockInData[Product ID],ProductMaster!$B686)-SUMIFS(StockOutData[Value],StockOutData[Product ID],ProductMaster!$B686)</f>
        <v>0</v>
      </c>
    </row>
    <row r="687" spans="1:10" hidden="1" x14ac:dyDescent="0.25">
      <c r="A687" s="60">
        <v>686</v>
      </c>
      <c r="B687" s="83" t="s">
        <v>1424</v>
      </c>
      <c r="C687" s="85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2">
        <v>687</v>
      </c>
      <c r="B688" s="83" t="s">
        <v>1426</v>
      </c>
      <c r="C688" s="85" t="s">
        <v>1427</v>
      </c>
      <c r="D688" s="47"/>
      <c r="E688" s="47"/>
      <c r="F688" s="48"/>
      <c r="G688" s="62" t="str">
        <f>IFERROR(INDEX(StockInData[Expiry],MATCH(ProductMaster[[#This Row],[Product ID]],StockInData[Product ID],0)),"")</f>
        <v/>
      </c>
      <c r="H688" s="47"/>
      <c r="I688" s="61">
        <f>SUMIFS(StockInData[Quantity],StockInData[Product ID],ProductMaster!$B688)-SUMIFS(StockOutData[Quantity],StockOutData[Product ID],ProductMaster!$B688)</f>
        <v>0</v>
      </c>
      <c r="J688" s="63">
        <f>SUMIFS(StockInData[Value],StockInData[Product ID],ProductMaster!$B688)-SUMIFS(StockOutData[Value],StockOutData[Product ID],ProductMaster!$B688)</f>
        <v>0</v>
      </c>
    </row>
    <row r="689" spans="1:10" hidden="1" x14ac:dyDescent="0.25">
      <c r="A689" s="60">
        <v>688</v>
      </c>
      <c r="B689" s="83" t="s">
        <v>1428</v>
      </c>
      <c r="C689" s="85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82">
        <v>689</v>
      </c>
      <c r="B690" s="83" t="s">
        <v>1430</v>
      </c>
      <c r="C690" s="85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3" t="s">
        <v>1432</v>
      </c>
      <c r="C691" s="85" t="s">
        <v>1433</v>
      </c>
      <c r="D691" s="47"/>
      <c r="E691" s="47"/>
      <c r="F691" s="48"/>
      <c r="G691" s="62" t="str">
        <f>IFERROR(INDEX(StockInData[Expiry],MATCH(ProductMaster[[#This Row],[Product ID]],StockInData[Product ID],0)),"")</f>
        <v/>
      </c>
      <c r="H691" s="47"/>
      <c r="I691" s="61">
        <f>SUMIFS(StockInData[Quantity],StockInData[Product ID],ProductMaster!$B691)-SUMIFS(StockOutData[Quantity],StockOutData[Product ID],ProductMaster!$B691)</f>
        <v>0</v>
      </c>
      <c r="J691" s="63">
        <f>SUMIFS(StockInData[Value],StockInData[Product ID],ProductMaster!$B691)-SUMIFS(StockOutData[Value],StockOutData[Product ID],ProductMaster!$B691)</f>
        <v>0</v>
      </c>
    </row>
    <row r="692" spans="1:10" hidden="1" x14ac:dyDescent="0.25">
      <c r="A692" s="82">
        <v>691</v>
      </c>
      <c r="B692" s="83" t="s">
        <v>1434</v>
      </c>
      <c r="C692" s="85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3" t="s">
        <v>1436</v>
      </c>
      <c r="C693" s="85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2">
        <v>693</v>
      </c>
      <c r="B694" s="83" t="s">
        <v>1438</v>
      </c>
      <c r="C694" s="85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3" t="s">
        <v>1440</v>
      </c>
      <c r="C695" s="85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2">
        <v>695</v>
      </c>
      <c r="B696" s="83" t="s">
        <v>1442</v>
      </c>
      <c r="C696" s="85" t="s">
        <v>1443</v>
      </c>
      <c r="D696" s="47"/>
      <c r="E696" s="47"/>
      <c r="F696" s="48"/>
      <c r="G696" s="62" t="str">
        <f>IFERROR(INDEX(StockInData[Expiry],MATCH(ProductMaster[[#This Row],[Product ID]],StockInData[Product ID],0)),"")</f>
        <v/>
      </c>
      <c r="H696" s="47"/>
      <c r="I696" s="61">
        <f>SUMIFS(StockInData[Quantity],StockInData[Product ID],ProductMaster!$B696)-SUMIFS(StockOutData[Quantity],StockOutData[Product ID],ProductMaster!$B696)</f>
        <v>0</v>
      </c>
      <c r="J696" s="63">
        <f>SUMIFS(StockInData[Value],StockInData[Product ID],ProductMaster!$B696)-SUMIFS(StockOutData[Value],StockOutData[Product ID],ProductMaster!$B696)</f>
        <v>0</v>
      </c>
    </row>
    <row r="697" spans="1:10" hidden="1" x14ac:dyDescent="0.25">
      <c r="A697" s="60">
        <v>696</v>
      </c>
      <c r="B697" s="83" t="s">
        <v>1444</v>
      </c>
      <c r="C697" s="85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2">
        <v>697</v>
      </c>
      <c r="B698" s="83" t="s">
        <v>1446</v>
      </c>
      <c r="C698" s="85" t="s">
        <v>1447</v>
      </c>
      <c r="D698" s="47"/>
      <c r="E698" s="47"/>
      <c r="F698" s="48"/>
      <c r="G698" s="62" t="str">
        <f>IFERROR(INDEX(StockInData[Expiry],MATCH(ProductMaster[[#This Row],[Product ID]],StockInData[Product ID],0)),"")</f>
        <v/>
      </c>
      <c r="H698" s="47"/>
      <c r="I698" s="61">
        <f>SUMIFS(StockInData[Quantity],StockInData[Product ID],ProductMaster!$B698)-SUMIFS(StockOutData[Quantity],StockOutData[Product ID],ProductMaster!$B698)</f>
        <v>0</v>
      </c>
      <c r="J698" s="63">
        <f>SUMIFS(StockInData[Value],StockInData[Product ID],ProductMaster!$B698)-SUMIFS(StockOutData[Value],StockOutData[Product ID],ProductMaster!$B698)</f>
        <v>0</v>
      </c>
    </row>
    <row r="699" spans="1:10" hidden="1" x14ac:dyDescent="0.25">
      <c r="A699" s="60">
        <v>698</v>
      </c>
      <c r="B699" s="83" t="s">
        <v>1448</v>
      </c>
      <c r="C699" s="85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2">
        <v>699</v>
      </c>
      <c r="B700" s="83" t="s">
        <v>1450</v>
      </c>
      <c r="C700" s="85" t="s">
        <v>1451</v>
      </c>
      <c r="D700" s="47"/>
      <c r="E700" s="47"/>
      <c r="F700" s="48"/>
      <c r="G700" s="62" t="str">
        <f>IFERROR(INDEX(StockInData[Expiry],MATCH(ProductMaster[[#This Row],[Product ID]],StockInData[Product ID],0)),"")</f>
        <v/>
      </c>
      <c r="H700" s="47"/>
      <c r="I700" s="61">
        <f>SUMIFS(StockInData[Quantity],StockInData[Product ID],ProductMaster!$B700)-SUMIFS(StockOutData[Quantity],StockOutData[Product ID],ProductMaster!$B700)</f>
        <v>0</v>
      </c>
      <c r="J700" s="63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3" t="s">
        <v>1452</v>
      </c>
      <c r="C701" s="85" t="s">
        <v>1453</v>
      </c>
      <c r="D701" s="47"/>
      <c r="E701" s="47"/>
      <c r="F701" s="48"/>
      <c r="G701" s="62" t="str">
        <f>IFERROR(INDEX(StockInData[Expiry],MATCH(ProductMaster[[#This Row],[Product ID]],StockInData[Product ID],0)),"")</f>
        <v/>
      </c>
      <c r="H701" s="47"/>
      <c r="I701" s="61">
        <f>SUMIFS(StockInData[Quantity],StockInData[Product ID],ProductMaster!$B701)-SUMIFS(StockOutData[Quantity],StockOutData[Product ID],ProductMaster!$B701)</f>
        <v>0</v>
      </c>
      <c r="J701" s="63">
        <f>SUMIFS(StockInData[Value],StockInData[Product ID],ProductMaster!$B701)-SUMIFS(StockOutData[Value],StockOutData[Product ID],ProductMaster!$B701)</f>
        <v>0</v>
      </c>
    </row>
    <row r="702" spans="1:10" x14ac:dyDescent="0.25">
      <c r="A702" s="82">
        <v>701</v>
      </c>
      <c r="B702" s="83" t="s">
        <v>1454</v>
      </c>
      <c r="C702" s="85" t="s">
        <v>1455</v>
      </c>
      <c r="D702" s="47"/>
      <c r="E702" s="47"/>
      <c r="F702" s="48"/>
      <c r="G702" s="62" t="str">
        <f>IFERROR(INDEX(StockInData[Expiry],MATCH(ProductMaster[[#This Row],[Product ID]],StockInData[Product ID],0)),"")</f>
        <v/>
      </c>
      <c r="H702" s="47"/>
      <c r="I702" s="61">
        <f>SUMIFS(StockInData[Quantity],StockInData[Product ID],ProductMaster!$B702)-SUMIFS(StockOutData[Quantity],StockOutData[Product ID],ProductMaster!$B702)</f>
        <v>0</v>
      </c>
      <c r="J702" s="63">
        <f>SUMIFS(StockInData[Value],StockInData[Product ID],ProductMaster!$B702)-SUMIFS(StockOutData[Value],StockOutData[Product ID],ProductMaster!$B702)</f>
        <v>0</v>
      </c>
    </row>
    <row r="703" spans="1:10" hidden="1" x14ac:dyDescent="0.25">
      <c r="A703" s="60">
        <v>702</v>
      </c>
      <c r="B703" s="83" t="s">
        <v>1456</v>
      </c>
      <c r="C703" s="85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2">
        <v>703</v>
      </c>
      <c r="B704" s="83" t="s">
        <v>1458</v>
      </c>
      <c r="C704" s="85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3" t="s">
        <v>1460</v>
      </c>
      <c r="C705" s="85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2">
        <v>705</v>
      </c>
      <c r="B706" s="83" t="s">
        <v>1462</v>
      </c>
      <c r="C706" s="85" t="s">
        <v>1463</v>
      </c>
      <c r="D706" s="47"/>
      <c r="E706" s="47"/>
      <c r="F706" s="48"/>
      <c r="G706" s="62" t="str">
        <f>IFERROR(INDEX(StockInData[Expiry],MATCH(ProductMaster[[#This Row],[Product ID]],StockInData[Product ID],0)),"")</f>
        <v/>
      </c>
      <c r="H706" s="47"/>
      <c r="I706" s="61">
        <f>SUMIFS(StockInData[Quantity],StockInData[Product ID],ProductMaster!$B706)-SUMIFS(StockOutData[Quantity],StockOutData[Product ID],ProductMaster!$B706)</f>
        <v>0</v>
      </c>
      <c r="J706" s="63">
        <f>SUMIFS(StockInData[Value],StockInData[Product ID],ProductMaster!$B706)-SUMIFS(StockOutData[Value],StockOutData[Product ID],ProductMaster!$B706)</f>
        <v>0</v>
      </c>
    </row>
    <row r="707" spans="1:10" hidden="1" x14ac:dyDescent="0.25">
      <c r="A707" s="60">
        <v>706</v>
      </c>
      <c r="B707" s="83" t="s">
        <v>1464</v>
      </c>
      <c r="C707" s="85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2">
        <v>707</v>
      </c>
      <c r="B708" s="83" t="s">
        <v>1466</v>
      </c>
      <c r="C708" s="85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3" t="s">
        <v>1468</v>
      </c>
      <c r="C709" s="85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2">
        <v>709</v>
      </c>
      <c r="B710" s="83" t="s">
        <v>1470</v>
      </c>
      <c r="C710" s="85" t="s">
        <v>1471</v>
      </c>
      <c r="D710" s="47"/>
      <c r="E710" s="47"/>
      <c r="F710" s="48"/>
      <c r="G710" s="62" t="str">
        <f>IFERROR(INDEX(StockInData[Expiry],MATCH(ProductMaster[[#This Row],[Product ID]],StockInData[Product ID],0)),"")</f>
        <v/>
      </c>
      <c r="H710" s="47"/>
      <c r="I710" s="61">
        <f>SUMIFS(StockInData[Quantity],StockInData[Product ID],ProductMaster!$B710)-SUMIFS(StockOutData[Quantity],StockOutData[Product ID],ProductMaster!$B710)</f>
        <v>0</v>
      </c>
      <c r="J710" s="63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3" t="s">
        <v>1472</v>
      </c>
      <c r="C711" s="85" t="s">
        <v>1473</v>
      </c>
      <c r="D711" s="47"/>
      <c r="E711" s="47"/>
      <c r="F711" s="48"/>
      <c r="G711" s="62" t="str">
        <f>IFERROR(INDEX(StockInData[Expiry],MATCH(ProductMaster[[#This Row],[Product ID]],StockInData[Product ID],0)),"")</f>
        <v/>
      </c>
      <c r="H711" s="47"/>
      <c r="I711" s="61">
        <f>SUMIFS(StockInData[Quantity],StockInData[Product ID],ProductMaster!$B711)-SUMIFS(StockOutData[Quantity],StockOutData[Product ID],ProductMaster!$B711)</f>
        <v>0</v>
      </c>
      <c r="J711" s="63">
        <f>SUMIFS(StockInData[Value],StockInData[Product ID],ProductMaster!$B711)-SUMIFS(StockOutData[Value],StockOutData[Product ID],ProductMaster!$B711)</f>
        <v>0</v>
      </c>
    </row>
    <row r="712" spans="1:10" hidden="1" x14ac:dyDescent="0.25">
      <c r="A712" s="82">
        <v>711</v>
      </c>
      <c r="B712" s="83" t="s">
        <v>1474</v>
      </c>
      <c r="C712" s="85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3" t="s">
        <v>1476</v>
      </c>
      <c r="C713" s="85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2">
        <v>713</v>
      </c>
      <c r="B714" s="83" t="s">
        <v>1478</v>
      </c>
      <c r="C714" s="85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3" t="s">
        <v>1480</v>
      </c>
      <c r="C715" s="85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2">
        <v>715</v>
      </c>
      <c r="B716" s="83" t="s">
        <v>1482</v>
      </c>
      <c r="C716" s="85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3" t="s">
        <v>1484</v>
      </c>
      <c r="C717" s="85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2">
        <v>717</v>
      </c>
      <c r="B718" s="83" t="s">
        <v>1486</v>
      </c>
      <c r="C718" s="85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3" t="s">
        <v>1488</v>
      </c>
      <c r="C719" s="85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2">
        <v>719</v>
      </c>
      <c r="B720" s="83" t="s">
        <v>1490</v>
      </c>
      <c r="C720" s="85" t="s">
        <v>1491</v>
      </c>
      <c r="D720" s="47"/>
      <c r="E720" s="47"/>
      <c r="F720" s="48"/>
      <c r="G720" s="62" t="str">
        <f>IFERROR(INDEX(StockInData[Expiry],MATCH(ProductMaster[[#This Row],[Product ID]],StockInData[Product ID],0)),"")</f>
        <v/>
      </c>
      <c r="H720" s="47"/>
      <c r="I720" s="61">
        <f>SUMIFS(StockInData[Quantity],StockInData[Product ID],ProductMaster!$B720)-SUMIFS(StockOutData[Quantity],StockOutData[Product ID],ProductMaster!$B720)</f>
        <v>0</v>
      </c>
      <c r="J720" s="63">
        <f>SUMIFS(StockInData[Value],StockInData[Product ID],ProductMaster!$B720)-SUMIFS(StockOutData[Value],StockOutData[Product ID],ProductMaster!$B720)</f>
        <v>0</v>
      </c>
    </row>
    <row r="721" spans="1:10" hidden="1" x14ac:dyDescent="0.25">
      <c r="A721" s="60">
        <v>720</v>
      </c>
      <c r="B721" s="83" t="s">
        <v>1492</v>
      </c>
      <c r="C721" s="85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2">
        <v>721</v>
      </c>
      <c r="B722" s="83" t="s">
        <v>1494</v>
      </c>
      <c r="C722" s="85" t="s">
        <v>1495</v>
      </c>
      <c r="D722" s="47"/>
      <c r="E722" s="47"/>
      <c r="F722" s="48"/>
      <c r="G722" s="62" t="str">
        <f>IFERROR(INDEX(StockInData[Expiry],MATCH(ProductMaster[[#This Row],[Product ID]],StockInData[Product ID],0)),"")</f>
        <v/>
      </c>
      <c r="H722" s="47"/>
      <c r="I722" s="61">
        <f>SUMIFS(StockInData[Quantity],StockInData[Product ID],ProductMaster!$B722)-SUMIFS(StockOutData[Quantity],StockOutData[Product ID],ProductMaster!$B722)</f>
        <v>0</v>
      </c>
      <c r="J722" s="63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3" t="s">
        <v>1496</v>
      </c>
      <c r="C723" s="85" t="s">
        <v>1497</v>
      </c>
      <c r="D723" s="47"/>
      <c r="E723" s="47"/>
      <c r="F723" s="48"/>
      <c r="G723" s="62" t="str">
        <f>IFERROR(INDEX(StockInData[Expiry],MATCH(ProductMaster[[#This Row],[Product ID]],StockInData[Product ID],0)),"")</f>
        <v/>
      </c>
      <c r="H723" s="47"/>
      <c r="I723" s="61">
        <f>SUMIFS(StockInData[Quantity],StockInData[Product ID],ProductMaster!$B723)-SUMIFS(StockOutData[Quantity],StockOutData[Product ID],ProductMaster!$B723)</f>
        <v>0</v>
      </c>
      <c r="J723" s="63">
        <f>SUMIFS(StockInData[Value],StockInData[Product ID],ProductMaster!$B723)-SUMIFS(StockOutData[Value],StockOutData[Product ID],ProductMaster!$B723)</f>
        <v>0</v>
      </c>
    </row>
    <row r="724" spans="1:10" hidden="1" x14ac:dyDescent="0.25">
      <c r="A724" s="82">
        <v>723</v>
      </c>
      <c r="B724" s="83" t="s">
        <v>1498</v>
      </c>
      <c r="C724" s="85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3" t="s">
        <v>1500</v>
      </c>
      <c r="C725" s="85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2">
        <v>725</v>
      </c>
      <c r="B726" s="83" t="s">
        <v>1502</v>
      </c>
      <c r="C726" s="85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3" t="s">
        <v>1504</v>
      </c>
      <c r="C727" s="85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2">
        <v>727</v>
      </c>
      <c r="B728" s="83" t="s">
        <v>1506</v>
      </c>
      <c r="C728" s="85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3" t="s">
        <v>1508</v>
      </c>
      <c r="C729" s="85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2">
        <v>729</v>
      </c>
      <c r="B730" s="83" t="s">
        <v>1510</v>
      </c>
      <c r="C730" s="85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3" t="s">
        <v>1512</v>
      </c>
      <c r="C731" s="85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2">
        <v>731</v>
      </c>
      <c r="B732" s="83" t="s">
        <v>1514</v>
      </c>
      <c r="C732" s="85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3" t="s">
        <v>1516</v>
      </c>
      <c r="C733" s="85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2">
        <v>733</v>
      </c>
      <c r="B734" s="83" t="s">
        <v>1518</v>
      </c>
      <c r="C734" s="85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3" t="s">
        <v>1520</v>
      </c>
      <c r="C735" s="85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2">
        <v>735</v>
      </c>
      <c r="B736" s="83" t="s">
        <v>1522</v>
      </c>
      <c r="C736" s="85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3" t="s">
        <v>1524</v>
      </c>
      <c r="C737" s="85" t="s">
        <v>1525</v>
      </c>
      <c r="D737" s="47"/>
      <c r="E737" s="47"/>
      <c r="F737" s="48"/>
      <c r="G737" s="62" t="str">
        <f>IFERROR(INDEX(StockInData[Expiry],MATCH(ProductMaster[[#This Row],[Product ID]],StockInData[Product ID],0)),"")</f>
        <v/>
      </c>
      <c r="H737" s="47"/>
      <c r="I737" s="61">
        <f>SUMIFS(StockInData[Quantity],StockInData[Product ID],ProductMaster!$B737)-SUMIFS(StockOutData[Quantity],StockOutData[Product ID],ProductMaster!$B737)</f>
        <v>0</v>
      </c>
      <c r="J737" s="63">
        <f>SUMIFS(StockInData[Value],StockInData[Product ID],ProductMaster!$B737)-SUMIFS(StockOutData[Value],StockOutData[Product ID],ProductMaster!$B737)</f>
        <v>0</v>
      </c>
    </row>
    <row r="738" spans="1:10" hidden="1" x14ac:dyDescent="0.25">
      <c r="A738" s="82">
        <v>737</v>
      </c>
      <c r="B738" s="83" t="s">
        <v>1526</v>
      </c>
      <c r="C738" s="85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3" t="s">
        <v>1528</v>
      </c>
      <c r="C739" s="85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2">
        <v>739</v>
      </c>
      <c r="B740" s="83" t="s">
        <v>1530</v>
      </c>
      <c r="C740" s="85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3" t="s">
        <v>1532</v>
      </c>
      <c r="C741" s="85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0</v>
      </c>
      <c r="J741" s="63">
        <f>SUMIFS(StockInData[Value],StockInData[Product ID],ProductMaster!$B741)-SUMIFS(StockOutData[Value],StockOutData[Product ID],ProductMaster!$B741)</f>
        <v>0</v>
      </c>
    </row>
    <row r="742" spans="1:10" hidden="1" x14ac:dyDescent="0.25">
      <c r="A742" s="82">
        <v>741</v>
      </c>
      <c r="B742" s="83" t="s">
        <v>1534</v>
      </c>
      <c r="C742" s="85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3" t="s">
        <v>1536</v>
      </c>
      <c r="C743" s="85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2">
        <v>743</v>
      </c>
      <c r="B744" s="83" t="s">
        <v>1538</v>
      </c>
      <c r="C744" s="85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3" t="s">
        <v>1540</v>
      </c>
      <c r="C745" s="85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2">
        <v>745</v>
      </c>
      <c r="B746" s="83" t="s">
        <v>1542</v>
      </c>
      <c r="C746" s="85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3" t="s">
        <v>1544</v>
      </c>
      <c r="C747" s="85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2">
        <v>747</v>
      </c>
      <c r="B748" s="83" t="s">
        <v>1546</v>
      </c>
      <c r="C748" s="85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3" t="s">
        <v>1548</v>
      </c>
      <c r="C749" s="85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2">
        <v>749</v>
      </c>
      <c r="B750" s="83" t="s">
        <v>1550</v>
      </c>
      <c r="C750" s="85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3" t="s">
        <v>1552</v>
      </c>
      <c r="C751" s="85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2">
        <v>751</v>
      </c>
      <c r="B752" s="83" t="s">
        <v>1554</v>
      </c>
      <c r="C752" s="85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3" t="s">
        <v>1556</v>
      </c>
      <c r="C753" s="85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2">
        <v>753</v>
      </c>
      <c r="B754" s="83" t="s">
        <v>1558</v>
      </c>
      <c r="C754" s="85" t="s">
        <v>1559</v>
      </c>
      <c r="D754" s="47"/>
      <c r="E754" s="47"/>
      <c r="F754" s="48"/>
      <c r="G754" s="62" t="str">
        <f>IFERROR(INDEX(StockInData[Expiry],MATCH(ProductMaster[[#This Row],[Product ID]],StockInData[Product ID],0)),"")</f>
        <v/>
      </c>
      <c r="H754" s="47"/>
      <c r="I754" s="61">
        <f>SUMIFS(StockInData[Quantity],StockInData[Product ID],ProductMaster!$B754)-SUMIFS(StockOutData[Quantity],StockOutData[Product ID],ProductMaster!$B754)</f>
        <v>0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3" t="s">
        <v>1560</v>
      </c>
      <c r="C755" s="85" t="s">
        <v>1561</v>
      </c>
      <c r="D755" s="47"/>
      <c r="E755" s="47"/>
      <c r="F755" s="48"/>
      <c r="G755" s="62" t="str">
        <f>IFERROR(INDEX(StockInData[Expiry],MATCH(ProductMaster[[#This Row],[Product ID]],StockInData[Product ID],0)),"")</f>
        <v/>
      </c>
      <c r="H755" s="47"/>
      <c r="I755" s="61">
        <f>SUMIFS(StockInData[Quantity],StockInData[Product ID],ProductMaster!$B755)-SUMIFS(StockOutData[Quantity],StockOutData[Product ID],ProductMaster!$B755)</f>
        <v>0</v>
      </c>
      <c r="J755" s="63">
        <f>SUMIFS(StockInData[Value],StockInData[Product ID],ProductMaster!$B755)-SUMIFS(StockOutData[Value],StockOutData[Product ID],ProductMaster!$B755)</f>
        <v>0</v>
      </c>
    </row>
    <row r="756" spans="1:10" x14ac:dyDescent="0.25">
      <c r="A756" s="82">
        <v>755</v>
      </c>
      <c r="B756" s="83" t="s">
        <v>1562</v>
      </c>
      <c r="C756" s="85" t="s">
        <v>1563</v>
      </c>
      <c r="D756" s="47"/>
      <c r="E756" s="47"/>
      <c r="F756" s="48"/>
      <c r="G756" s="62" t="str">
        <f>IFERROR(INDEX(StockInData[Expiry],MATCH(ProductMaster[[#This Row],[Product ID]],StockInData[Product ID],0)),"")</f>
        <v/>
      </c>
      <c r="H756" s="47"/>
      <c r="I756" s="61">
        <f>SUMIFS(StockInData[Quantity],StockInData[Product ID],ProductMaster!$B756)-SUMIFS(StockOutData[Quantity],StockOutData[Product ID],ProductMaster!$B756)</f>
        <v>0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3" t="s">
        <v>1564</v>
      </c>
      <c r="C757" s="85" t="s">
        <v>1565</v>
      </c>
      <c r="D757" s="47"/>
      <c r="E757" s="47"/>
      <c r="F757" s="48"/>
      <c r="G757" s="62" t="str">
        <f>IFERROR(INDEX(StockInData[Expiry],MATCH(ProductMaster[[#This Row],[Product ID]],StockInData[Product ID],0)),"")</f>
        <v/>
      </c>
      <c r="H757" s="47"/>
      <c r="I757" s="61">
        <f>SUMIFS(StockInData[Quantity],StockInData[Product ID],ProductMaster!$B757)-SUMIFS(StockOutData[Quantity],StockOutData[Product ID],ProductMaster!$B757)</f>
        <v>0</v>
      </c>
      <c r="J757" s="63">
        <f>SUMIFS(StockInData[Value],StockInData[Product ID],ProductMaster!$B757)-SUMIFS(StockOutData[Value],StockOutData[Product ID],ProductMaster!$B757)</f>
        <v>0</v>
      </c>
    </row>
    <row r="758" spans="1:10" x14ac:dyDescent="0.25">
      <c r="A758" s="82">
        <v>757</v>
      </c>
      <c r="B758" s="83" t="s">
        <v>1566</v>
      </c>
      <c r="C758" s="85" t="s">
        <v>1567</v>
      </c>
      <c r="D758" s="47"/>
      <c r="E758" s="47"/>
      <c r="F758" s="48"/>
      <c r="G758" s="62" t="str">
        <f>IFERROR(INDEX(StockInData[Expiry],MATCH(ProductMaster[[#This Row],[Product ID]],StockInData[Product ID],0)),"")</f>
        <v/>
      </c>
      <c r="H758" s="47"/>
      <c r="I758" s="61">
        <f>SUMIFS(StockInData[Quantity],StockInData[Product ID],ProductMaster!$B758)-SUMIFS(StockOutData[Quantity],StockOutData[Product ID],ProductMaster!$B758)</f>
        <v>0</v>
      </c>
      <c r="J758" s="63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3" t="s">
        <v>1568</v>
      </c>
      <c r="C759" s="85" t="s">
        <v>1569</v>
      </c>
      <c r="D759" s="47"/>
      <c r="E759" s="47"/>
      <c r="F759" s="48"/>
      <c r="G759" s="62" t="str">
        <f>IFERROR(INDEX(StockInData[Expiry],MATCH(ProductMaster[[#This Row],[Product ID]],StockInData[Product ID],0)),"")</f>
        <v/>
      </c>
      <c r="H759" s="47"/>
      <c r="I759" s="61">
        <f>SUMIFS(StockInData[Quantity],StockInData[Product ID],ProductMaster!$B759)-SUMIFS(StockOutData[Quantity],StockOutData[Product ID],ProductMaster!$B759)</f>
        <v>0</v>
      </c>
      <c r="J759" s="63">
        <f>SUMIFS(StockInData[Value],StockInData[Product ID],ProductMaster!$B759)-SUMIFS(StockOutData[Value],StockOutData[Product ID],ProductMaster!$B759)</f>
        <v>0</v>
      </c>
    </row>
    <row r="760" spans="1:10" hidden="1" x14ac:dyDescent="0.25">
      <c r="A760" s="82">
        <v>759</v>
      </c>
      <c r="B760" s="83" t="s">
        <v>1570</v>
      </c>
      <c r="C760" s="85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3" t="s">
        <v>1572</v>
      </c>
      <c r="C761" s="85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2">
        <v>761</v>
      </c>
      <c r="B762" s="83" t="s">
        <v>1574</v>
      </c>
      <c r="C762" s="85" t="s">
        <v>1575</v>
      </c>
      <c r="D762" s="47"/>
      <c r="E762" s="47"/>
      <c r="F762" s="48"/>
      <c r="G762" s="62" t="str">
        <f>IFERROR(INDEX(StockInData[Expiry],MATCH(ProductMaster[[#This Row],[Product ID]],StockInData[Product ID],0)),"")</f>
        <v/>
      </c>
      <c r="H762" s="47"/>
      <c r="I762" s="61">
        <f>SUMIFS(StockInData[Quantity],StockInData[Product ID],ProductMaster!$B762)-SUMIFS(StockOutData[Quantity],StockOutData[Product ID],ProductMaster!$B762)</f>
        <v>0</v>
      </c>
      <c r="J762" s="63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3" t="s">
        <v>1576</v>
      </c>
      <c r="C763" s="85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2">
        <v>763</v>
      </c>
      <c r="B764" s="83" t="s">
        <v>1578</v>
      </c>
      <c r="C764" s="85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3" t="s">
        <v>1580</v>
      </c>
      <c r="C765" s="85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2">
        <v>765</v>
      </c>
      <c r="B766" s="83" t="s">
        <v>1582</v>
      </c>
      <c r="C766" s="85" t="s">
        <v>1583</v>
      </c>
      <c r="D766" s="47"/>
      <c r="E766" s="47"/>
      <c r="F766" s="48"/>
      <c r="G766" s="62" t="str">
        <f>IFERROR(INDEX(StockInData[Expiry],MATCH(ProductMaster[[#This Row],[Product ID]],StockInData[Product ID],0)),"")</f>
        <v/>
      </c>
      <c r="H766" s="47"/>
      <c r="I766" s="61">
        <f>SUMIFS(StockInData[Quantity],StockInData[Product ID],ProductMaster!$B766)-SUMIFS(StockOutData[Quantity],StockOutData[Product ID],ProductMaster!$B766)</f>
        <v>0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3" t="s">
        <v>1584</v>
      </c>
      <c r="C767" s="85" t="s">
        <v>1585</v>
      </c>
      <c r="D767" s="47"/>
      <c r="E767" s="47"/>
      <c r="F767" s="48"/>
      <c r="G767" s="62" t="str">
        <f>IFERROR(INDEX(StockInData[Expiry],MATCH(ProductMaster[[#This Row],[Product ID]],StockInData[Product ID],0)),"")</f>
        <v/>
      </c>
      <c r="H767" s="47"/>
      <c r="I767" s="61">
        <f>SUMIFS(StockInData[Quantity],StockInData[Product ID],ProductMaster!$B767)-SUMIFS(StockOutData[Quantity],StockOutData[Product ID],ProductMaster!$B767)</f>
        <v>0</v>
      </c>
      <c r="J767" s="63">
        <f>SUMIFS(StockInData[Value],StockInData[Product ID],ProductMaster!$B767)-SUMIFS(StockOutData[Value],StockOutData[Product ID],ProductMaster!$B767)</f>
        <v>0</v>
      </c>
    </row>
    <row r="768" spans="1:10" x14ac:dyDescent="0.25">
      <c r="A768" s="82">
        <v>767</v>
      </c>
      <c r="B768" s="83" t="s">
        <v>1586</v>
      </c>
      <c r="C768" s="85" t="s">
        <v>1587</v>
      </c>
      <c r="D768" s="47"/>
      <c r="E768" s="47"/>
      <c r="F768" s="48"/>
      <c r="G768" s="62" t="str">
        <f>IFERROR(INDEX(StockInData[Expiry],MATCH(ProductMaster[[#This Row],[Product ID]],StockInData[Product ID],0)),"")</f>
        <v/>
      </c>
      <c r="H768" s="47"/>
      <c r="I768" s="61">
        <f>SUMIFS(StockInData[Quantity],StockInData[Product ID],ProductMaster!$B768)-SUMIFS(StockOutData[Quantity],StockOutData[Product ID],ProductMaster!$B768)</f>
        <v>0</v>
      </c>
      <c r="J768" s="63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3" t="s">
        <v>1588</v>
      </c>
      <c r="C769" s="85" t="s">
        <v>1589</v>
      </c>
      <c r="D769" s="47"/>
      <c r="E769" s="47"/>
      <c r="F769" s="48"/>
      <c r="G769" s="62" t="str">
        <f>IFERROR(INDEX(StockInData[Expiry],MATCH(ProductMaster[[#This Row],[Product ID]],StockInData[Product ID],0)),"")</f>
        <v/>
      </c>
      <c r="H769" s="47"/>
      <c r="I769" s="61">
        <f>SUMIFS(StockInData[Quantity],StockInData[Product ID],ProductMaster!$B769)-SUMIFS(StockOutData[Quantity],StockOutData[Product ID],ProductMaster!$B769)</f>
        <v>0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2">
        <v>769</v>
      </c>
      <c r="B770" s="83" t="s">
        <v>1590</v>
      </c>
      <c r="C770" s="85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3" t="s">
        <v>1592</v>
      </c>
      <c r="C771" s="85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2">
        <v>771</v>
      </c>
      <c r="B772" s="83" t="s">
        <v>1594</v>
      </c>
      <c r="C772" s="85" t="s">
        <v>1595</v>
      </c>
      <c r="D772" s="47"/>
      <c r="E772" s="47"/>
      <c r="F772" s="48"/>
      <c r="G772" s="62" t="str">
        <f>IFERROR(INDEX(StockInData[Expiry],MATCH(ProductMaster[[#This Row],[Product ID]],StockInData[Product ID],0)),"")</f>
        <v/>
      </c>
      <c r="H772" s="47"/>
      <c r="I772" s="61">
        <f>SUMIFS(StockInData[Quantity],StockInData[Product ID],ProductMaster!$B772)-SUMIFS(StockOutData[Quantity],StockOutData[Product ID],ProductMaster!$B772)</f>
        <v>0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3" t="s">
        <v>1596</v>
      </c>
      <c r="C773" s="85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2">
        <v>773</v>
      </c>
      <c r="B774" s="83" t="s">
        <v>1598</v>
      </c>
      <c r="C774" s="85" t="s">
        <v>1599</v>
      </c>
      <c r="D774" s="47"/>
      <c r="E774" s="47"/>
      <c r="F774" s="48"/>
      <c r="G774" s="62" t="str">
        <f>IFERROR(INDEX(StockInData[Expiry],MATCH(ProductMaster[[#This Row],[Product ID]],StockInData[Product ID],0)),"")</f>
        <v/>
      </c>
      <c r="H774" s="47"/>
      <c r="I774" s="61">
        <f>SUMIFS(StockInData[Quantity],StockInData[Product ID],ProductMaster!$B774)-SUMIFS(StockOutData[Quantity],StockOutData[Product ID],ProductMaster!$B774)</f>
        <v>0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3" t="s">
        <v>1600</v>
      </c>
      <c r="C775" s="85" t="s">
        <v>1601</v>
      </c>
      <c r="D775" s="47"/>
      <c r="E775" s="47"/>
      <c r="F775" s="48"/>
      <c r="G775" s="62" t="str">
        <f>IFERROR(INDEX(StockInData[Expiry],MATCH(ProductMaster[[#This Row],[Product ID]],StockInData[Product ID],0)),"")</f>
        <v/>
      </c>
      <c r="H775" s="47"/>
      <c r="I775" s="61">
        <f>SUMIFS(StockInData[Quantity],StockInData[Product ID],ProductMaster!$B775)-SUMIFS(StockOutData[Quantity],StockOutData[Product ID],ProductMaster!$B775)</f>
        <v>0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2">
        <v>775</v>
      </c>
      <c r="B776" s="83" t="s">
        <v>1602</v>
      </c>
      <c r="C776" s="85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3" t="s">
        <v>1604</v>
      </c>
      <c r="C777" s="85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2">
        <v>777</v>
      </c>
      <c r="B778" s="83" t="s">
        <v>1606</v>
      </c>
      <c r="C778" s="85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3" t="s">
        <v>1608</v>
      </c>
      <c r="C779" s="85" t="s">
        <v>1609</v>
      </c>
      <c r="D779" s="47"/>
      <c r="E779" s="47"/>
      <c r="F779" s="48"/>
      <c r="G779" s="62" t="str">
        <f>IFERROR(INDEX(StockInData[Expiry],MATCH(ProductMaster[[#This Row],[Product ID]],StockInData[Product ID],0)),"")</f>
        <v/>
      </c>
      <c r="H779" s="47"/>
      <c r="I779" s="61">
        <f>SUMIFS(StockInData[Quantity],StockInData[Product ID],ProductMaster!$B779)-SUMIFS(StockOutData[Quantity],StockOutData[Product ID],ProductMaster!$B779)</f>
        <v>0</v>
      </c>
      <c r="J779" s="63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82">
        <v>779</v>
      </c>
      <c r="B780" s="83" t="s">
        <v>1610</v>
      </c>
      <c r="C780" s="85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3" t="s">
        <v>1612</v>
      </c>
      <c r="C781" s="85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2">
        <v>781</v>
      </c>
      <c r="B782" s="83" t="s">
        <v>1614</v>
      </c>
      <c r="C782" s="85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3" t="s">
        <v>1616</v>
      </c>
      <c r="C783" s="85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2">
        <v>783</v>
      </c>
      <c r="B784" s="83" t="s">
        <v>1618</v>
      </c>
      <c r="C784" s="85" t="s">
        <v>1619</v>
      </c>
      <c r="D784" s="47"/>
      <c r="E784" s="47"/>
      <c r="F784" s="48"/>
      <c r="G784" s="62" t="str">
        <f>IFERROR(INDEX(StockInData[Expiry],MATCH(ProductMaster[[#This Row],[Product ID]],StockInData[Product ID],0)),"")</f>
        <v/>
      </c>
      <c r="H784" s="47"/>
      <c r="I784" s="61">
        <f>SUMIFS(StockInData[Quantity],StockInData[Product ID],ProductMaster!$B784)-SUMIFS(StockOutData[Quantity],StockOutData[Product ID],ProductMaster!$B784)</f>
        <v>0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3" t="s">
        <v>1620</v>
      </c>
      <c r="C785" s="85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2">
        <v>785</v>
      </c>
      <c r="B786" s="83" t="s">
        <v>1622</v>
      </c>
      <c r="C786" s="85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3" t="s">
        <v>1624</v>
      </c>
      <c r="C787" s="85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2">
        <v>787</v>
      </c>
      <c r="B788" s="83" t="s">
        <v>1626</v>
      </c>
      <c r="C788" s="85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3" t="s">
        <v>1628</v>
      </c>
      <c r="C789" s="85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2">
        <v>789</v>
      </c>
      <c r="B790" s="83" t="s">
        <v>1630</v>
      </c>
      <c r="C790" s="85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3" t="s">
        <v>1632</v>
      </c>
      <c r="C791" s="85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2">
        <v>791</v>
      </c>
      <c r="B792" s="83" t="s">
        <v>1634</v>
      </c>
      <c r="C792" s="85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3" t="s">
        <v>1636</v>
      </c>
      <c r="C793" s="85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2">
        <v>793</v>
      </c>
      <c r="B794" s="83" t="s">
        <v>1638</v>
      </c>
      <c r="C794" s="85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3" t="s">
        <v>1640</v>
      </c>
      <c r="C795" s="85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2">
        <v>795</v>
      </c>
      <c r="B796" s="83" t="s">
        <v>1642</v>
      </c>
      <c r="C796" s="85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3" t="s">
        <v>1644</v>
      </c>
      <c r="C797" s="85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2">
        <v>797</v>
      </c>
      <c r="B798" s="83" t="s">
        <v>1646</v>
      </c>
      <c r="C798" s="85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3" t="s">
        <v>1648</v>
      </c>
      <c r="C799" s="85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2">
        <v>799</v>
      </c>
      <c r="B800" s="83" t="s">
        <v>1650</v>
      </c>
      <c r="C800" s="85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3" t="s">
        <v>1652</v>
      </c>
      <c r="C801" s="85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2">
        <v>801</v>
      </c>
      <c r="B802" s="83" t="s">
        <v>1654</v>
      </c>
      <c r="C802" s="85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3" t="s">
        <v>1656</v>
      </c>
      <c r="C803" s="85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2">
        <v>803</v>
      </c>
      <c r="B804" s="83" t="s">
        <v>1658</v>
      </c>
      <c r="C804" s="85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3" t="s">
        <v>1660</v>
      </c>
      <c r="C805" s="85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2">
        <v>805</v>
      </c>
      <c r="B806" s="83" t="s">
        <v>1662</v>
      </c>
      <c r="C806" s="85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3" t="s">
        <v>1664</v>
      </c>
      <c r="C807" s="85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2">
        <v>807</v>
      </c>
      <c r="B808" s="83" t="s">
        <v>1666</v>
      </c>
      <c r="C808" s="85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3" t="s">
        <v>1668</v>
      </c>
      <c r="C809" s="85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2">
        <v>809</v>
      </c>
      <c r="B810" s="83" t="s">
        <v>1670</v>
      </c>
      <c r="C810" s="85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3" t="s">
        <v>1672</v>
      </c>
      <c r="C811" s="85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2">
        <v>811</v>
      </c>
      <c r="B812" s="83" t="s">
        <v>1674</v>
      </c>
      <c r="C812" s="85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3" t="s">
        <v>1676</v>
      </c>
      <c r="C813" s="85" t="s">
        <v>1677</v>
      </c>
      <c r="D813" s="47"/>
      <c r="E813" s="47"/>
      <c r="F813" s="48"/>
      <c r="G813" s="62" t="str">
        <f>IFERROR(INDEX(StockInData[Expiry],MATCH(ProductMaster[[#This Row],[Product ID]],StockInData[Product ID],0)),"")</f>
        <v/>
      </c>
      <c r="H813" s="47"/>
      <c r="I813" s="61">
        <f>SUMIFS(StockInData[Quantity],StockInData[Product ID],ProductMaster!$B813)-SUMIFS(StockOutData[Quantity],StockOutData[Product ID],ProductMaster!$B813)</f>
        <v>0</v>
      </c>
      <c r="J813" s="63">
        <f>SUMIFS(StockInData[Value],StockInData[Product ID],ProductMaster!$B813)-SUMIFS(StockOutData[Value],StockOutData[Product ID],ProductMaster!$B813)</f>
        <v>0</v>
      </c>
    </row>
    <row r="814" spans="1:10" x14ac:dyDescent="0.25">
      <c r="A814" s="82">
        <v>813</v>
      </c>
      <c r="B814" s="83" t="s">
        <v>1678</v>
      </c>
      <c r="C814" s="85" t="s">
        <v>1679</v>
      </c>
      <c r="D814" s="47"/>
      <c r="E814" s="47"/>
      <c r="F814" s="48"/>
      <c r="G814" s="62" t="str">
        <f>IFERROR(INDEX(StockInData[Expiry],MATCH(ProductMaster[[#This Row],[Product ID]],StockInData[Product ID],0)),"")</f>
        <v/>
      </c>
      <c r="H814" s="47"/>
      <c r="I814" s="61">
        <f>SUMIFS(StockInData[Quantity],StockInData[Product ID],ProductMaster!$B814)-SUMIFS(StockOutData[Quantity],StockOutData[Product ID],ProductMaster!$B814)</f>
        <v>0</v>
      </c>
      <c r="J814" s="63">
        <f>SUMIFS(StockInData[Value],StockInData[Product ID],ProductMaster!$B814)-SUMIFS(StockOutData[Value],StockOutData[Product ID],ProductMaster!$B814)</f>
        <v>0</v>
      </c>
    </row>
    <row r="815" spans="1:10" hidden="1" x14ac:dyDescent="0.25">
      <c r="A815" s="60">
        <v>814</v>
      </c>
      <c r="B815" s="83" t="s">
        <v>1680</v>
      </c>
      <c r="C815" s="85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82">
        <v>815</v>
      </c>
      <c r="B816" s="83" t="s">
        <v>1682</v>
      </c>
      <c r="C816" s="85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3" t="s">
        <v>1684</v>
      </c>
      <c r="C817" s="85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82">
        <v>817</v>
      </c>
      <c r="B818" s="83" t="s">
        <v>1686</v>
      </c>
      <c r="C818" s="85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3" t="s">
        <v>1688</v>
      </c>
      <c r="C819" s="85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2">
        <v>819</v>
      </c>
      <c r="B820" s="83" t="s">
        <v>1690</v>
      </c>
      <c r="C820" s="85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3" t="s">
        <v>1692</v>
      </c>
      <c r="C821" s="85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2">
        <v>821</v>
      </c>
      <c r="B822" s="83" t="s">
        <v>1694</v>
      </c>
      <c r="C822" s="85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3" t="s">
        <v>1696</v>
      </c>
      <c r="C823" s="85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2">
        <v>823</v>
      </c>
      <c r="B824" s="83" t="s">
        <v>1698</v>
      </c>
      <c r="C824" s="85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3" t="s">
        <v>1700</v>
      </c>
      <c r="C825" s="85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2">
        <v>825</v>
      </c>
      <c r="B826" s="83" t="s">
        <v>1702</v>
      </c>
      <c r="C826" s="85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3" t="s">
        <v>1704</v>
      </c>
      <c r="C827" s="85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2">
        <v>827</v>
      </c>
      <c r="B828" s="83" t="s">
        <v>1706</v>
      </c>
      <c r="C828" s="85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3" t="s">
        <v>1708</v>
      </c>
      <c r="C829" s="85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2">
        <v>829</v>
      </c>
      <c r="B830" s="83" t="s">
        <v>1710</v>
      </c>
      <c r="C830" s="85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3" t="s">
        <v>1712</v>
      </c>
      <c r="C831" s="85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2">
        <v>831</v>
      </c>
      <c r="B832" s="83" t="s">
        <v>1714</v>
      </c>
      <c r="C832" s="85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3" t="s">
        <v>1716</v>
      </c>
      <c r="C833" s="85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82">
        <v>833</v>
      </c>
      <c r="B834" s="83" t="s">
        <v>1718</v>
      </c>
      <c r="C834" s="85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3" t="s">
        <v>1720</v>
      </c>
      <c r="C835" s="85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2">
        <v>835</v>
      </c>
      <c r="B836" s="83" t="s">
        <v>1722</v>
      </c>
      <c r="C836" s="85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3" t="s">
        <v>1724</v>
      </c>
      <c r="C837" s="85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2">
        <v>837</v>
      </c>
      <c r="B838" s="83" t="s">
        <v>1726</v>
      </c>
      <c r="C838" s="85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3" t="s">
        <v>1728</v>
      </c>
      <c r="C839" s="85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82">
        <v>839</v>
      </c>
      <c r="B840" s="83" t="s">
        <v>1730</v>
      </c>
      <c r="C840" s="85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3" t="s">
        <v>1732</v>
      </c>
      <c r="C841" s="85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2">
        <v>841</v>
      </c>
      <c r="B842" s="83" t="s">
        <v>1734</v>
      </c>
      <c r="C842" s="85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3" t="s">
        <v>1736</v>
      </c>
      <c r="C843" s="85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2">
        <v>843</v>
      </c>
      <c r="B844" s="83" t="s">
        <v>1738</v>
      </c>
      <c r="C844" s="85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3" t="s">
        <v>1740</v>
      </c>
      <c r="C845" s="85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2">
        <v>845</v>
      </c>
      <c r="B846" s="83" t="s">
        <v>1742</v>
      </c>
      <c r="C846" s="85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3" t="s">
        <v>1744</v>
      </c>
      <c r="C847" s="85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82">
        <v>847</v>
      </c>
      <c r="B848" s="83" t="s">
        <v>1746</v>
      </c>
      <c r="C848" s="85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3" t="s">
        <v>1748</v>
      </c>
      <c r="C849" s="85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2">
        <v>849</v>
      </c>
      <c r="B850" s="83" t="s">
        <v>1750</v>
      </c>
      <c r="C850" s="85" t="s">
        <v>1751</v>
      </c>
      <c r="D850" s="47"/>
      <c r="E850" s="47"/>
      <c r="F850" s="48"/>
      <c r="G850" s="62" t="str">
        <f>IFERROR(INDEX(StockInData[Expiry],MATCH(ProductMaster[[#This Row],[Product ID]],StockInData[Product ID],0)),"")</f>
        <v/>
      </c>
      <c r="H850" s="47"/>
      <c r="I850" s="61">
        <f>SUMIFS(StockInData[Quantity],StockInData[Product ID],ProductMaster!$B850)-SUMIFS(StockOutData[Quantity],StockOutData[Product ID],ProductMaster!$B850)</f>
        <v>0</v>
      </c>
      <c r="J850" s="63">
        <f>SUMIFS(StockInData[Value],StockInData[Product ID],ProductMaster!$B850)-SUMIFS(StockOutData[Value],StockOutData[Product ID],ProductMaster!$B850)</f>
        <v>0</v>
      </c>
    </row>
    <row r="851" spans="1:10" hidden="1" x14ac:dyDescent="0.25">
      <c r="A851" s="60">
        <v>850</v>
      </c>
      <c r="B851" s="83" t="s">
        <v>1752</v>
      </c>
      <c r="C851" s="85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82">
        <v>851</v>
      </c>
      <c r="B852" s="83" t="s">
        <v>1754</v>
      </c>
      <c r="C852" s="85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3" t="s">
        <v>1756</v>
      </c>
      <c r="C853" s="85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2">
        <v>853</v>
      </c>
      <c r="B854" s="83" t="s">
        <v>1758</v>
      </c>
      <c r="C854" s="85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3" t="s">
        <v>1760</v>
      </c>
      <c r="C855" s="85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82">
        <v>855</v>
      </c>
      <c r="B856" s="83" t="s">
        <v>1762</v>
      </c>
      <c r="C856" s="85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3" t="s">
        <v>1764</v>
      </c>
      <c r="C857" s="85" t="s">
        <v>1765</v>
      </c>
      <c r="D857" s="47"/>
      <c r="E857" s="47"/>
      <c r="F857" s="48"/>
      <c r="G857" s="62" t="str">
        <f>IFERROR(INDEX(StockInData[Expiry],MATCH(ProductMaster[[#This Row],[Product ID]],StockInData[Product ID],0)),"")</f>
        <v/>
      </c>
      <c r="H857" s="47"/>
      <c r="I857" s="61">
        <f>SUMIFS(StockInData[Quantity],StockInData[Product ID],ProductMaster!$B857)-SUMIFS(StockOutData[Quantity],StockOutData[Product ID],ProductMaster!$B857)</f>
        <v>0</v>
      </c>
      <c r="J857" s="63">
        <f>SUMIFS(StockInData[Value],StockInData[Product ID],ProductMaster!$B857)-SUMIFS(StockOutData[Value],StockOutData[Product ID],ProductMaster!$B857)</f>
        <v>0</v>
      </c>
    </row>
    <row r="858" spans="1:10" hidden="1" x14ac:dyDescent="0.25">
      <c r="A858" s="82">
        <v>857</v>
      </c>
      <c r="B858" s="83" t="s">
        <v>1766</v>
      </c>
      <c r="C858" s="85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3" t="s">
        <v>1768</v>
      </c>
      <c r="C859" s="85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2">
        <v>859</v>
      </c>
      <c r="B860" s="83" t="s">
        <v>1770</v>
      </c>
      <c r="C860" s="85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3" t="s">
        <v>1772</v>
      </c>
      <c r="C861" s="85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82">
        <v>861</v>
      </c>
      <c r="B862" s="83" t="s">
        <v>1773</v>
      </c>
      <c r="C862" s="85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3" t="s">
        <v>1775</v>
      </c>
      <c r="C863" s="85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2">
        <v>863</v>
      </c>
      <c r="B864" s="83" t="s">
        <v>1777</v>
      </c>
      <c r="C864" s="85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3" t="s">
        <v>1779</v>
      </c>
      <c r="C865" s="85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82">
        <v>865</v>
      </c>
      <c r="B866" s="83" t="s">
        <v>1781</v>
      </c>
      <c r="C866" s="85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3" t="s">
        <v>1783</v>
      </c>
      <c r="C867" s="85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x14ac:dyDescent="0.25">
      <c r="A868" s="82">
        <v>867</v>
      </c>
      <c r="B868" s="83" t="s">
        <v>1785</v>
      </c>
      <c r="C868" s="85" t="s">
        <v>1786</v>
      </c>
      <c r="D868" s="47"/>
      <c r="E868" s="47"/>
      <c r="F868" s="48"/>
      <c r="G868" s="62" t="str">
        <f>IFERROR(INDEX(StockInData[Expiry],MATCH(ProductMaster[[#This Row],[Product ID]],StockInData[Product ID],0)),"")</f>
        <v/>
      </c>
      <c r="H868" s="47"/>
      <c r="I868" s="61">
        <f>SUMIFS(StockInData[Quantity],StockInData[Product ID],ProductMaster!$B868)-SUMIFS(StockOutData[Quantity],StockOutData[Product ID],ProductMaster!$B868)</f>
        <v>0</v>
      </c>
      <c r="J868" s="63">
        <f>SUMIFS(StockInData[Value],StockInData[Product ID],ProductMaster!$B868)-SUMIFS(StockOutData[Value],StockOutData[Product ID],ProductMaster!$B868)</f>
        <v>0</v>
      </c>
    </row>
    <row r="869" spans="1:10" hidden="1" x14ac:dyDescent="0.25">
      <c r="A869" s="60">
        <v>868</v>
      </c>
      <c r="B869" s="83" t="s">
        <v>1787</v>
      </c>
      <c r="C869" s="85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82">
        <v>869</v>
      </c>
      <c r="B870" s="83" t="s">
        <v>1789</v>
      </c>
      <c r="C870" s="85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3" t="s">
        <v>1791</v>
      </c>
      <c r="C871" s="85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2">
        <v>871</v>
      </c>
      <c r="B872" s="83" t="s">
        <v>1793</v>
      </c>
      <c r="C872" s="85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3" t="s">
        <v>1795</v>
      </c>
      <c r="C873" s="85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x14ac:dyDescent="0.25">
      <c r="A874" s="82">
        <v>873</v>
      </c>
      <c r="B874" s="83" t="s">
        <v>1797</v>
      </c>
      <c r="C874" s="85" t="s">
        <v>1798</v>
      </c>
      <c r="D874" s="47"/>
      <c r="E874" s="47"/>
      <c r="F874" s="48"/>
      <c r="G874" s="62" t="str">
        <f>IFERROR(INDEX(StockInData[Expiry],MATCH(ProductMaster[[#This Row],[Product ID]],StockInData[Product ID],0)),"")</f>
        <v/>
      </c>
      <c r="H874" s="47"/>
      <c r="I874" s="61">
        <f>SUMIFS(StockInData[Quantity],StockInData[Product ID],ProductMaster!$B874)-SUMIFS(StockOutData[Quantity],StockOutData[Product ID],ProductMaster!$B874)</f>
        <v>0</v>
      </c>
      <c r="J874" s="63">
        <f>SUMIFS(StockInData[Value],StockInData[Product ID],ProductMaster!$B874)-SUMIFS(StockOutData[Value],StockOutData[Product ID],ProductMaster!$B874)</f>
        <v>0</v>
      </c>
    </row>
    <row r="875" spans="1:10" hidden="1" x14ac:dyDescent="0.25">
      <c r="A875" s="60">
        <v>874</v>
      </c>
      <c r="B875" s="83" t="s">
        <v>1799</v>
      </c>
      <c r="C875" s="85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2">
        <v>875</v>
      </c>
      <c r="B876" s="83" t="s">
        <v>1801</v>
      </c>
      <c r="C876" s="85" t="s">
        <v>1802</v>
      </c>
      <c r="D876" s="47"/>
      <c r="E876" s="47"/>
      <c r="F876" s="48"/>
      <c r="G876" s="62" t="str">
        <f>IFERROR(INDEX(StockInData[Expiry],MATCH(ProductMaster[[#This Row],[Product ID]],StockInData[Product ID],0)),"")</f>
        <v/>
      </c>
      <c r="H876" s="47"/>
      <c r="I876" s="61">
        <f>SUMIFS(StockInData[Quantity],StockInData[Product ID],ProductMaster!$B876)-SUMIFS(StockOutData[Quantity],StockOutData[Product ID],ProductMaster!$B876)</f>
        <v>0</v>
      </c>
      <c r="J876" s="63">
        <f>SUMIFS(StockInData[Value],StockInData[Product ID],ProductMaster!$B876)-SUMIFS(StockOutData[Value],StockOutData[Product ID],ProductMaster!$B876)</f>
        <v>0</v>
      </c>
    </row>
    <row r="877" spans="1:10" hidden="1" x14ac:dyDescent="0.25">
      <c r="A877" s="60">
        <v>876</v>
      </c>
      <c r="B877" s="83" t="s">
        <v>1803</v>
      </c>
      <c r="C877" s="85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x14ac:dyDescent="0.25">
      <c r="A878" s="82">
        <v>877</v>
      </c>
      <c r="B878" s="83" t="s">
        <v>1805</v>
      </c>
      <c r="C878" s="85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0</v>
      </c>
      <c r="J878" s="63">
        <f>SUMIFS(StockInData[Value],StockInData[Product ID],ProductMaster!$B878)-SUMIFS(StockOutData[Value],StockOutData[Product ID],ProductMaster!$B878)</f>
        <v>0</v>
      </c>
    </row>
    <row r="879" spans="1:10" hidden="1" x14ac:dyDescent="0.25">
      <c r="A879" s="60">
        <v>878</v>
      </c>
      <c r="B879" s="83" t="s">
        <v>1807</v>
      </c>
      <c r="C879" s="85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82">
        <v>879</v>
      </c>
      <c r="B880" s="83" t="s">
        <v>1809</v>
      </c>
      <c r="C880" s="85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3" t="s">
        <v>1811</v>
      </c>
      <c r="C881" s="85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2">
        <v>881</v>
      </c>
      <c r="B882" s="83" t="s">
        <v>1813</v>
      </c>
      <c r="C882" s="85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3" t="s">
        <v>1815</v>
      </c>
      <c r="C883" s="85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2">
        <v>883</v>
      </c>
      <c r="B884" s="83" t="s">
        <v>1817</v>
      </c>
      <c r="C884" s="85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3" t="s">
        <v>1819</v>
      </c>
      <c r="C885" s="85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82">
        <v>885</v>
      </c>
      <c r="B886" s="83" t="s">
        <v>1821</v>
      </c>
      <c r="C886" s="85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3" t="s">
        <v>1823</v>
      </c>
      <c r="C887" s="85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82">
        <v>887</v>
      </c>
      <c r="B888" s="83" t="s">
        <v>1825</v>
      </c>
      <c r="C888" s="85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3" t="s">
        <v>1827</v>
      </c>
      <c r="C889" s="85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82">
        <v>889</v>
      </c>
      <c r="B890" s="83" t="s">
        <v>1829</v>
      </c>
      <c r="C890" s="85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3" t="s">
        <v>1831</v>
      </c>
      <c r="C891" s="85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82">
        <v>891</v>
      </c>
      <c r="B892" s="83" t="s">
        <v>1833</v>
      </c>
      <c r="C892" s="85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3" t="s">
        <v>1835</v>
      </c>
      <c r="C893" s="85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2">
        <v>893</v>
      </c>
      <c r="B894" s="83" t="s">
        <v>1837</v>
      </c>
      <c r="C894" s="85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3" t="s">
        <v>1839</v>
      </c>
      <c r="C895" s="85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82">
        <v>895</v>
      </c>
      <c r="B896" s="83" t="s">
        <v>1841</v>
      </c>
      <c r="C896" s="85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3" t="s">
        <v>1843</v>
      </c>
      <c r="C897" s="85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82">
        <v>897</v>
      </c>
      <c r="B898" s="83" t="s">
        <v>1845</v>
      </c>
      <c r="C898" s="85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3" t="s">
        <v>1847</v>
      </c>
      <c r="C899" s="85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2">
        <v>899</v>
      </c>
      <c r="B900" s="83" t="s">
        <v>1849</v>
      </c>
      <c r="C900" s="85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3" t="s">
        <v>1851</v>
      </c>
      <c r="C901" s="85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82">
        <v>901</v>
      </c>
      <c r="B902" s="83" t="s">
        <v>1853</v>
      </c>
      <c r="C902" s="85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3" t="s">
        <v>1855</v>
      </c>
      <c r="C903" s="85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2">
        <v>903</v>
      </c>
      <c r="B904" s="83" t="s">
        <v>1857</v>
      </c>
      <c r="C904" s="85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3" t="s">
        <v>1859</v>
      </c>
      <c r="C905" s="85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0</v>
      </c>
      <c r="J905" s="63">
        <f>SUMIFS(StockInData[Value],StockInData[Product ID],ProductMaster!$B905)-SUMIFS(StockOutData[Value],StockOutData[Product ID],ProductMaster!$B905)</f>
        <v>0</v>
      </c>
    </row>
    <row r="906" spans="1:10" hidden="1" x14ac:dyDescent="0.25">
      <c r="A906" s="82">
        <v>905</v>
      </c>
      <c r="B906" s="83" t="s">
        <v>1861</v>
      </c>
      <c r="C906" s="85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3" t="s">
        <v>1863</v>
      </c>
      <c r="C907" s="85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2">
        <v>907</v>
      </c>
      <c r="B908" s="83" t="s">
        <v>1865</v>
      </c>
      <c r="C908" s="85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3" t="s">
        <v>1867</v>
      </c>
      <c r="C909" s="85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2">
        <v>909</v>
      </c>
      <c r="B910" s="83" t="s">
        <v>1869</v>
      </c>
      <c r="C910" s="85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3" t="s">
        <v>1871</v>
      </c>
      <c r="C911" s="85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2">
        <v>911</v>
      </c>
      <c r="B912" s="83" t="s">
        <v>1873</v>
      </c>
      <c r="C912" s="85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3" t="s">
        <v>1875</v>
      </c>
      <c r="C913" s="85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82">
        <v>913</v>
      </c>
      <c r="B914" s="83" t="s">
        <v>1877</v>
      </c>
      <c r="C914" s="85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3" t="s">
        <v>1879</v>
      </c>
      <c r="C915" s="85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2">
        <v>915</v>
      </c>
      <c r="B916" s="83" t="s">
        <v>1881</v>
      </c>
      <c r="C916" s="85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3" t="s">
        <v>1883</v>
      </c>
      <c r="C917" s="85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2">
        <v>917</v>
      </c>
      <c r="B918" s="83" t="s">
        <v>1885</v>
      </c>
      <c r="C918" s="85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3" t="s">
        <v>1887</v>
      </c>
      <c r="C919" s="85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2">
        <v>919</v>
      </c>
      <c r="B920" s="83" t="s">
        <v>1889</v>
      </c>
      <c r="C920" s="85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3" t="s">
        <v>1891</v>
      </c>
      <c r="C921" s="85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2">
        <v>921</v>
      </c>
      <c r="B922" s="83" t="s">
        <v>1893</v>
      </c>
      <c r="C922" s="85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3" t="s">
        <v>1895</v>
      </c>
      <c r="C923" s="85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2">
        <v>923</v>
      </c>
      <c r="B924" s="83" t="s">
        <v>1897</v>
      </c>
      <c r="C924" s="85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3" t="s">
        <v>1899</v>
      </c>
      <c r="C925" s="85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2">
        <v>925</v>
      </c>
      <c r="B926" s="83" t="s">
        <v>1901</v>
      </c>
      <c r="C926" s="85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3" t="s">
        <v>1903</v>
      </c>
      <c r="C927" s="85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82">
        <v>927</v>
      </c>
      <c r="B928" s="83" t="s">
        <v>1905</v>
      </c>
      <c r="C928" s="85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3" t="s">
        <v>1907</v>
      </c>
      <c r="C929" s="85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82">
        <v>929</v>
      </c>
      <c r="B930" s="83" t="s">
        <v>1909</v>
      </c>
      <c r="C930" s="85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3" t="s">
        <v>1911</v>
      </c>
      <c r="C931" s="85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82">
        <v>931</v>
      </c>
      <c r="B932" s="83" t="s">
        <v>1913</v>
      </c>
      <c r="C932" s="85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3" t="s">
        <v>1915</v>
      </c>
      <c r="C933" s="85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2">
        <v>933</v>
      </c>
      <c r="B934" s="83" t="s">
        <v>1917</v>
      </c>
      <c r="C934" s="85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3" t="s">
        <v>1919</v>
      </c>
      <c r="C935" s="85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2">
        <v>935</v>
      </c>
      <c r="B936" s="83" t="s">
        <v>1921</v>
      </c>
      <c r="C936" s="85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3" t="s">
        <v>1923</v>
      </c>
      <c r="C937" s="85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2">
        <v>937</v>
      </c>
      <c r="B938" s="83" t="s">
        <v>1925</v>
      </c>
      <c r="C938" s="85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3" t="s">
        <v>1927</v>
      </c>
      <c r="C939" s="85" t="s">
        <v>1928</v>
      </c>
      <c r="D939" s="47"/>
      <c r="E939" s="47"/>
      <c r="F939" s="48"/>
      <c r="G939" s="62" t="str">
        <f>IFERROR(INDEX(StockInData[Expiry],MATCH(ProductMaster[[#This Row],[Product ID]],StockInData[Product ID],0)),"")</f>
        <v/>
      </c>
      <c r="H939" s="47"/>
      <c r="I939" s="61">
        <f>SUMIFS(StockInData[Quantity],StockInData[Product ID],ProductMaster!$B939)-SUMIFS(StockOutData[Quantity],StockOutData[Product ID],ProductMaster!$B939)</f>
        <v>0</v>
      </c>
      <c r="J939" s="63">
        <f>SUMIFS(StockInData[Value],StockInData[Product ID],ProductMaster!$B939)-SUMIFS(StockOutData[Value],StockOutData[Product ID],ProductMaster!$B939)</f>
        <v>0</v>
      </c>
    </row>
    <row r="940" spans="1:10" hidden="1" x14ac:dyDescent="0.25">
      <c r="A940" s="82">
        <v>939</v>
      </c>
      <c r="B940" s="83" t="s">
        <v>1929</v>
      </c>
      <c r="C940" s="85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3" t="s">
        <v>1931</v>
      </c>
      <c r="C941" s="85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82">
        <v>941</v>
      </c>
      <c r="B942" s="83" t="s">
        <v>1933</v>
      </c>
      <c r="C942" s="85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3" t="s">
        <v>1935</v>
      </c>
      <c r="C943" s="85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0</v>
      </c>
    </row>
    <row r="944" spans="1:10" x14ac:dyDescent="0.25">
      <c r="A944" s="82">
        <v>943</v>
      </c>
      <c r="B944" s="83" t="s">
        <v>1937</v>
      </c>
      <c r="C944" s="85" t="s">
        <v>1938</v>
      </c>
      <c r="D944" s="47"/>
      <c r="E944" s="47"/>
      <c r="F944" s="48"/>
      <c r="G944" s="62" t="str">
        <f>IFERROR(INDEX(StockInData[Expiry],MATCH(ProductMaster[[#This Row],[Product ID]],StockInData[Product ID],0)),"")</f>
        <v/>
      </c>
      <c r="H944" s="47"/>
      <c r="I944" s="61">
        <f>SUMIFS(StockInData[Quantity],StockInData[Product ID],ProductMaster!$B944)-SUMIFS(StockOutData[Quantity],StockOutData[Product ID],ProductMaster!$B944)</f>
        <v>0</v>
      </c>
      <c r="J944" s="63">
        <f>SUMIFS(StockInData[Value],StockInData[Product ID],ProductMaster!$B944)-SUMIFS(StockOutData[Value],StockOutData[Product ID],ProductMaster!$B944)</f>
        <v>0</v>
      </c>
    </row>
    <row r="945" spans="1:10" hidden="1" x14ac:dyDescent="0.25">
      <c r="A945" s="60">
        <v>944</v>
      </c>
      <c r="B945" s="83" t="s">
        <v>1939</v>
      </c>
      <c r="C945" s="85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2">
        <v>945</v>
      </c>
      <c r="B946" s="83" t="s">
        <v>1941</v>
      </c>
      <c r="C946" s="85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3" t="s">
        <v>1943</v>
      </c>
      <c r="C947" s="85" t="s">
        <v>1944</v>
      </c>
      <c r="D947" s="47"/>
      <c r="E947" s="47"/>
      <c r="F947" s="48"/>
      <c r="G947" s="62" t="str">
        <f>IFERROR(INDEX(StockInData[Expiry],MATCH(ProductMaster[[#This Row],[Product ID]],StockInData[Product ID],0)),"")</f>
        <v/>
      </c>
      <c r="H947" s="47"/>
      <c r="I947" s="61">
        <f>SUMIFS(StockInData[Quantity],StockInData[Product ID],ProductMaster!$B947)-SUMIFS(StockOutData[Quantity],StockOutData[Product ID],ProductMaster!$B947)</f>
        <v>0</v>
      </c>
      <c r="J947" s="63">
        <f>SUMIFS(StockInData[Value],StockInData[Product ID],ProductMaster!$B947)-SUMIFS(StockOutData[Value],StockOutData[Product ID],ProductMaster!$B947)</f>
        <v>0</v>
      </c>
    </row>
    <row r="948" spans="1:10" hidden="1" x14ac:dyDescent="0.25">
      <c r="A948" s="82">
        <v>947</v>
      </c>
      <c r="B948" s="83" t="s">
        <v>1945</v>
      </c>
      <c r="C948" s="85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3" t="s">
        <v>1947</v>
      </c>
      <c r="C949" s="85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2">
        <v>949</v>
      </c>
      <c r="B950" s="83" t="s">
        <v>1949</v>
      </c>
      <c r="C950" s="85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3" t="s">
        <v>1951</v>
      </c>
      <c r="C951" s="85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x14ac:dyDescent="0.25">
      <c r="A952" s="82">
        <v>951</v>
      </c>
      <c r="B952" s="83" t="s">
        <v>1953</v>
      </c>
      <c r="C952" s="85" t="s">
        <v>1954</v>
      </c>
      <c r="D952" s="47"/>
      <c r="E952" s="47"/>
      <c r="F952" s="48"/>
      <c r="G952" s="62" t="str">
        <f>IFERROR(INDEX(StockInData[Expiry],MATCH(ProductMaster[[#This Row],[Product ID]],StockInData[Product ID],0)),"")</f>
        <v/>
      </c>
      <c r="H952" s="47"/>
      <c r="I952" s="61">
        <f>SUMIFS(StockInData[Quantity],StockInData[Product ID],ProductMaster!$B952)-SUMIFS(StockOutData[Quantity],StockOutData[Product ID],ProductMaster!$B952)</f>
        <v>0</v>
      </c>
      <c r="J952" s="63">
        <f>SUMIFS(StockInData[Value],StockInData[Product ID],ProductMaster!$B952)-SUMIFS(StockOutData[Value],StockOutData[Product ID],ProductMaster!$B952)</f>
        <v>0</v>
      </c>
    </row>
    <row r="953" spans="1:10" hidden="1" x14ac:dyDescent="0.25">
      <c r="A953" s="60">
        <v>952</v>
      </c>
      <c r="B953" s="83" t="s">
        <v>1955</v>
      </c>
      <c r="C953" s="85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82">
        <v>953</v>
      </c>
      <c r="B954" s="83" t="s">
        <v>1957</v>
      </c>
      <c r="C954" s="85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3" t="s">
        <v>1959</v>
      </c>
      <c r="C955" s="85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82">
        <v>955</v>
      </c>
      <c r="B956" s="83" t="s">
        <v>1961</v>
      </c>
      <c r="C956" s="85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3" t="s">
        <v>1963</v>
      </c>
      <c r="C957" s="85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2">
        <v>957</v>
      </c>
      <c r="B958" s="83" t="s">
        <v>1965</v>
      </c>
      <c r="C958" s="85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3" t="s">
        <v>1967</v>
      </c>
      <c r="C959" s="85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82">
        <v>959</v>
      </c>
      <c r="B960" s="83" t="s">
        <v>1969</v>
      </c>
      <c r="C960" s="85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3" t="s">
        <v>1971</v>
      </c>
      <c r="C961" s="85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2">
        <v>961</v>
      </c>
      <c r="B962" s="83" t="s">
        <v>1973</v>
      </c>
      <c r="C962" s="85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3" t="s">
        <v>1975</v>
      </c>
      <c r="C963" s="85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2">
        <v>963</v>
      </c>
      <c r="B964" s="83" t="s">
        <v>1977</v>
      </c>
      <c r="C964" s="85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3" t="s">
        <v>1979</v>
      </c>
      <c r="C965" s="85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2">
        <v>965</v>
      </c>
      <c r="B966" s="83" t="s">
        <v>1981</v>
      </c>
      <c r="C966" s="85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3" t="s">
        <v>1983</v>
      </c>
      <c r="C967" s="85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82">
        <v>967</v>
      </c>
      <c r="B968" s="83" t="s">
        <v>1985</v>
      </c>
      <c r="C968" s="85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3" t="s">
        <v>1987</v>
      </c>
      <c r="C969" s="85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2">
        <v>969</v>
      </c>
      <c r="B970" s="83" t="s">
        <v>1989</v>
      </c>
      <c r="C970" s="85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3" t="s">
        <v>1991</v>
      </c>
      <c r="C971" s="85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2">
        <v>971</v>
      </c>
      <c r="B972" s="83" t="s">
        <v>1993</v>
      </c>
      <c r="C972" s="85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3" t="s">
        <v>1995</v>
      </c>
      <c r="C973" s="85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2">
        <v>973</v>
      </c>
      <c r="B974" s="83" t="s">
        <v>1997</v>
      </c>
      <c r="C974" s="85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3" t="s">
        <v>1999</v>
      </c>
      <c r="C975" s="85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2">
        <v>975</v>
      </c>
      <c r="B976" s="83" t="s">
        <v>2001</v>
      </c>
      <c r="C976" s="85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3" t="s">
        <v>2002</v>
      </c>
      <c r="C977" s="85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82">
        <v>977</v>
      </c>
      <c r="B978" s="83" t="s">
        <v>2004</v>
      </c>
      <c r="C978" s="85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3" t="s">
        <v>2006</v>
      </c>
      <c r="C979" s="85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2">
        <v>979</v>
      </c>
      <c r="B980" s="83" t="s">
        <v>2008</v>
      </c>
      <c r="C980" s="85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3" t="s">
        <v>2010</v>
      </c>
      <c r="C981" s="85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2">
        <v>981</v>
      </c>
      <c r="B982" s="83" t="s">
        <v>2011</v>
      </c>
      <c r="C982" s="85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3" t="s">
        <v>2013</v>
      </c>
      <c r="C983" s="85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2">
        <v>983</v>
      </c>
      <c r="B984" s="83" t="s">
        <v>2015</v>
      </c>
      <c r="C984" s="85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3" t="s">
        <v>2017</v>
      </c>
      <c r="C985" s="85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2">
        <v>985</v>
      </c>
      <c r="B986" s="83" t="s">
        <v>2019</v>
      </c>
      <c r="C986" s="85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3" t="s">
        <v>2021</v>
      </c>
      <c r="C987" s="85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2">
        <v>987</v>
      </c>
      <c r="B988" s="83" t="s">
        <v>2023</v>
      </c>
      <c r="C988" s="85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3" t="s">
        <v>2025</v>
      </c>
      <c r="C989" s="85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2">
        <v>989</v>
      </c>
      <c r="B990" s="83" t="s">
        <v>2027</v>
      </c>
      <c r="C990" s="85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3" t="s">
        <v>2029</v>
      </c>
      <c r="C991" s="85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2">
        <v>991</v>
      </c>
      <c r="B992" s="83" t="s">
        <v>2031</v>
      </c>
      <c r="C992" s="85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3" t="s">
        <v>2033</v>
      </c>
      <c r="C993" s="85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82">
        <v>993</v>
      </c>
      <c r="B994" s="83" t="s">
        <v>2035</v>
      </c>
      <c r="C994" s="85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3" t="s">
        <v>2037</v>
      </c>
      <c r="C995" s="85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2">
        <v>995</v>
      </c>
      <c r="B996" s="83" t="s">
        <v>2039</v>
      </c>
      <c r="C996" s="85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3" t="s">
        <v>2041</v>
      </c>
      <c r="C997" s="85" t="s">
        <v>2042</v>
      </c>
      <c r="D997" s="47"/>
      <c r="E997" s="47"/>
      <c r="F997" s="48"/>
      <c r="G997" s="62" t="str">
        <f>IFERROR(INDEX(StockInData[Expiry],MATCH(ProductMaster[[#This Row],[Product ID]],StockInData[Product ID],0)),"")</f>
        <v/>
      </c>
      <c r="H997" s="47"/>
      <c r="I997" s="61">
        <f>SUMIFS(StockInData[Quantity],StockInData[Product ID],ProductMaster!$B997)-SUMIFS(StockOutData[Quantity],StockOutData[Product ID],ProductMaster!$B997)</f>
        <v>0</v>
      </c>
      <c r="J997" s="63">
        <f>SUMIFS(StockInData[Value],StockInData[Product ID],ProductMaster!$B997)-SUMIFS(StockOutData[Value],StockOutData[Product ID],ProductMaster!$B997)</f>
        <v>0</v>
      </c>
    </row>
    <row r="998" spans="1:10" hidden="1" x14ac:dyDescent="0.25">
      <c r="A998" s="82">
        <v>997</v>
      </c>
      <c r="B998" s="83" t="s">
        <v>2043</v>
      </c>
      <c r="C998" s="85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3" t="s">
        <v>2045</v>
      </c>
      <c r="C999" s="85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2">
        <v>999</v>
      </c>
      <c r="B1000" s="83" t="s">
        <v>2047</v>
      </c>
      <c r="C1000" s="85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3" t="s">
        <v>2049</v>
      </c>
      <c r="C1001" s="85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2">
        <v>1001</v>
      </c>
      <c r="B1002" s="83" t="s">
        <v>2051</v>
      </c>
      <c r="C1002" s="85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3" t="s">
        <v>2053</v>
      </c>
      <c r="C1003" s="85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82">
        <v>1003</v>
      </c>
      <c r="B1004" s="83" t="s">
        <v>2055</v>
      </c>
      <c r="C1004" s="85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3" t="s">
        <v>2057</v>
      </c>
      <c r="C1005" s="85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82">
        <v>1005</v>
      </c>
      <c r="B1006" s="83" t="s">
        <v>2059</v>
      </c>
      <c r="C1006" s="85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3" t="s">
        <v>2061</v>
      </c>
      <c r="C1007" s="85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2">
        <v>1007</v>
      </c>
      <c r="B1008" s="83" t="s">
        <v>2063</v>
      </c>
      <c r="C1008" s="85" t="s">
        <v>2064</v>
      </c>
      <c r="D1008" s="47"/>
      <c r="E1008" s="47"/>
      <c r="F1008" s="48"/>
      <c r="G1008" s="62" t="str">
        <f>IFERROR(INDEX(StockInData[Expiry],MATCH(ProductMaster[[#This Row],[Product ID]],StockInData[Product ID],0)),"")</f>
        <v/>
      </c>
      <c r="H1008" s="47"/>
      <c r="I1008" s="61">
        <f>SUMIFS(StockInData[Quantity],StockInData[Product ID],ProductMaster!$B1008)-SUMIFS(StockOutData[Quantity],StockOutData[Product ID],ProductMaster!$B1008)</f>
        <v>0</v>
      </c>
      <c r="J1008" s="63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3" t="s">
        <v>2065</v>
      </c>
      <c r="C1009" s="85" t="s">
        <v>2066</v>
      </c>
      <c r="D1009" s="47"/>
      <c r="E1009" s="47"/>
      <c r="F1009" s="48"/>
      <c r="G1009" s="62" t="str">
        <f>IFERROR(INDEX(StockInData[Expiry],MATCH(ProductMaster[[#This Row],[Product ID]],StockInData[Product ID],0)),"")</f>
        <v/>
      </c>
      <c r="H1009" s="47"/>
      <c r="I1009" s="61">
        <f>SUMIFS(StockInData[Quantity],StockInData[Product ID],ProductMaster!$B1009)-SUMIFS(StockOutData[Quantity],StockOutData[Product ID],ProductMaster!$B1009)</f>
        <v>0</v>
      </c>
      <c r="J1009" s="63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82">
        <v>1009</v>
      </c>
      <c r="B1010" s="83" t="s">
        <v>2067</v>
      </c>
      <c r="C1010" s="85" t="s">
        <v>2068</v>
      </c>
      <c r="D1010" s="47"/>
      <c r="E1010" s="47"/>
      <c r="F1010" s="48"/>
      <c r="G1010" s="62" t="str">
        <f>IFERROR(INDEX(StockInData[Expiry],MATCH(ProductMaster[[#This Row],[Product ID]],StockInData[Product ID],0)),"")</f>
        <v/>
      </c>
      <c r="H1010" s="47"/>
      <c r="I1010" s="61">
        <f>SUMIFS(StockInData[Quantity],StockInData[Product ID],ProductMaster!$B1010)-SUMIFS(StockOutData[Quantity],StockOutData[Product ID],ProductMaster!$B1010)</f>
        <v>0</v>
      </c>
      <c r="J1010" s="63">
        <f>SUMIFS(StockInData[Value],StockInData[Product ID],ProductMaster!$B1010)-SUMIFS(StockOutData[Value],StockOutData[Product ID],ProductMaster!$B1010)</f>
        <v>0</v>
      </c>
    </row>
    <row r="1011" spans="1:10" hidden="1" x14ac:dyDescent="0.25">
      <c r="A1011" s="60">
        <v>1010</v>
      </c>
      <c r="B1011" s="83" t="s">
        <v>2069</v>
      </c>
      <c r="C1011" s="85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82">
        <v>1011</v>
      </c>
      <c r="B1012" s="83" t="s">
        <v>2071</v>
      </c>
      <c r="C1012" s="85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0</v>
      </c>
      <c r="J1012" s="63">
        <f>SUMIFS(StockInData[Value],StockInData[Product ID],ProductMaster!$B1012)-SUMIFS(StockOutData[Value],StockOutData[Product ID],ProductMaster!$B1012)</f>
        <v>0</v>
      </c>
    </row>
    <row r="1013" spans="1:10" hidden="1" x14ac:dyDescent="0.25">
      <c r="A1013" s="60">
        <v>1012</v>
      </c>
      <c r="B1013" s="83" t="s">
        <v>2073</v>
      </c>
      <c r="C1013" s="85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82">
        <v>1013</v>
      </c>
      <c r="B1014" s="83" t="s">
        <v>2075</v>
      </c>
      <c r="C1014" s="85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0</v>
      </c>
      <c r="J1014" s="63">
        <f>SUMIFS(StockInData[Value],StockInData[Product ID],ProductMaster!$B1014)-SUMIFS(StockOutData[Value],StockOutData[Product ID],ProductMaster!$B1014)</f>
        <v>0</v>
      </c>
    </row>
    <row r="1015" spans="1:10" hidden="1" x14ac:dyDescent="0.25">
      <c r="A1015" s="60">
        <v>1014</v>
      </c>
      <c r="B1015" s="83" t="s">
        <v>2077</v>
      </c>
      <c r="C1015" s="85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2">
        <v>1015</v>
      </c>
      <c r="B1016" s="83" t="s">
        <v>2079</v>
      </c>
      <c r="C1016" s="85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3" t="s">
        <v>2081</v>
      </c>
      <c r="C1017" s="85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2">
        <v>1017</v>
      </c>
      <c r="B1018" s="83" t="s">
        <v>2083</v>
      </c>
      <c r="C1018" s="85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3" t="s">
        <v>2085</v>
      </c>
      <c r="C1019" s="85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82">
        <v>1019</v>
      </c>
      <c r="B1020" s="83" t="s">
        <v>2087</v>
      </c>
      <c r="C1020" s="85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3" t="s">
        <v>2089</v>
      </c>
      <c r="C1021" s="85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2">
        <v>1021</v>
      </c>
      <c r="B1022" s="83" t="s">
        <v>2091</v>
      </c>
      <c r="C1022" s="85" t="s">
        <v>2092</v>
      </c>
      <c r="D1022" s="47"/>
      <c r="E1022" s="47"/>
      <c r="F1022" s="48"/>
      <c r="G1022" s="62" t="str">
        <f>IFERROR(INDEX(StockInData[Expiry],MATCH(ProductMaster[[#This Row],[Product ID]],StockInData[Product ID],0)),"")</f>
        <v/>
      </c>
      <c r="H1022" s="47"/>
      <c r="I1022" s="61">
        <f>SUMIFS(StockInData[Quantity],StockInData[Product ID],ProductMaster!$B1022)-SUMIFS(StockOutData[Quantity],StockOutData[Product ID],ProductMaster!$B1022)</f>
        <v>0</v>
      </c>
      <c r="J1022" s="63">
        <f>SUMIFS(StockInData[Value],StockInData[Product ID],ProductMaster!$B1022)-SUMIFS(StockOutData[Value],StockOutData[Product ID],ProductMaster!$B1022)</f>
        <v>0</v>
      </c>
    </row>
    <row r="1023" spans="1:10" hidden="1" x14ac:dyDescent="0.25">
      <c r="A1023" s="60">
        <v>1022</v>
      </c>
      <c r="B1023" s="83" t="s">
        <v>2093</v>
      </c>
      <c r="C1023" s="85" t="s">
        <v>2094</v>
      </c>
      <c r="D1023" s="47"/>
      <c r="E1023" s="47"/>
      <c r="F1023" s="48"/>
      <c r="G1023" s="62" t="str">
        <f>IFERROR(INDEX(StockInData[Expiry],MATCH(ProductMaster[[#This Row],[Product ID]],StockInData[Product ID],0)),"")</f>
        <v/>
      </c>
      <c r="H1023" s="47"/>
      <c r="I1023" s="61">
        <f>SUMIFS(StockInData[Quantity],StockInData[Product ID],ProductMaster!$B1023)-SUMIFS(StockOutData[Quantity],StockOutData[Product ID],ProductMaster!$B1023)</f>
        <v>0</v>
      </c>
      <c r="J1023" s="63">
        <f>SUMIFS(StockInData[Value],StockInData[Product ID],ProductMaster!$B1023)-SUMIFS(StockOutData[Value],StockOutData[Product ID],ProductMaster!$B1023)</f>
        <v>0</v>
      </c>
    </row>
    <row r="1024" spans="1:10" hidden="1" x14ac:dyDescent="0.25">
      <c r="A1024" s="82">
        <v>1023</v>
      </c>
      <c r="B1024" s="83" t="s">
        <v>2095</v>
      </c>
      <c r="C1024" s="85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3" t="s">
        <v>2097</v>
      </c>
      <c r="C1025" s="85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2">
        <v>1025</v>
      </c>
      <c r="B1026" s="83" t="s">
        <v>2099</v>
      </c>
      <c r="C1026" s="85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3" t="s">
        <v>2101</v>
      </c>
      <c r="C1027" s="85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82">
        <v>1027</v>
      </c>
      <c r="B1028" s="83" t="s">
        <v>2103</v>
      </c>
      <c r="C1028" s="85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3" t="s">
        <v>2105</v>
      </c>
      <c r="C1029" s="85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2">
        <v>1029</v>
      </c>
      <c r="B1030" s="83" t="s">
        <v>2107</v>
      </c>
      <c r="C1030" s="85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3" t="s">
        <v>2109</v>
      </c>
      <c r="C1031" s="85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2">
        <v>1031</v>
      </c>
      <c r="B1032" s="83" t="s">
        <v>2111</v>
      </c>
      <c r="C1032" s="85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3" t="s">
        <v>2113</v>
      </c>
      <c r="C1033" s="85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82">
        <v>1033</v>
      </c>
      <c r="B1034" s="83" t="s">
        <v>2115</v>
      </c>
      <c r="C1034" s="85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3" t="s">
        <v>2117</v>
      </c>
      <c r="C1035" s="85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2">
        <v>1035</v>
      </c>
      <c r="B1036" s="83" t="s">
        <v>2119</v>
      </c>
      <c r="C1036" s="85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3" t="s">
        <v>2121</v>
      </c>
      <c r="C1037" s="85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2">
        <v>1037</v>
      </c>
      <c r="B1038" s="83" t="s">
        <v>2123</v>
      </c>
      <c r="C1038" s="85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3" t="s">
        <v>2125</v>
      </c>
      <c r="C1039" s="85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0</v>
      </c>
      <c r="J1039" s="63">
        <f>SUMIFS(StockInData[Value],StockInData[Product ID],ProductMaster!$B1039)-SUMIFS(StockOutData[Value],StockOutData[Product ID],ProductMaster!$B1039)</f>
        <v>0</v>
      </c>
    </row>
    <row r="1040" spans="1:10" hidden="1" x14ac:dyDescent="0.25">
      <c r="A1040" s="82">
        <v>1039</v>
      </c>
      <c r="B1040" s="83" t="s">
        <v>2127</v>
      </c>
      <c r="C1040" s="85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3" t="s">
        <v>2129</v>
      </c>
      <c r="C1041" s="85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2">
        <v>1041</v>
      </c>
      <c r="B1042" s="83" t="s">
        <v>2131</v>
      </c>
      <c r="C1042" s="85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3" t="s">
        <v>2133</v>
      </c>
      <c r="C1043" s="85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2">
        <v>1043</v>
      </c>
      <c r="B1044" s="83" t="s">
        <v>2135</v>
      </c>
      <c r="C1044" s="85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3" t="s">
        <v>2137</v>
      </c>
      <c r="C1045" s="85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82">
        <v>1045</v>
      </c>
      <c r="B1046" s="83" t="s">
        <v>2139</v>
      </c>
      <c r="C1046" s="85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3" t="s">
        <v>2141</v>
      </c>
      <c r="C1047" s="85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2">
        <v>1047</v>
      </c>
      <c r="B1048" s="83" t="s">
        <v>2143</v>
      </c>
      <c r="C1048" s="85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3" t="s">
        <v>2145</v>
      </c>
      <c r="C1049" s="85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2">
        <v>1049</v>
      </c>
      <c r="B1050" s="83" t="s">
        <v>2147</v>
      </c>
      <c r="C1050" s="85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3" t="s">
        <v>2149</v>
      </c>
      <c r="C1051" s="85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2">
        <v>1051</v>
      </c>
      <c r="B1052" s="83" t="s">
        <v>2151</v>
      </c>
      <c r="C1052" s="85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3" t="s">
        <v>2153</v>
      </c>
      <c r="C1053" s="85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82">
        <v>1053</v>
      </c>
      <c r="B1054" s="83" t="s">
        <v>2155</v>
      </c>
      <c r="C1054" s="85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3" t="s">
        <v>2157</v>
      </c>
      <c r="C1055" s="85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2">
        <v>1055</v>
      </c>
      <c r="B1056" s="83" t="s">
        <v>2159</v>
      </c>
      <c r="C1056" s="85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3" t="s">
        <v>2161</v>
      </c>
      <c r="C1057" s="85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2">
        <v>1057</v>
      </c>
      <c r="B1058" s="83" t="s">
        <v>2163</v>
      </c>
      <c r="C1058" s="85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3" t="s">
        <v>2165</v>
      </c>
      <c r="C1059" s="85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82">
        <v>1059</v>
      </c>
      <c r="B1060" s="83" t="s">
        <v>2167</v>
      </c>
      <c r="C1060" s="85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3" t="s">
        <v>2169</v>
      </c>
      <c r="C1061" s="85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2">
        <v>1061</v>
      </c>
      <c r="B1062" s="83" t="s">
        <v>2171</v>
      </c>
      <c r="C1062" s="85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3" t="s">
        <v>2173</v>
      </c>
      <c r="C1063" s="85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2">
        <v>1063</v>
      </c>
      <c r="B1064" s="83" t="s">
        <v>2175</v>
      </c>
      <c r="C1064" s="85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3" t="s">
        <v>2177</v>
      </c>
      <c r="C1065" s="85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2">
        <v>1065</v>
      </c>
      <c r="B1066" s="83" t="s">
        <v>2179</v>
      </c>
      <c r="C1066" s="85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3" t="s">
        <v>2181</v>
      </c>
      <c r="C1067" s="85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2">
        <v>1067</v>
      </c>
      <c r="B1068" s="83" t="s">
        <v>2183</v>
      </c>
      <c r="C1068" s="85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3" t="s">
        <v>2185</v>
      </c>
      <c r="C1069" s="85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2">
        <v>1069</v>
      </c>
      <c r="B1070" s="83" t="s">
        <v>2187</v>
      </c>
      <c r="C1070" s="85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3" t="s">
        <v>2189</v>
      </c>
      <c r="C1071" s="85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2">
        <v>1071</v>
      </c>
      <c r="B1072" s="83" t="s">
        <v>2191</v>
      </c>
      <c r="C1072" s="85" t="s">
        <v>2192</v>
      </c>
      <c r="D1072" s="47"/>
      <c r="E1072" s="47"/>
      <c r="F1072" s="48"/>
      <c r="G1072" s="62" t="str">
        <f>IFERROR(INDEX(StockInData[Expiry],MATCH(ProductMaster[[#This Row],[Product ID]],StockInData[Product ID],0)),"")</f>
        <v/>
      </c>
      <c r="H1072" s="47"/>
      <c r="I1072" s="61">
        <f>SUMIFS(StockInData[Quantity],StockInData[Product ID],ProductMaster!$B1072)-SUMIFS(StockOutData[Quantity],StockOutData[Product ID],ProductMaster!$B1072)</f>
        <v>0</v>
      </c>
      <c r="J1072" s="63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3" t="s">
        <v>2193</v>
      </c>
      <c r="C1073" s="85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0</v>
      </c>
      <c r="J1073" s="63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82">
        <v>1073</v>
      </c>
      <c r="B1074" s="83" t="s">
        <v>2195</v>
      </c>
      <c r="C1074" s="85" t="s">
        <v>2196</v>
      </c>
      <c r="D1074" s="47"/>
      <c r="E1074" s="47"/>
      <c r="F1074" s="48"/>
      <c r="G1074" s="62" t="str">
        <f>IFERROR(INDEX(StockInData[Expiry],MATCH(ProductMaster[[#This Row],[Product ID]],StockInData[Product ID],0)),"")</f>
        <v/>
      </c>
      <c r="H1074" s="47"/>
      <c r="I1074" s="61">
        <f>SUMIFS(StockInData[Quantity],StockInData[Product ID],ProductMaster!$B1074)-SUMIFS(StockOutData[Quantity],StockOutData[Product ID],ProductMaster!$B1074)</f>
        <v>0</v>
      </c>
      <c r="J1074" s="63">
        <f>SUMIFS(StockInData[Value],StockInData[Product ID],ProductMaster!$B1074)-SUMIFS(StockOutData[Value],StockOutData[Product ID],ProductMaster!$B1074)</f>
        <v>0</v>
      </c>
    </row>
    <row r="1075" spans="1:10" hidden="1" x14ac:dyDescent="0.25">
      <c r="A1075" s="60">
        <v>1074</v>
      </c>
      <c r="B1075" s="83" t="s">
        <v>2197</v>
      </c>
      <c r="C1075" s="85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82">
        <v>1075</v>
      </c>
      <c r="B1076" s="83" t="s">
        <v>2199</v>
      </c>
      <c r="C1076" s="85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3" t="s">
        <v>2201</v>
      </c>
      <c r="C1077" s="85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82">
        <v>1077</v>
      </c>
      <c r="B1078" s="83" t="s">
        <v>2203</v>
      </c>
      <c r="C1078" s="85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3" t="s">
        <v>2205</v>
      </c>
      <c r="C1079" s="85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82">
        <v>1079</v>
      </c>
      <c r="B1080" s="83" t="s">
        <v>2207</v>
      </c>
      <c r="C1080" s="85" t="s">
        <v>2208</v>
      </c>
      <c r="D1080" s="47"/>
      <c r="E1080" s="47"/>
      <c r="F1080" s="48"/>
      <c r="G1080" s="62" t="str">
        <f>IFERROR(INDEX(StockInData[Expiry],MATCH(ProductMaster[[#This Row],[Product ID]],StockInData[Product ID],0)),"")</f>
        <v/>
      </c>
      <c r="H1080" s="47"/>
      <c r="I1080" s="61">
        <f>SUMIFS(StockInData[Quantity],StockInData[Product ID],ProductMaster!$B1080)-SUMIFS(StockOutData[Quantity],StockOutData[Product ID],ProductMaster!$B1080)</f>
        <v>0</v>
      </c>
      <c r="J1080" s="63">
        <f>SUMIFS(StockInData[Value],StockInData[Product ID],ProductMaster!$B1080)-SUMIFS(StockOutData[Value],StockOutData[Product ID],ProductMaster!$B1080)</f>
        <v>0</v>
      </c>
    </row>
    <row r="1081" spans="1:10" hidden="1" x14ac:dyDescent="0.25">
      <c r="A1081" s="60">
        <v>1080</v>
      </c>
      <c r="B1081" s="83" t="s">
        <v>2209</v>
      </c>
      <c r="C1081" s="85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2">
        <v>1081</v>
      </c>
      <c r="B1082" s="83" t="s">
        <v>2211</v>
      </c>
      <c r="C1082" s="85" t="s">
        <v>2212</v>
      </c>
      <c r="D1082" s="47"/>
      <c r="E1082" s="47"/>
      <c r="F1082" s="48"/>
      <c r="G1082" s="62" t="str">
        <f>IFERROR(INDEX(StockInData[Expiry],MATCH(ProductMaster[[#This Row],[Product ID]],StockInData[Product ID],0)),"")</f>
        <v/>
      </c>
      <c r="H1082" s="47"/>
      <c r="I1082" s="61">
        <f>SUMIFS(StockInData[Quantity],StockInData[Product ID],ProductMaster!$B1082)-SUMIFS(StockOutData[Quantity],StockOutData[Product ID],ProductMaster!$B1082)</f>
        <v>0</v>
      </c>
      <c r="J1082" s="63">
        <f>SUMIFS(StockInData[Value],StockInData[Product ID],ProductMaster!$B1082)-SUMIFS(StockOutData[Value],StockOutData[Product ID],ProductMaster!$B1082)</f>
        <v>0</v>
      </c>
    </row>
    <row r="1083" spans="1:10" hidden="1" x14ac:dyDescent="0.25">
      <c r="A1083" s="60">
        <v>1082</v>
      </c>
      <c r="B1083" s="83" t="s">
        <v>2213</v>
      </c>
      <c r="C1083" s="85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2">
        <v>1083</v>
      </c>
      <c r="B1084" s="83" t="s">
        <v>2215</v>
      </c>
      <c r="C1084" s="85" t="s">
        <v>2216</v>
      </c>
      <c r="D1084" s="47"/>
      <c r="E1084" s="47"/>
      <c r="F1084" s="48"/>
      <c r="G1084" s="62" t="str">
        <f>IFERROR(INDEX(StockInData[Expiry],MATCH(ProductMaster[[#This Row],[Product ID]],StockInData[Product ID],0)),"")</f>
        <v/>
      </c>
      <c r="H1084" s="47"/>
      <c r="I1084" s="61">
        <f>SUMIFS(StockInData[Quantity],StockInData[Product ID],ProductMaster!$B1084)-SUMIFS(StockOutData[Quantity],StockOutData[Product ID],ProductMaster!$B1084)</f>
        <v>0</v>
      </c>
      <c r="J1084" s="63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3" t="s">
        <v>2217</v>
      </c>
      <c r="C1085" s="85" t="s">
        <v>2218</v>
      </c>
      <c r="D1085" s="47"/>
      <c r="E1085" s="47"/>
      <c r="F1085" s="48"/>
      <c r="G1085" s="62" t="str">
        <f>IFERROR(INDEX(StockInData[Expiry],MATCH(ProductMaster[[#This Row],[Product ID]],StockInData[Product ID],0)),"")</f>
        <v/>
      </c>
      <c r="H1085" s="47"/>
      <c r="I1085" s="61">
        <f>SUMIFS(StockInData[Quantity],StockInData[Product ID],ProductMaster!$B1085)-SUMIFS(StockOutData[Quantity],StockOutData[Product ID],ProductMaster!$B1085)</f>
        <v>0</v>
      </c>
      <c r="J1085" s="63">
        <f>SUMIFS(StockInData[Value],StockInData[Product ID],ProductMaster!$B1085)-SUMIFS(StockOutData[Value],StockOutData[Product ID],ProductMaster!$B1085)</f>
        <v>0</v>
      </c>
    </row>
    <row r="1086" spans="1:10" hidden="1" x14ac:dyDescent="0.25">
      <c r="A1086" s="82">
        <v>1085</v>
      </c>
      <c r="B1086" s="83" t="s">
        <v>2219</v>
      </c>
      <c r="C1086" s="85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3" t="s">
        <v>2221</v>
      </c>
      <c r="C1087" s="85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2">
        <v>1087</v>
      </c>
      <c r="B1088" s="83" t="s">
        <v>2223</v>
      </c>
      <c r="C1088" s="85" t="s">
        <v>2224</v>
      </c>
      <c r="D1088" s="47"/>
      <c r="E1088" s="47"/>
      <c r="F1088" s="48"/>
      <c r="G1088" s="62" t="str">
        <f>IFERROR(INDEX(StockInData[Expiry],MATCH(ProductMaster[[#This Row],[Product ID]],StockInData[Product ID],0)),"")</f>
        <v/>
      </c>
      <c r="H1088" s="47"/>
      <c r="I1088" s="61">
        <f>SUMIFS(StockInData[Quantity],StockInData[Product ID],ProductMaster!$B1088)-SUMIFS(StockOutData[Quantity],StockOutData[Product ID],ProductMaster!$B1088)</f>
        <v>0</v>
      </c>
      <c r="J1088" s="63">
        <f>SUMIFS(StockInData[Value],StockInData[Product ID],ProductMaster!$B1088)-SUMIFS(StockOutData[Value],StockOutData[Product ID],ProductMaster!$B1088)</f>
        <v>0</v>
      </c>
    </row>
    <row r="1089" spans="1:10" hidden="1" x14ac:dyDescent="0.25">
      <c r="A1089" s="60">
        <v>1088</v>
      </c>
      <c r="B1089" s="83" t="s">
        <v>2225</v>
      </c>
      <c r="C1089" s="85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2">
        <v>1089</v>
      </c>
      <c r="B1090" s="83" t="s">
        <v>2227</v>
      </c>
      <c r="C1090" s="85" t="s">
        <v>2228</v>
      </c>
      <c r="D1090" s="47"/>
      <c r="E1090" s="47"/>
      <c r="F1090" s="48"/>
      <c r="G1090" s="62" t="str">
        <f>IFERROR(INDEX(StockInData[Expiry],MATCH(ProductMaster[[#This Row],[Product ID]],StockInData[Product ID],0)),"")</f>
        <v/>
      </c>
      <c r="H1090" s="47"/>
      <c r="I1090" s="61">
        <f>SUMIFS(StockInData[Quantity],StockInData[Product ID],ProductMaster!$B1090)-SUMIFS(StockOutData[Quantity],StockOutData[Product ID],ProductMaster!$B1090)</f>
        <v>0</v>
      </c>
      <c r="J1090" s="63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3" t="s">
        <v>2229</v>
      </c>
      <c r="C1091" s="85" t="s">
        <v>2230</v>
      </c>
      <c r="D1091" s="47"/>
      <c r="E1091" s="47"/>
      <c r="F1091" s="48"/>
      <c r="G1091" s="62" t="str">
        <f>IFERROR(INDEX(StockInData[Expiry],MATCH(ProductMaster[[#This Row],[Product ID]],StockInData[Product ID],0)),"")</f>
        <v/>
      </c>
      <c r="H1091" s="47"/>
      <c r="I1091" s="61">
        <f>SUMIFS(StockInData[Quantity],StockInData[Product ID],ProductMaster!$B1091)-SUMIFS(StockOutData[Quantity],StockOutData[Product ID],ProductMaster!$B1091)</f>
        <v>0</v>
      </c>
      <c r="J1091" s="63">
        <f>SUMIFS(StockInData[Value],StockInData[Product ID],ProductMaster!$B1091)-SUMIFS(StockOutData[Value],StockOutData[Product ID],ProductMaster!$B1091)</f>
        <v>0</v>
      </c>
    </row>
    <row r="1092" spans="1:10" hidden="1" x14ac:dyDescent="0.25">
      <c r="A1092" s="82">
        <v>1091</v>
      </c>
      <c r="B1092" s="83" t="s">
        <v>2231</v>
      </c>
      <c r="C1092" s="85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3" t="s">
        <v>2233</v>
      </c>
      <c r="C1093" s="85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2">
        <v>1093</v>
      </c>
      <c r="B1094" s="83" t="s">
        <v>2235</v>
      </c>
      <c r="C1094" s="85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3" t="s">
        <v>2237</v>
      </c>
      <c r="C1095" s="85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2">
        <v>1095</v>
      </c>
      <c r="B1096" s="83" t="s">
        <v>2239</v>
      </c>
      <c r="C1096" s="85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3" t="s">
        <v>2241</v>
      </c>
      <c r="C1097" s="85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2">
        <v>1097</v>
      </c>
      <c r="B1098" s="83" t="s">
        <v>2243</v>
      </c>
      <c r="C1098" s="85" t="s">
        <v>2244</v>
      </c>
      <c r="D1098" s="47"/>
      <c r="E1098" s="47"/>
      <c r="F1098" s="48"/>
      <c r="G1098" s="62" t="str">
        <f>IFERROR(INDEX(StockInData[Expiry],MATCH(ProductMaster[[#This Row],[Product ID]],StockInData[Product ID],0)),"")</f>
        <v/>
      </c>
      <c r="H1098" s="47"/>
      <c r="I1098" s="61">
        <f>SUMIFS(StockInData[Quantity],StockInData[Product ID],ProductMaster!$B1098)-SUMIFS(StockOutData[Quantity],StockOutData[Product ID],ProductMaster!$B1098)</f>
        <v>0</v>
      </c>
      <c r="J1098" s="63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3" t="s">
        <v>2245</v>
      </c>
      <c r="C1099" s="85" t="s">
        <v>2246</v>
      </c>
      <c r="D1099" s="47"/>
      <c r="E1099" s="47"/>
      <c r="F1099" s="48"/>
      <c r="G1099" s="62" t="str">
        <f>IFERROR(INDEX(StockInData[Expiry],MATCH(ProductMaster[[#This Row],[Product ID]],StockInData[Product ID],0)),"")</f>
        <v/>
      </c>
      <c r="H1099" s="47"/>
      <c r="I1099" s="61">
        <f>SUMIFS(StockInData[Quantity],StockInData[Product ID],ProductMaster!$B1099)-SUMIFS(StockOutData[Quantity],StockOutData[Product ID],ProductMaster!$B1099)</f>
        <v>0</v>
      </c>
      <c r="J1099" s="63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82">
        <v>1099</v>
      </c>
      <c r="B1100" s="83" t="s">
        <v>2247</v>
      </c>
      <c r="C1100" s="85" t="s">
        <v>2248</v>
      </c>
      <c r="D1100" s="47"/>
      <c r="E1100" s="47"/>
      <c r="F1100" s="48"/>
      <c r="G1100" s="62" t="str">
        <f>IFERROR(INDEX(StockInData[Expiry],MATCH(ProductMaster[[#This Row],[Product ID]],StockInData[Product ID],0)),"")</f>
        <v/>
      </c>
      <c r="H1100" s="47"/>
      <c r="I1100" s="61">
        <f>SUMIFS(StockInData[Quantity],StockInData[Product ID],ProductMaster!$B1100)-SUMIFS(StockOutData[Quantity],StockOutData[Product ID],ProductMaster!$B1100)</f>
        <v>0</v>
      </c>
      <c r="J1100" s="63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3" t="s">
        <v>2249</v>
      </c>
      <c r="C1101" s="85" t="s">
        <v>2250</v>
      </c>
      <c r="D1101" s="47"/>
      <c r="E1101" s="47"/>
      <c r="F1101" s="48"/>
      <c r="G1101" s="62" t="str">
        <f>IFERROR(INDEX(StockInData[Expiry],MATCH(ProductMaster[[#This Row],[Product ID]],StockInData[Product ID],0)),"")</f>
        <v/>
      </c>
      <c r="H1101" s="47"/>
      <c r="I1101" s="61">
        <f>SUMIFS(StockInData[Quantity],StockInData[Product ID],ProductMaster!$B1101)-SUMIFS(StockOutData[Quantity],StockOutData[Product ID],ProductMaster!$B1101)</f>
        <v>0</v>
      </c>
      <c r="J1101" s="63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82">
        <v>1101</v>
      </c>
      <c r="B1102" s="83" t="s">
        <v>2251</v>
      </c>
      <c r="C1102" s="85" t="s">
        <v>2252</v>
      </c>
      <c r="D1102" s="47"/>
      <c r="E1102" s="47"/>
      <c r="F1102" s="48"/>
      <c r="G1102" s="62" t="str">
        <f>IFERROR(INDEX(StockInData[Expiry],MATCH(ProductMaster[[#This Row],[Product ID]],StockInData[Product ID],0)),"")</f>
        <v/>
      </c>
      <c r="H1102" s="47"/>
      <c r="I1102" s="61">
        <f>SUMIFS(StockInData[Quantity],StockInData[Product ID],ProductMaster!$B1102)-SUMIFS(StockOutData[Quantity],StockOutData[Product ID],ProductMaster!$B1102)</f>
        <v>0</v>
      </c>
      <c r="J1102" s="63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3" t="s">
        <v>2253</v>
      </c>
      <c r="C1103" s="85" t="s">
        <v>2254</v>
      </c>
      <c r="D1103" s="47"/>
      <c r="E1103" s="47"/>
      <c r="F1103" s="48"/>
      <c r="G1103" s="62" t="str">
        <f>IFERROR(INDEX(StockInData[Expiry],MATCH(ProductMaster[[#This Row],[Product ID]],StockInData[Product ID],0)),"")</f>
        <v/>
      </c>
      <c r="H1103" s="47"/>
      <c r="I1103" s="61">
        <f>SUMIFS(StockInData[Quantity],StockInData[Product ID],ProductMaster!$B1103)-SUMIFS(StockOutData[Quantity],StockOutData[Product ID],ProductMaster!$B1103)</f>
        <v>0</v>
      </c>
      <c r="J1103" s="63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82">
        <v>1103</v>
      </c>
      <c r="B1104" s="83" t="s">
        <v>2255</v>
      </c>
      <c r="C1104" s="85" t="s">
        <v>2256</v>
      </c>
      <c r="D1104" s="47"/>
      <c r="E1104" s="47"/>
      <c r="F1104" s="48"/>
      <c r="G1104" s="62" t="str">
        <f>IFERROR(INDEX(StockInData[Expiry],MATCH(ProductMaster[[#This Row],[Product ID]],StockInData[Product ID],0)),"")</f>
        <v/>
      </c>
      <c r="H1104" s="47"/>
      <c r="I1104" s="61">
        <f>SUMIFS(StockInData[Quantity],StockInData[Product ID],ProductMaster!$B1104)-SUMIFS(StockOutData[Quantity],StockOutData[Product ID],ProductMaster!$B1104)</f>
        <v>0</v>
      </c>
      <c r="J1104" s="63">
        <f>SUMIFS(StockInData[Value],StockInData[Product ID],ProductMaster!$B1104)-SUMIFS(StockOutData[Value],StockOutData[Product ID],ProductMaster!$B1104)</f>
        <v>0</v>
      </c>
    </row>
    <row r="1105" spans="1:10" hidden="1" x14ac:dyDescent="0.25">
      <c r="A1105" s="60">
        <v>1104</v>
      </c>
      <c r="B1105" s="83" t="s">
        <v>2257</v>
      </c>
      <c r="C1105" s="85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2">
        <v>1105</v>
      </c>
      <c r="B1106" s="83" t="s">
        <v>2259</v>
      </c>
      <c r="C1106" s="85" t="s">
        <v>2260</v>
      </c>
      <c r="D1106" s="47"/>
      <c r="E1106" s="47"/>
      <c r="F1106" s="48"/>
      <c r="G1106" s="62" t="str">
        <f>IFERROR(INDEX(StockInData[Expiry],MATCH(ProductMaster[[#This Row],[Product ID]],StockInData[Product ID],0)),"")</f>
        <v/>
      </c>
      <c r="H1106" s="47"/>
      <c r="I1106" s="61">
        <f>SUMIFS(StockInData[Quantity],StockInData[Product ID],ProductMaster!$B1106)-SUMIFS(StockOutData[Quantity],StockOutData[Product ID],ProductMaster!$B1106)</f>
        <v>0</v>
      </c>
      <c r="J1106" s="63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3" t="s">
        <v>2261</v>
      </c>
      <c r="C1107" s="85" t="s">
        <v>2262</v>
      </c>
      <c r="D1107" s="47"/>
      <c r="E1107" s="47"/>
      <c r="F1107" s="48"/>
      <c r="G1107" s="62" t="str">
        <f>IFERROR(INDEX(StockInData[Expiry],MATCH(ProductMaster[[#This Row],[Product ID]],StockInData[Product ID],0)),"")</f>
        <v/>
      </c>
      <c r="H1107" s="47"/>
      <c r="I1107" s="61">
        <f>SUMIFS(StockInData[Quantity],StockInData[Product ID],ProductMaster!$B1107)-SUMIFS(StockOutData[Quantity],StockOutData[Product ID],ProductMaster!$B1107)</f>
        <v>0</v>
      </c>
      <c r="J1107" s="63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82">
        <v>1107</v>
      </c>
      <c r="B1108" s="83" t="s">
        <v>2263</v>
      </c>
      <c r="C1108" s="85" t="s">
        <v>2264</v>
      </c>
      <c r="D1108" s="47"/>
      <c r="E1108" s="47"/>
      <c r="F1108" s="48"/>
      <c r="G1108" s="62" t="str">
        <f>IFERROR(INDEX(StockInData[Expiry],MATCH(ProductMaster[[#This Row],[Product ID]],StockInData[Product ID],0)),"")</f>
        <v/>
      </c>
      <c r="H1108" s="47"/>
      <c r="I1108" s="61">
        <f>SUMIFS(StockInData[Quantity],StockInData[Product ID],ProductMaster!$B1108)-SUMIFS(StockOutData[Quantity],StockOutData[Product ID],ProductMaster!$B1108)</f>
        <v>0</v>
      </c>
      <c r="J1108" s="63">
        <f>SUMIFS(StockInData[Value],StockInData[Product ID],ProductMaster!$B1108)-SUMIFS(StockOutData[Value],StockOutData[Product ID],ProductMaster!$B1108)</f>
        <v>0</v>
      </c>
    </row>
    <row r="1109" spans="1:10" hidden="1" x14ac:dyDescent="0.25">
      <c r="A1109" s="60">
        <v>1108</v>
      </c>
      <c r="B1109" s="83" t="s">
        <v>2265</v>
      </c>
      <c r="C1109" s="85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2">
        <v>1109</v>
      </c>
      <c r="B1110" s="83" t="s">
        <v>2267</v>
      </c>
      <c r="C1110" s="85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3" t="s">
        <v>2269</v>
      </c>
      <c r="C1111" s="85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82">
        <v>1111</v>
      </c>
      <c r="B1112" s="83" t="s">
        <v>2271</v>
      </c>
      <c r="C1112" s="85" t="s">
        <v>2272</v>
      </c>
      <c r="D1112" s="47"/>
      <c r="E1112" s="47"/>
      <c r="F1112" s="48"/>
      <c r="G1112" s="62" t="str">
        <f>IFERROR(INDEX(StockInData[Expiry],MATCH(ProductMaster[[#This Row],[Product ID]],StockInData[Product ID],0)),"")</f>
        <v/>
      </c>
      <c r="H1112" s="47"/>
      <c r="I1112" s="61">
        <f>SUMIFS(StockInData[Quantity],StockInData[Product ID],ProductMaster!$B1112)-SUMIFS(StockOutData[Quantity],StockOutData[Product ID],ProductMaster!$B1112)</f>
        <v>0</v>
      </c>
      <c r="J1112" s="63">
        <f>SUMIFS(StockInData[Value],StockInData[Product ID],ProductMaster!$B1112)-SUMIFS(StockOutData[Value],StockOutData[Product ID],ProductMaster!$B1112)</f>
        <v>0</v>
      </c>
    </row>
    <row r="1113" spans="1:10" hidden="1" x14ac:dyDescent="0.25">
      <c r="A1113" s="60">
        <v>1112</v>
      </c>
      <c r="B1113" s="83" t="s">
        <v>2273</v>
      </c>
      <c r="C1113" s="85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2">
        <v>1113</v>
      </c>
      <c r="B1114" s="83" t="s">
        <v>2275</v>
      </c>
      <c r="C1114" s="85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3" t="s">
        <v>2277</v>
      </c>
      <c r="C1115" s="85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2">
        <v>1115</v>
      </c>
      <c r="B1116" s="83" t="s">
        <v>2279</v>
      </c>
      <c r="C1116" s="85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3" t="s">
        <v>2281</v>
      </c>
      <c r="C1117" s="85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2">
        <v>1117</v>
      </c>
      <c r="B1118" s="83" t="s">
        <v>2283</v>
      </c>
      <c r="C1118" s="85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3" t="s">
        <v>2285</v>
      </c>
      <c r="C1119" s="85" t="s">
        <v>2286</v>
      </c>
      <c r="D1119" s="47"/>
      <c r="E1119" s="47"/>
      <c r="F1119" s="48"/>
      <c r="G1119" s="62" t="str">
        <f>IFERROR(INDEX(StockInData[Expiry],MATCH(ProductMaster[[#This Row],[Product ID]],StockInData[Product ID],0)),"")</f>
        <v/>
      </c>
      <c r="H1119" s="47"/>
      <c r="I1119" s="61">
        <f>SUMIFS(StockInData[Quantity],StockInData[Product ID],ProductMaster!$B1119)-SUMIFS(StockOutData[Quantity],StockOutData[Product ID],ProductMaster!$B1119)</f>
        <v>0</v>
      </c>
      <c r="J1119" s="63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82">
        <v>1119</v>
      </c>
      <c r="B1120" s="83" t="s">
        <v>2287</v>
      </c>
      <c r="C1120" s="85" t="s">
        <v>2288</v>
      </c>
      <c r="D1120" s="47"/>
      <c r="E1120" s="47"/>
      <c r="F1120" s="48"/>
      <c r="G1120" s="62" t="str">
        <f>IFERROR(INDEX(StockInData[Expiry],MATCH(ProductMaster[[#This Row],[Product ID]],StockInData[Product ID],0)),"")</f>
        <v/>
      </c>
      <c r="H1120" s="47"/>
      <c r="I1120" s="61">
        <f>SUMIFS(StockInData[Quantity],StockInData[Product ID],ProductMaster!$B1120)-SUMIFS(StockOutData[Quantity],StockOutData[Product ID],ProductMaster!$B1120)</f>
        <v>0</v>
      </c>
      <c r="J1120" s="63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3" t="s">
        <v>2289</v>
      </c>
      <c r="C1121" s="85" t="s">
        <v>2290</v>
      </c>
      <c r="D1121" s="47"/>
      <c r="E1121" s="47"/>
      <c r="F1121" s="48"/>
      <c r="G1121" s="62" t="str">
        <f>IFERROR(INDEX(StockInData[Expiry],MATCH(ProductMaster[[#This Row],[Product ID]],StockInData[Product ID],0)),"")</f>
        <v/>
      </c>
      <c r="H1121" s="47"/>
      <c r="I1121" s="61">
        <f>SUMIFS(StockInData[Quantity],StockInData[Product ID],ProductMaster!$B1121)-SUMIFS(StockOutData[Quantity],StockOutData[Product ID],ProductMaster!$B1121)</f>
        <v>0</v>
      </c>
      <c r="J1121" s="63">
        <f>SUMIFS(StockInData[Value],StockInData[Product ID],ProductMaster!$B1121)-SUMIFS(StockOutData[Value],StockOutData[Product ID],ProductMaster!$B1121)</f>
        <v>0</v>
      </c>
    </row>
    <row r="1122" spans="1:10" hidden="1" x14ac:dyDescent="0.25">
      <c r="A1122" s="82">
        <v>1121</v>
      </c>
      <c r="B1122" s="83" t="s">
        <v>2291</v>
      </c>
      <c r="C1122" s="85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3" t="s">
        <v>2293</v>
      </c>
      <c r="C1123" s="85" t="s">
        <v>2294</v>
      </c>
      <c r="D1123" s="47"/>
      <c r="E1123" s="47"/>
      <c r="F1123" s="48"/>
      <c r="G1123" s="62" t="str">
        <f>IFERROR(INDEX(StockInData[Expiry],MATCH(ProductMaster[[#This Row],[Product ID]],StockInData[Product ID],0)),"")</f>
        <v/>
      </c>
      <c r="H1123" s="47"/>
      <c r="I1123" s="61">
        <f>SUMIFS(StockInData[Quantity],StockInData[Product ID],ProductMaster!$B1123)-SUMIFS(StockOutData[Quantity],StockOutData[Product ID],ProductMaster!$B1123)</f>
        <v>0</v>
      </c>
      <c r="J1123" s="63">
        <f>SUMIFS(StockInData[Value],StockInData[Product ID],ProductMaster!$B1123)-SUMIFS(StockOutData[Value],StockOutData[Product ID],ProductMaster!$B1123)</f>
        <v>0</v>
      </c>
    </row>
    <row r="1124" spans="1:10" hidden="1" x14ac:dyDescent="0.25">
      <c r="A1124" s="82">
        <v>1123</v>
      </c>
      <c r="B1124" s="83" t="s">
        <v>2295</v>
      </c>
      <c r="C1124" s="85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3" t="s">
        <v>2297</v>
      </c>
      <c r="C1125" s="85" t="s">
        <v>2298</v>
      </c>
      <c r="D1125" s="47"/>
      <c r="E1125" s="47"/>
      <c r="F1125" s="48"/>
      <c r="G1125" s="62" t="str">
        <f>IFERROR(INDEX(StockInData[Expiry],MATCH(ProductMaster[[#This Row],[Product ID]],StockInData[Product ID],0)),"")</f>
        <v/>
      </c>
      <c r="H1125" s="47"/>
      <c r="I1125" s="61">
        <f>SUMIFS(StockInData[Quantity],StockInData[Product ID],ProductMaster!$B1125)-SUMIFS(StockOutData[Quantity],StockOutData[Product ID],ProductMaster!$B1125)</f>
        <v>0</v>
      </c>
      <c r="J1125" s="63">
        <f>SUMIFS(StockInData[Value],StockInData[Product ID],ProductMaster!$B1125)-SUMIFS(StockOutData[Value],StockOutData[Product ID],ProductMaster!$B1125)</f>
        <v>0</v>
      </c>
    </row>
    <row r="1126" spans="1:10" hidden="1" x14ac:dyDescent="0.25">
      <c r="A1126" s="82">
        <v>1125</v>
      </c>
      <c r="B1126" s="83" t="s">
        <v>2299</v>
      </c>
      <c r="C1126" s="85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3" t="s">
        <v>2301</v>
      </c>
      <c r="C1127" s="85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2">
        <v>1127</v>
      </c>
      <c r="B1128" s="83" t="s">
        <v>2303</v>
      </c>
      <c r="C1128" s="85" t="s">
        <v>2304</v>
      </c>
      <c r="D1128" s="47"/>
      <c r="E1128" s="47"/>
      <c r="F1128" s="48"/>
      <c r="G1128" s="62" t="str">
        <f>IFERROR(INDEX(StockInData[Expiry],MATCH(ProductMaster[[#This Row],[Product ID]],StockInData[Product ID],0)),"")</f>
        <v/>
      </c>
      <c r="H1128" s="47"/>
      <c r="I1128" s="61">
        <f>SUMIFS(StockInData[Quantity],StockInData[Product ID],ProductMaster!$B1128)-SUMIFS(StockOutData[Quantity],StockOutData[Product ID],ProductMaster!$B1128)</f>
        <v>0</v>
      </c>
      <c r="J1128" s="63">
        <f>SUMIFS(StockInData[Value],StockInData[Product ID],ProductMaster!$B1128)-SUMIFS(StockOutData[Value],StockOutData[Product ID],ProductMaster!$B1128)</f>
        <v>0</v>
      </c>
    </row>
    <row r="1129" spans="1:10" hidden="1" x14ac:dyDescent="0.25">
      <c r="A1129" s="60">
        <v>1128</v>
      </c>
      <c r="B1129" s="83" t="s">
        <v>2305</v>
      </c>
      <c r="C1129" s="85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2">
        <v>1129</v>
      </c>
      <c r="B1130" s="83" t="s">
        <v>2307</v>
      </c>
      <c r="C1130" s="85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3" t="s">
        <v>2309</v>
      </c>
      <c r="C1131" s="85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82">
        <v>1131</v>
      </c>
      <c r="B1132" s="83" t="s">
        <v>2311</v>
      </c>
      <c r="C1132" s="85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3" t="s">
        <v>2313</v>
      </c>
      <c r="C1133" s="85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2">
        <v>1133</v>
      </c>
      <c r="B1134" s="83" t="s">
        <v>2315</v>
      </c>
      <c r="C1134" s="85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3" t="s">
        <v>2317</v>
      </c>
      <c r="C1135" s="85" t="s">
        <v>2318</v>
      </c>
      <c r="D1135" s="47"/>
      <c r="E1135" s="47"/>
      <c r="F1135" s="48"/>
      <c r="G1135" s="62" t="str">
        <f>IFERROR(INDEX(StockInData[Expiry],MATCH(ProductMaster[[#This Row],[Product ID]],StockInData[Product ID],0)),"")</f>
        <v/>
      </c>
      <c r="H1135" s="47"/>
      <c r="I1135" s="61">
        <f>SUMIFS(StockInData[Quantity],StockInData[Product ID],ProductMaster!$B1135)-SUMIFS(StockOutData[Quantity],StockOutData[Product ID],ProductMaster!$B1135)</f>
        <v>0</v>
      </c>
      <c r="J1135" s="63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82">
        <v>1135</v>
      </c>
      <c r="B1136" s="83" t="s">
        <v>2319</v>
      </c>
      <c r="C1136" s="85" t="s">
        <v>2320</v>
      </c>
      <c r="D1136" s="47"/>
      <c r="E1136" s="47"/>
      <c r="F1136" s="48"/>
      <c r="G1136" s="62" t="str">
        <f>IFERROR(INDEX(StockInData[Expiry],MATCH(ProductMaster[[#This Row],[Product ID]],StockInData[Product ID],0)),"")</f>
        <v/>
      </c>
      <c r="H1136" s="47"/>
      <c r="I1136" s="61">
        <f>SUMIFS(StockInData[Quantity],StockInData[Product ID],ProductMaster!$B1136)-SUMIFS(StockOutData[Quantity],StockOutData[Product ID],ProductMaster!$B1136)</f>
        <v>0</v>
      </c>
      <c r="J1136" s="63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3" t="s">
        <v>2321</v>
      </c>
      <c r="C1137" s="85" t="s">
        <v>2322</v>
      </c>
      <c r="D1137" s="47"/>
      <c r="E1137" s="47"/>
      <c r="F1137" s="48"/>
      <c r="G1137" s="62" t="str">
        <f>IFERROR(INDEX(StockInData[Expiry],MATCH(ProductMaster[[#This Row],[Product ID]],StockInData[Product ID],0)),"")</f>
        <v/>
      </c>
      <c r="H1137" s="47"/>
      <c r="I1137" s="61">
        <f>SUMIFS(StockInData[Quantity],StockInData[Product ID],ProductMaster!$B1137)-SUMIFS(StockOutData[Quantity],StockOutData[Product ID],ProductMaster!$B1137)</f>
        <v>0</v>
      </c>
      <c r="J1137" s="63">
        <f>SUMIFS(StockInData[Value],StockInData[Product ID],ProductMaster!$B1137)-SUMIFS(StockOutData[Value],StockOutData[Product ID],ProductMaster!$B1137)</f>
        <v>0</v>
      </c>
    </row>
    <row r="1138" spans="1:10" hidden="1" x14ac:dyDescent="0.25">
      <c r="A1138" s="82">
        <v>1137</v>
      </c>
      <c r="B1138" s="83" t="s">
        <v>2323</v>
      </c>
      <c r="C1138" s="85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3" t="s">
        <v>2325</v>
      </c>
      <c r="C1139" s="85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2">
        <v>1139</v>
      </c>
      <c r="B1140" s="83" t="s">
        <v>2327</v>
      </c>
      <c r="C1140" s="85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3" t="s">
        <v>2329</v>
      </c>
      <c r="C1141" s="85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2">
        <v>1141</v>
      </c>
      <c r="B1142" s="83" t="s">
        <v>2331</v>
      </c>
      <c r="C1142" s="85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3" t="s">
        <v>2333</v>
      </c>
      <c r="C1143" s="85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2">
        <v>1143</v>
      </c>
      <c r="B1144" s="83" t="s">
        <v>2335</v>
      </c>
      <c r="C1144" s="85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3" t="s">
        <v>2337</v>
      </c>
      <c r="C1145" s="85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2">
        <v>1145</v>
      </c>
      <c r="B1146" s="83" t="s">
        <v>2339</v>
      </c>
      <c r="C1146" s="85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3" t="s">
        <v>2341</v>
      </c>
      <c r="C1147" s="85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2">
        <v>1147</v>
      </c>
      <c r="B1148" s="83" t="s">
        <v>2343</v>
      </c>
      <c r="C1148" s="85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3" t="s">
        <v>2345</v>
      </c>
      <c r="C1149" s="85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2">
        <v>1149</v>
      </c>
      <c r="B1150" s="83" t="s">
        <v>2347</v>
      </c>
      <c r="C1150" s="85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3" t="s">
        <v>2349</v>
      </c>
      <c r="C1151" s="85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2">
        <v>1151</v>
      </c>
      <c r="B1152" s="83" t="s">
        <v>2351</v>
      </c>
      <c r="C1152" s="85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3" t="s">
        <v>2353</v>
      </c>
      <c r="C1153" s="85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2">
        <v>1153</v>
      </c>
      <c r="B1154" s="83" t="s">
        <v>2355</v>
      </c>
      <c r="C1154" s="85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3" t="s">
        <v>2357</v>
      </c>
      <c r="C1155" s="85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2">
        <v>1155</v>
      </c>
      <c r="B1156" s="83" t="s">
        <v>2359</v>
      </c>
      <c r="C1156" s="85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3" t="s">
        <v>2361</v>
      </c>
      <c r="C1157" s="85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2">
        <v>1157</v>
      </c>
      <c r="B1158" s="83" t="s">
        <v>2363</v>
      </c>
      <c r="C1158" s="85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3" t="s">
        <v>2365</v>
      </c>
      <c r="C1159" s="85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2">
        <v>1159</v>
      </c>
      <c r="B1160" s="83" t="s">
        <v>2367</v>
      </c>
      <c r="C1160" s="85" t="s">
        <v>2368</v>
      </c>
      <c r="D1160" s="47"/>
      <c r="E1160" s="47"/>
      <c r="F1160" s="48"/>
      <c r="G1160" s="62" t="str">
        <f>IFERROR(INDEX(StockInData[Expiry],MATCH(ProductMaster[[#This Row],[Product ID]],StockInData[Product ID],0)),"")</f>
        <v/>
      </c>
      <c r="H1160" s="47"/>
      <c r="I1160" s="61">
        <f>SUMIFS(StockInData[Quantity],StockInData[Product ID],ProductMaster!$B1160)-SUMIFS(StockOutData[Quantity],StockOutData[Product ID],ProductMaster!$B1160)</f>
        <v>0</v>
      </c>
      <c r="J1160" s="63">
        <f>SUMIFS(StockInData[Value],StockInData[Product ID],ProductMaster!$B1160)-SUMIFS(StockOutData[Value],StockOutData[Product ID],ProductMaster!$B1160)</f>
        <v>0</v>
      </c>
    </row>
    <row r="1161" spans="1:10" hidden="1" x14ac:dyDescent="0.25">
      <c r="A1161" s="60">
        <v>1160</v>
      </c>
      <c r="B1161" s="83" t="s">
        <v>2369</v>
      </c>
      <c r="C1161" s="85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2">
        <v>1161</v>
      </c>
      <c r="B1162" s="83" t="s">
        <v>2371</v>
      </c>
      <c r="C1162" s="85" t="s">
        <v>2372</v>
      </c>
      <c r="D1162" s="47"/>
      <c r="E1162" s="47"/>
      <c r="F1162" s="48"/>
      <c r="G1162" s="62" t="str">
        <f>IFERROR(INDEX(StockInData[Expiry],MATCH(ProductMaster[[#This Row],[Product ID]],StockInData[Product ID],0)),"")</f>
        <v/>
      </c>
      <c r="H1162" s="47"/>
      <c r="I1162" s="61">
        <f>SUMIFS(StockInData[Quantity],StockInData[Product ID],ProductMaster!$B1162)-SUMIFS(StockOutData[Quantity],StockOutData[Product ID],ProductMaster!$B1162)</f>
        <v>0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3" t="s">
        <v>2373</v>
      </c>
      <c r="C1163" s="85" t="s">
        <v>2374</v>
      </c>
      <c r="D1163" s="47"/>
      <c r="E1163" s="47"/>
      <c r="F1163" s="48"/>
      <c r="G1163" s="62" t="str">
        <f>IFERROR(INDEX(StockInData[Expiry],MATCH(ProductMaster[[#This Row],[Product ID]],StockInData[Product ID],0)),"")</f>
        <v/>
      </c>
      <c r="H1163" s="47"/>
      <c r="I1163" s="61">
        <f>SUMIFS(StockInData[Quantity],StockInData[Product ID],ProductMaster!$B1163)-SUMIFS(StockOutData[Quantity],StockOutData[Product ID],ProductMaster!$B1163)</f>
        <v>0</v>
      </c>
      <c r="J1163" s="63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82">
        <v>1163</v>
      </c>
      <c r="B1164" s="83" t="s">
        <v>2375</v>
      </c>
      <c r="C1164" s="85" t="s">
        <v>2376</v>
      </c>
      <c r="D1164" s="47"/>
      <c r="E1164" s="47"/>
      <c r="F1164" s="48"/>
      <c r="G1164" s="62" t="str">
        <f>IFERROR(INDEX(StockInData[Expiry],MATCH(ProductMaster[[#This Row],[Product ID]],StockInData[Product ID],0)),"")</f>
        <v/>
      </c>
      <c r="H1164" s="47"/>
      <c r="I1164" s="61">
        <f>SUMIFS(StockInData[Quantity],StockInData[Product ID],ProductMaster!$B1164)-SUMIFS(StockOutData[Quantity],StockOutData[Product ID],ProductMaster!$B1164)</f>
        <v>0</v>
      </c>
      <c r="J1164" s="63">
        <f>SUMIFS(StockInData[Value],StockInData[Product ID],ProductMaster!$B1164)-SUMIFS(StockOutData[Value],StockOutData[Product ID],ProductMaster!$B1164)</f>
        <v>0</v>
      </c>
    </row>
    <row r="1165" spans="1:10" hidden="1" x14ac:dyDescent="0.25">
      <c r="A1165" s="60">
        <v>1164</v>
      </c>
      <c r="B1165" s="83" t="s">
        <v>2377</v>
      </c>
      <c r="C1165" s="85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82">
        <v>1165</v>
      </c>
      <c r="B1166" s="83" t="s">
        <v>2379</v>
      </c>
      <c r="C1166" s="85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3" t="s">
        <v>2381</v>
      </c>
      <c r="C1167" s="85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2">
        <v>1167</v>
      </c>
      <c r="B1168" s="83" t="s">
        <v>2383</v>
      </c>
      <c r="C1168" s="85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3" t="s">
        <v>2385</v>
      </c>
      <c r="C1169" s="85" t="s">
        <v>2386</v>
      </c>
      <c r="D1169" s="47"/>
      <c r="E1169" s="47"/>
      <c r="F1169" s="48"/>
      <c r="G1169" s="62" t="str">
        <f>IFERROR(INDEX(StockInData[Expiry],MATCH(ProductMaster[[#This Row],[Product ID]],StockInData[Product ID],0)),"")</f>
        <v/>
      </c>
      <c r="H1169" s="47"/>
      <c r="I1169" s="61">
        <f>SUMIFS(StockInData[Quantity],StockInData[Product ID],ProductMaster!$B1169)-SUMIFS(StockOutData[Quantity],StockOutData[Product ID],ProductMaster!$B1169)</f>
        <v>0</v>
      </c>
      <c r="J1169" s="63">
        <f>SUMIFS(StockInData[Value],StockInData[Product ID],ProductMaster!$B1169)-SUMIFS(StockOutData[Value],StockOutData[Product ID],ProductMaster!$B1169)</f>
        <v>0</v>
      </c>
    </row>
    <row r="1170" spans="1:10" hidden="1" x14ac:dyDescent="0.25">
      <c r="A1170" s="82">
        <v>1169</v>
      </c>
      <c r="B1170" s="83" t="s">
        <v>2387</v>
      </c>
      <c r="C1170" s="85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3" t="s">
        <v>2389</v>
      </c>
      <c r="C1171" s="85" t="s">
        <v>2390</v>
      </c>
      <c r="D1171" s="47"/>
      <c r="E1171" s="47"/>
      <c r="F1171" s="48"/>
      <c r="G1171" s="62" t="str">
        <f>IFERROR(INDEX(StockInData[Expiry],MATCH(ProductMaster[[#This Row],[Product ID]],StockInData[Product ID],0)),"")</f>
        <v/>
      </c>
      <c r="H1171" s="47"/>
      <c r="I1171" s="61">
        <f>SUMIFS(StockInData[Quantity],StockInData[Product ID],ProductMaster!$B1171)-SUMIFS(StockOutData[Quantity],StockOutData[Product ID],ProductMaster!$B1171)</f>
        <v>0</v>
      </c>
      <c r="J1171" s="63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82">
        <v>1171</v>
      </c>
      <c r="B1172" s="83" t="s">
        <v>2391</v>
      </c>
      <c r="C1172" s="85" t="s">
        <v>2392</v>
      </c>
      <c r="D1172" s="47"/>
      <c r="E1172" s="47"/>
      <c r="F1172" s="48"/>
      <c r="G1172" s="62" t="str">
        <f>IFERROR(INDEX(StockInData[Expiry],MATCH(ProductMaster[[#This Row],[Product ID]],StockInData[Product ID],0)),"")</f>
        <v/>
      </c>
      <c r="H1172" s="47"/>
      <c r="I1172" s="61">
        <f>SUMIFS(StockInData[Quantity],StockInData[Product ID],ProductMaster!$B1172)-SUMIFS(StockOutData[Quantity],StockOutData[Product ID],ProductMaster!$B1172)</f>
        <v>0</v>
      </c>
      <c r="J1172" s="63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3" t="s">
        <v>2393</v>
      </c>
      <c r="C1173" s="85" t="s">
        <v>2394</v>
      </c>
      <c r="D1173" s="47"/>
      <c r="E1173" s="47"/>
      <c r="F1173" s="48"/>
      <c r="G1173" s="62" t="str">
        <f>IFERROR(INDEX(StockInData[Expiry],MATCH(ProductMaster[[#This Row],[Product ID]],StockInData[Product ID],0)),"")</f>
        <v/>
      </c>
      <c r="H1173" s="47"/>
      <c r="I1173" s="61">
        <f>SUMIFS(StockInData[Quantity],StockInData[Product ID],ProductMaster!$B1173)-SUMIFS(StockOutData[Quantity],StockOutData[Product ID],ProductMaster!$B1173)</f>
        <v>0</v>
      </c>
      <c r="J1173" s="63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82">
        <v>1173</v>
      </c>
      <c r="B1174" s="83" t="s">
        <v>2395</v>
      </c>
      <c r="C1174" s="85" t="s">
        <v>2396</v>
      </c>
      <c r="D1174" s="47"/>
      <c r="E1174" s="47"/>
      <c r="F1174" s="48"/>
      <c r="G1174" s="62" t="str">
        <f>IFERROR(INDEX(StockInData[Expiry],MATCH(ProductMaster[[#This Row],[Product ID]],StockInData[Product ID],0)),"")</f>
        <v/>
      </c>
      <c r="H1174" s="47"/>
      <c r="I1174" s="61">
        <f>SUMIFS(StockInData[Quantity],StockInData[Product ID],ProductMaster!$B1174)-SUMIFS(StockOutData[Quantity],StockOutData[Product ID],ProductMaster!$B1174)</f>
        <v>0</v>
      </c>
      <c r="J1174" s="63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3" t="s">
        <v>2397</v>
      </c>
      <c r="C1175" s="85" t="s">
        <v>2398</v>
      </c>
      <c r="D1175" s="47"/>
      <c r="E1175" s="47"/>
      <c r="F1175" s="48"/>
      <c r="G1175" s="62" t="str">
        <f>IFERROR(INDEX(StockInData[Expiry],MATCH(ProductMaster[[#This Row],[Product ID]],StockInData[Product ID],0)),"")</f>
        <v/>
      </c>
      <c r="H1175" s="47"/>
      <c r="I1175" s="61">
        <f>SUMIFS(StockInData[Quantity],StockInData[Product ID],ProductMaster!$B1175)-SUMIFS(StockOutData[Quantity],StockOutData[Product ID],ProductMaster!$B1175)</f>
        <v>0</v>
      </c>
      <c r="J1175" s="63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82">
        <v>1175</v>
      </c>
      <c r="B1176" s="83" t="s">
        <v>2399</v>
      </c>
      <c r="C1176" s="85" t="s">
        <v>2400</v>
      </c>
      <c r="D1176" s="47"/>
      <c r="E1176" s="47"/>
      <c r="F1176" s="48"/>
      <c r="G1176" s="62" t="str">
        <f>IFERROR(INDEX(StockInData[Expiry],MATCH(ProductMaster[[#This Row],[Product ID]],StockInData[Product ID],0)),"")</f>
        <v/>
      </c>
      <c r="H1176" s="47"/>
      <c r="I1176" s="61">
        <f>SUMIFS(StockInData[Quantity],StockInData[Product ID],ProductMaster!$B1176)-SUMIFS(StockOutData[Quantity],StockOutData[Product ID],ProductMaster!$B1176)</f>
        <v>0</v>
      </c>
      <c r="J1176" s="63">
        <f>SUMIFS(StockInData[Value],StockInData[Product ID],ProductMaster!$B1176)-SUMIFS(StockOutData[Value],StockOutData[Product ID],ProductMaster!$B1176)</f>
        <v>0</v>
      </c>
    </row>
    <row r="1177" spans="1:10" hidden="1" x14ac:dyDescent="0.25">
      <c r="A1177" s="60">
        <v>1176</v>
      </c>
      <c r="B1177" s="83" t="s">
        <v>2401</v>
      </c>
      <c r="C1177" s="85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2">
        <v>1177</v>
      </c>
      <c r="B1178" s="83" t="s">
        <v>2403</v>
      </c>
      <c r="C1178" s="85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3" t="s">
        <v>2405</v>
      </c>
      <c r="C1179" s="85" t="s">
        <v>2406</v>
      </c>
      <c r="D1179" s="47"/>
      <c r="E1179" s="47"/>
      <c r="F1179" s="48"/>
      <c r="G1179" s="62" t="str">
        <f>IFERROR(INDEX(StockInData[Expiry],MATCH(ProductMaster[[#This Row],[Product ID]],StockInData[Product ID],0)),"")</f>
        <v/>
      </c>
      <c r="H1179" s="47"/>
      <c r="I1179" s="61">
        <f>SUMIFS(StockInData[Quantity],StockInData[Product ID],ProductMaster!$B1179)-SUMIFS(StockOutData[Quantity],StockOutData[Product ID],ProductMaster!$B1179)</f>
        <v>0</v>
      </c>
      <c r="J1179" s="63">
        <f>SUMIFS(StockInData[Value],StockInData[Product ID],ProductMaster!$B1179)-SUMIFS(StockOutData[Value],StockOutData[Product ID],ProductMaster!$B1179)</f>
        <v>0</v>
      </c>
    </row>
    <row r="1180" spans="1:10" hidden="1" x14ac:dyDescent="0.25">
      <c r="A1180" s="82">
        <v>1179</v>
      </c>
      <c r="B1180" s="83" t="s">
        <v>2407</v>
      </c>
      <c r="C1180" s="85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3" t="s">
        <v>2409</v>
      </c>
      <c r="C1181" s="85" t="s">
        <v>2410</v>
      </c>
      <c r="D1181" s="47"/>
      <c r="E1181" s="47"/>
      <c r="F1181" s="48"/>
      <c r="G1181" s="62" t="str">
        <f>IFERROR(INDEX(StockInData[Expiry],MATCH(ProductMaster[[#This Row],[Product ID]],StockInData[Product ID],0)),"")</f>
        <v/>
      </c>
      <c r="H1181" s="47"/>
      <c r="I1181" s="61">
        <f>SUMIFS(StockInData[Quantity],StockInData[Product ID],ProductMaster!$B1181)-SUMIFS(StockOutData[Quantity],StockOutData[Product ID],ProductMaster!$B1181)</f>
        <v>0</v>
      </c>
      <c r="J1181" s="63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82">
        <v>1181</v>
      </c>
      <c r="B1182" s="83" t="s">
        <v>2411</v>
      </c>
      <c r="C1182" s="85" t="s">
        <v>2412</v>
      </c>
      <c r="D1182" s="47"/>
      <c r="E1182" s="47"/>
      <c r="F1182" s="48"/>
      <c r="G1182" s="62" t="str">
        <f>IFERROR(INDEX(StockInData[Expiry],MATCH(ProductMaster[[#This Row],[Product ID]],StockInData[Product ID],0)),"")</f>
        <v/>
      </c>
      <c r="H1182" s="47"/>
      <c r="I1182" s="61">
        <f>SUMIFS(StockInData[Quantity],StockInData[Product ID],ProductMaster!$B1182)-SUMIFS(StockOutData[Quantity],StockOutData[Product ID],ProductMaster!$B1182)</f>
        <v>0</v>
      </c>
      <c r="J1182" s="63">
        <f>SUMIFS(StockInData[Value],StockInData[Product ID],ProductMaster!$B1182)-SUMIFS(StockOutData[Value],StockOutData[Product ID],ProductMaster!$B1182)</f>
        <v>0</v>
      </c>
    </row>
    <row r="1183" spans="1:10" hidden="1" x14ac:dyDescent="0.25">
      <c r="A1183" s="60">
        <v>1182</v>
      </c>
      <c r="B1183" s="83" t="s">
        <v>2413</v>
      </c>
      <c r="C1183" s="85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82">
        <v>1183</v>
      </c>
      <c r="B1184" s="83" t="s">
        <v>2415</v>
      </c>
      <c r="C1184" s="85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3" t="s">
        <v>2417</v>
      </c>
      <c r="C1185" s="85" t="s">
        <v>2418</v>
      </c>
      <c r="D1185" s="47"/>
      <c r="E1185" s="47"/>
      <c r="F1185" s="48"/>
      <c r="G1185" s="62" t="str">
        <f>IFERROR(INDEX(StockInData[Expiry],MATCH(ProductMaster[[#This Row],[Product ID]],StockInData[Product ID],0)),"")</f>
        <v/>
      </c>
      <c r="H1185" s="47"/>
      <c r="I1185" s="61">
        <f>SUMIFS(StockInData[Quantity],StockInData[Product ID],ProductMaster!$B1185)-SUMIFS(StockOutData[Quantity],StockOutData[Product ID],ProductMaster!$B1185)</f>
        <v>0</v>
      </c>
      <c r="J1185" s="63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82">
        <v>1185</v>
      </c>
      <c r="B1186" s="83" t="s">
        <v>2419</v>
      </c>
      <c r="C1186" s="85" t="s">
        <v>2420</v>
      </c>
      <c r="D1186" s="47"/>
      <c r="E1186" s="47"/>
      <c r="F1186" s="48"/>
      <c r="G1186" s="62" t="str">
        <f>IFERROR(INDEX(StockInData[Expiry],MATCH(ProductMaster[[#This Row],[Product ID]],StockInData[Product ID],0)),"")</f>
        <v/>
      </c>
      <c r="H1186" s="47"/>
      <c r="I1186" s="61">
        <f>SUMIFS(StockInData[Quantity],StockInData[Product ID],ProductMaster!$B1186)-SUMIFS(StockOutData[Quantity],StockOutData[Product ID],ProductMaster!$B1186)</f>
        <v>0</v>
      </c>
      <c r="J1186" s="63">
        <f>SUMIFS(StockInData[Value],StockInData[Product ID],ProductMaster!$B1186)-SUMIFS(StockOutData[Value],StockOutData[Product ID],ProductMaster!$B1186)</f>
        <v>0</v>
      </c>
    </row>
    <row r="1187" spans="1:10" hidden="1" x14ac:dyDescent="0.25">
      <c r="A1187" s="60">
        <v>1186</v>
      </c>
      <c r="B1187" s="83" t="s">
        <v>2421</v>
      </c>
      <c r="C1187" s="85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82">
        <v>1187</v>
      </c>
      <c r="B1188" s="83" t="s">
        <v>2423</v>
      </c>
      <c r="C1188" s="85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3" t="s">
        <v>2425</v>
      </c>
      <c r="C1189" s="85" t="s">
        <v>2426</v>
      </c>
      <c r="D1189" s="47"/>
      <c r="E1189" s="47"/>
      <c r="F1189" s="48"/>
      <c r="G1189" s="62" t="str">
        <f>IFERROR(INDEX(StockInData[Expiry],MATCH(ProductMaster[[#This Row],[Product ID]],StockInData[Product ID],0)),"")</f>
        <v/>
      </c>
      <c r="H1189" s="47"/>
      <c r="I1189" s="61">
        <f>SUMIFS(StockInData[Quantity],StockInData[Product ID],ProductMaster!$B1189)-SUMIFS(StockOutData[Quantity],StockOutData[Product ID],ProductMaster!$B1189)</f>
        <v>0</v>
      </c>
      <c r="J1189" s="63">
        <f>SUMIFS(StockInData[Value],StockInData[Product ID],ProductMaster!$B1189)-SUMIFS(StockOutData[Value],StockOutData[Product ID],ProductMaster!$B1189)</f>
        <v>0</v>
      </c>
    </row>
    <row r="1190" spans="1:10" hidden="1" x14ac:dyDescent="0.25">
      <c r="A1190" s="82">
        <v>1189</v>
      </c>
      <c r="B1190" s="83" t="s">
        <v>2427</v>
      </c>
      <c r="C1190" s="85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3" t="s">
        <v>2429</v>
      </c>
      <c r="C1191" s="85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2">
        <v>1191</v>
      </c>
      <c r="B1192" s="83" t="s">
        <v>2431</v>
      </c>
      <c r="C1192" s="85" t="s">
        <v>2432</v>
      </c>
      <c r="D1192" s="47"/>
      <c r="E1192" s="47"/>
      <c r="F1192" s="48"/>
      <c r="G1192" s="62" t="str">
        <f>IFERROR(INDEX(StockInData[Expiry],MATCH(ProductMaster[[#This Row],[Product ID]],StockInData[Product ID],0)),"")</f>
        <v/>
      </c>
      <c r="H1192" s="47"/>
      <c r="I1192" s="61">
        <f>SUMIFS(StockInData[Quantity],StockInData[Product ID],ProductMaster!$B1192)-SUMIFS(StockOutData[Quantity],StockOutData[Product ID],ProductMaster!$B1192)</f>
        <v>0</v>
      </c>
      <c r="J1192" s="63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3" t="s">
        <v>2433</v>
      </c>
      <c r="C1193" s="85" t="s">
        <v>2434</v>
      </c>
      <c r="D1193" s="47"/>
      <c r="E1193" s="47"/>
      <c r="F1193" s="48"/>
      <c r="G1193" s="62" t="str">
        <f>IFERROR(INDEX(StockInData[Expiry],MATCH(ProductMaster[[#This Row],[Product ID]],StockInData[Product ID],0)),"")</f>
        <v/>
      </c>
      <c r="H1193" s="47"/>
      <c r="I1193" s="61">
        <f>SUMIFS(StockInData[Quantity],StockInData[Product ID],ProductMaster!$B1193)-SUMIFS(StockOutData[Quantity],StockOutData[Product ID],ProductMaster!$B1193)</f>
        <v>0</v>
      </c>
      <c r="J1193" s="63">
        <f>SUMIFS(StockInData[Value],StockInData[Product ID],ProductMaster!$B1193)-SUMIFS(StockOutData[Value],StockOutData[Product ID],ProductMaster!$B1193)</f>
        <v>0</v>
      </c>
    </row>
    <row r="1194" spans="1:10" hidden="1" x14ac:dyDescent="0.25">
      <c r="A1194" s="82">
        <v>1193</v>
      </c>
      <c r="B1194" s="83" t="s">
        <v>2435</v>
      </c>
      <c r="C1194" s="85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3" t="s">
        <v>2437</v>
      </c>
      <c r="C1195" s="85" t="s">
        <v>2438</v>
      </c>
      <c r="D1195" s="47"/>
      <c r="E1195" s="47"/>
      <c r="F1195" s="48"/>
      <c r="G1195" s="62" t="str">
        <f>IFERROR(INDEX(StockInData[Expiry],MATCH(ProductMaster[[#This Row],[Product ID]],StockInData[Product ID],0)),"")</f>
        <v/>
      </c>
      <c r="H1195" s="47"/>
      <c r="I1195" s="61">
        <f>SUMIFS(StockInData[Quantity],StockInData[Product ID],ProductMaster!$B1195)-SUMIFS(StockOutData[Quantity],StockOutData[Product ID],ProductMaster!$B1195)</f>
        <v>0</v>
      </c>
      <c r="J1195" s="63">
        <f>SUMIFS(StockInData[Value],StockInData[Product ID],ProductMaster!$B1195)-SUMIFS(StockOutData[Value],StockOutData[Product ID],ProductMaster!$B1195)</f>
        <v>0</v>
      </c>
    </row>
    <row r="1196" spans="1:10" hidden="1" x14ac:dyDescent="0.25">
      <c r="A1196" s="82">
        <v>1195</v>
      </c>
      <c r="B1196" s="83" t="s">
        <v>2439</v>
      </c>
      <c r="C1196" s="85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3" t="s">
        <v>2441</v>
      </c>
      <c r="C1197" s="85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2">
        <v>1197</v>
      </c>
      <c r="B1198" s="83" t="s">
        <v>2443</v>
      </c>
      <c r="C1198" s="85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3" t="s">
        <v>2445</v>
      </c>
      <c r="C1199" s="85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2">
        <v>1199</v>
      </c>
      <c r="B1200" s="83" t="s">
        <v>2447</v>
      </c>
      <c r="C1200" s="85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3" t="s">
        <v>2449</v>
      </c>
      <c r="C1201" s="85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2">
        <v>1201</v>
      </c>
      <c r="B1202" s="83" t="s">
        <v>2451</v>
      </c>
      <c r="C1202" s="85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3" t="s">
        <v>2453</v>
      </c>
      <c r="C1203" s="85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2">
        <v>1203</v>
      </c>
      <c r="B1204" s="83" t="s">
        <v>2455</v>
      </c>
      <c r="C1204" s="85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3" t="s">
        <v>2457</v>
      </c>
      <c r="C1205" s="85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2">
        <v>1205</v>
      </c>
      <c r="B1206" s="83" t="s">
        <v>2459</v>
      </c>
      <c r="C1206" s="85" t="s">
        <v>2460</v>
      </c>
      <c r="D1206" s="47"/>
      <c r="E1206" s="47"/>
      <c r="F1206" s="48"/>
      <c r="G1206" s="62" t="str">
        <f>IFERROR(INDEX(StockInData[Expiry],MATCH(ProductMaster[[#This Row],[Product ID]],StockInData[Product ID],0)),"")</f>
        <v/>
      </c>
      <c r="H1206" s="47"/>
      <c r="I1206" s="61">
        <f>SUMIFS(StockInData[Quantity],StockInData[Product ID],ProductMaster!$B1206)-SUMIFS(StockOutData[Quantity],StockOutData[Product ID],ProductMaster!$B1206)</f>
        <v>0</v>
      </c>
      <c r="J1206" s="63">
        <f>SUMIFS(StockInData[Value],StockInData[Product ID],ProductMaster!$B1206)-SUMIFS(StockOutData[Value],StockOutData[Product ID],ProductMaster!$B1206)</f>
        <v>0</v>
      </c>
    </row>
    <row r="1207" spans="1:10" hidden="1" x14ac:dyDescent="0.25">
      <c r="A1207" s="60">
        <v>1206</v>
      </c>
      <c r="B1207" s="83" t="s">
        <v>2461</v>
      </c>
      <c r="C1207" s="85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2">
        <v>1207</v>
      </c>
      <c r="B1208" s="83" t="s">
        <v>2463</v>
      </c>
      <c r="C1208" s="85" t="s">
        <v>2464</v>
      </c>
      <c r="D1208" s="47"/>
      <c r="E1208" s="47"/>
      <c r="F1208" s="48"/>
      <c r="G1208" s="62" t="str">
        <f>IFERROR(INDEX(StockInData[Expiry],MATCH(ProductMaster[[#This Row],[Product ID]],StockInData[Product ID],0)),"")</f>
        <v/>
      </c>
      <c r="H1208" s="47"/>
      <c r="I1208" s="61">
        <f>SUMIFS(StockInData[Quantity],StockInData[Product ID],ProductMaster!$B1208)-SUMIFS(StockOutData[Quantity],StockOutData[Product ID],ProductMaster!$B1208)</f>
        <v>0</v>
      </c>
      <c r="J1208" s="63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3" t="s">
        <v>2465</v>
      </c>
      <c r="C1209" s="85" t="s">
        <v>2466</v>
      </c>
      <c r="D1209" s="47"/>
      <c r="E1209" s="47"/>
      <c r="F1209" s="48"/>
      <c r="G1209" s="62" t="str">
        <f>IFERROR(INDEX(StockInData[Expiry],MATCH(ProductMaster[[#This Row],[Product ID]],StockInData[Product ID],0)),"")</f>
        <v/>
      </c>
      <c r="H1209" s="47"/>
      <c r="I1209" s="61">
        <f>SUMIFS(StockInData[Quantity],StockInData[Product ID],ProductMaster!$B1209)-SUMIFS(StockOutData[Quantity],StockOutData[Product ID],ProductMaster!$B1209)</f>
        <v>0</v>
      </c>
      <c r="J1209" s="63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82">
        <v>1209</v>
      </c>
      <c r="B1210" s="83" t="s">
        <v>2467</v>
      </c>
      <c r="C1210" s="85" t="s">
        <v>2468</v>
      </c>
      <c r="D1210" s="47"/>
      <c r="E1210" s="47"/>
      <c r="F1210" s="48"/>
      <c r="G1210" s="62" t="str">
        <f>IFERROR(INDEX(StockInData[Expiry],MATCH(ProductMaster[[#This Row],[Product ID]],StockInData[Product ID],0)),"")</f>
        <v/>
      </c>
      <c r="H1210" s="47"/>
      <c r="I1210" s="61">
        <f>SUMIFS(StockInData[Quantity],StockInData[Product ID],ProductMaster!$B1210)-SUMIFS(StockOutData[Quantity],StockOutData[Product ID],ProductMaster!$B1210)</f>
        <v>0</v>
      </c>
      <c r="J1210" s="63">
        <f>SUMIFS(StockInData[Value],StockInData[Product ID],ProductMaster!$B1210)-SUMIFS(StockOutData[Value],StockOutData[Product ID],ProductMaster!$B1210)</f>
        <v>0</v>
      </c>
    </row>
    <row r="1211" spans="1:10" hidden="1" x14ac:dyDescent="0.25">
      <c r="A1211" s="60">
        <v>1210</v>
      </c>
      <c r="B1211" s="83" t="s">
        <v>2469</v>
      </c>
      <c r="C1211" s="85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2">
        <v>1211</v>
      </c>
      <c r="B1212" s="83" t="s">
        <v>2471</v>
      </c>
      <c r="C1212" s="85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3" t="s">
        <v>2473</v>
      </c>
      <c r="C1213" s="85" t="s">
        <v>2474</v>
      </c>
      <c r="D1213" s="47"/>
      <c r="E1213" s="47"/>
      <c r="F1213" s="48"/>
      <c r="G1213" s="62" t="str">
        <f>IFERROR(INDEX(StockInData[Expiry],MATCH(ProductMaster[[#This Row],[Product ID]],StockInData[Product ID],0)),"")</f>
        <v/>
      </c>
      <c r="H1213" s="47"/>
      <c r="I1213" s="61">
        <f>SUMIFS(StockInData[Quantity],StockInData[Product ID],ProductMaster!$B1213)-SUMIFS(StockOutData[Quantity],StockOutData[Product ID],ProductMaster!$B1213)</f>
        <v>0</v>
      </c>
      <c r="J1213" s="63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82">
        <v>1213</v>
      </c>
      <c r="B1214" s="83" t="s">
        <v>2475</v>
      </c>
      <c r="C1214" s="85" t="s">
        <v>2476</v>
      </c>
      <c r="D1214" s="47"/>
      <c r="E1214" s="47"/>
      <c r="F1214" s="48"/>
      <c r="G1214" s="62" t="str">
        <f>IFERROR(INDEX(StockInData[Expiry],MATCH(ProductMaster[[#This Row],[Product ID]],StockInData[Product ID],0)),"")</f>
        <v/>
      </c>
      <c r="H1214" s="47"/>
      <c r="I1214" s="61">
        <f>SUMIFS(StockInData[Quantity],StockInData[Product ID],ProductMaster!$B1214)-SUMIFS(StockOutData[Quantity],StockOutData[Product ID],ProductMaster!$B1214)</f>
        <v>0</v>
      </c>
      <c r="J1214" s="63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3" t="s">
        <v>2477</v>
      </c>
      <c r="C1215" s="85" t="s">
        <v>2478</v>
      </c>
      <c r="D1215" s="47"/>
      <c r="E1215" s="47"/>
      <c r="F1215" s="48"/>
      <c r="G1215" s="62" t="str">
        <f>IFERROR(INDEX(StockInData[Expiry],MATCH(ProductMaster[[#This Row],[Product ID]],StockInData[Product ID],0)),"")</f>
        <v/>
      </c>
      <c r="H1215" s="47"/>
      <c r="I1215" s="61">
        <f>SUMIFS(StockInData[Quantity],StockInData[Product ID],ProductMaster!$B1215)-SUMIFS(StockOutData[Quantity],StockOutData[Product ID],ProductMaster!$B1215)</f>
        <v>0</v>
      </c>
      <c r="J1215" s="63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82">
        <v>1215</v>
      </c>
      <c r="B1216" s="83" t="s">
        <v>2479</v>
      </c>
      <c r="C1216" s="85" t="s">
        <v>2480</v>
      </c>
      <c r="D1216" s="47"/>
      <c r="E1216" s="47"/>
      <c r="F1216" s="48"/>
      <c r="G1216" s="62" t="str">
        <f>IFERROR(INDEX(StockInData[Expiry],MATCH(ProductMaster[[#This Row],[Product ID]],StockInData[Product ID],0)),"")</f>
        <v/>
      </c>
      <c r="H1216" s="47"/>
      <c r="I1216" s="61">
        <f>SUMIFS(StockInData[Quantity],StockInData[Product ID],ProductMaster!$B1216)-SUMIFS(StockOutData[Quantity],StockOutData[Product ID],ProductMaster!$B1216)</f>
        <v>0</v>
      </c>
      <c r="J1216" s="63">
        <f>SUMIFS(StockInData[Value],StockInData[Product ID],ProductMaster!$B1216)-SUMIFS(StockOutData[Value],StockOutData[Product ID],ProductMaster!$B1216)</f>
        <v>0</v>
      </c>
    </row>
    <row r="1217" spans="1:10" hidden="1" x14ac:dyDescent="0.25">
      <c r="A1217" s="60">
        <v>1216</v>
      </c>
      <c r="B1217" s="83" t="s">
        <v>2481</v>
      </c>
      <c r="C1217" s="85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2">
        <v>1217</v>
      </c>
      <c r="B1218" s="83" t="s">
        <v>2483</v>
      </c>
      <c r="C1218" s="85" t="s">
        <v>2484</v>
      </c>
      <c r="D1218" s="47"/>
      <c r="E1218" s="47"/>
      <c r="F1218" s="48"/>
      <c r="G1218" s="62" t="str">
        <f>IFERROR(INDEX(StockInData[Expiry],MATCH(ProductMaster[[#This Row],[Product ID]],StockInData[Product ID],0)),"")</f>
        <v/>
      </c>
      <c r="H1218" s="47"/>
      <c r="I1218" s="61">
        <f>SUMIFS(StockInData[Quantity],StockInData[Product ID],ProductMaster!$B1218)-SUMIFS(StockOutData[Quantity],StockOutData[Product ID],ProductMaster!$B1218)</f>
        <v>0</v>
      </c>
      <c r="J1218" s="63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3" t="s">
        <v>2485</v>
      </c>
      <c r="C1219" s="85" t="s">
        <v>2486</v>
      </c>
      <c r="D1219" s="47"/>
      <c r="E1219" s="47"/>
      <c r="F1219" s="48"/>
      <c r="G1219" s="62" t="str">
        <f>IFERROR(INDEX(StockInData[Expiry],MATCH(ProductMaster[[#This Row],[Product ID]],StockInData[Product ID],0)),"")</f>
        <v/>
      </c>
      <c r="H1219" s="47"/>
      <c r="I1219" s="61">
        <f>SUMIFS(StockInData[Quantity],StockInData[Product ID],ProductMaster!$B1219)-SUMIFS(StockOutData[Quantity],StockOutData[Product ID],ProductMaster!$B1219)</f>
        <v>0</v>
      </c>
      <c r="J1219" s="63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82">
        <v>1219</v>
      </c>
      <c r="B1220" s="83" t="s">
        <v>2487</v>
      </c>
      <c r="C1220" s="85" t="s">
        <v>2488</v>
      </c>
      <c r="D1220" s="47"/>
      <c r="E1220" s="47"/>
      <c r="F1220" s="48"/>
      <c r="G1220" s="62" t="str">
        <f>IFERROR(INDEX(StockInData[Expiry],MATCH(ProductMaster[[#This Row],[Product ID]],StockInData[Product ID],0)),"")</f>
        <v/>
      </c>
      <c r="H1220" s="47"/>
      <c r="I1220" s="61">
        <f>SUMIFS(StockInData[Quantity],StockInData[Product ID],ProductMaster!$B1220)-SUMIFS(StockOutData[Quantity],StockOutData[Product ID],ProductMaster!$B1220)</f>
        <v>0</v>
      </c>
      <c r="J1220" s="63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3" t="s">
        <v>2489</v>
      </c>
      <c r="C1221" s="85" t="s">
        <v>2490</v>
      </c>
      <c r="D1221" s="47"/>
      <c r="E1221" s="47"/>
      <c r="F1221" s="48"/>
      <c r="G1221" s="62" t="str">
        <f>IFERROR(INDEX(StockInData[Expiry],MATCH(ProductMaster[[#This Row],[Product ID]],StockInData[Product ID],0)),"")</f>
        <v/>
      </c>
      <c r="H1221" s="47"/>
      <c r="I1221" s="61">
        <f>SUMIFS(StockInData[Quantity],StockInData[Product ID],ProductMaster!$B1221)-SUMIFS(StockOutData[Quantity],StockOutData[Product ID],ProductMaster!$B1221)</f>
        <v>0</v>
      </c>
      <c r="J1221" s="63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82">
        <v>1221</v>
      </c>
      <c r="B1222" s="83" t="s">
        <v>2491</v>
      </c>
      <c r="C1222" s="85" t="s">
        <v>2492</v>
      </c>
      <c r="D1222" s="47"/>
      <c r="E1222" s="47"/>
      <c r="F1222" s="48"/>
      <c r="G1222" s="62" t="str">
        <f>IFERROR(INDEX(StockInData[Expiry],MATCH(ProductMaster[[#This Row],[Product ID]],StockInData[Product ID],0)),"")</f>
        <v/>
      </c>
      <c r="H1222" s="47"/>
      <c r="I1222" s="61">
        <f>SUMIFS(StockInData[Quantity],StockInData[Product ID],ProductMaster!$B1222)-SUMIFS(StockOutData[Quantity],StockOutData[Product ID],ProductMaster!$B1222)</f>
        <v>0</v>
      </c>
      <c r="J1222" s="63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3" t="s">
        <v>2493</v>
      </c>
      <c r="C1223" s="85" t="s">
        <v>2494</v>
      </c>
      <c r="D1223" s="47"/>
      <c r="E1223" s="47"/>
      <c r="F1223" s="48"/>
      <c r="G1223" s="62" t="str">
        <f>IFERROR(INDEX(StockInData[Expiry],MATCH(ProductMaster[[#This Row],[Product ID]],StockInData[Product ID],0)),"")</f>
        <v/>
      </c>
      <c r="H1223" s="47"/>
      <c r="I1223" s="61">
        <f>SUMIFS(StockInData[Quantity],StockInData[Product ID],ProductMaster!$B1223)-SUMIFS(StockOutData[Quantity],StockOutData[Product ID],ProductMaster!$B1223)</f>
        <v>0</v>
      </c>
      <c r="J1223" s="63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82">
        <v>1223</v>
      </c>
      <c r="B1224" s="83" t="s">
        <v>2495</v>
      </c>
      <c r="C1224" s="85" t="s">
        <v>2496</v>
      </c>
      <c r="D1224" s="47"/>
      <c r="E1224" s="47"/>
      <c r="F1224" s="48"/>
      <c r="G1224" s="62" t="str">
        <f>IFERROR(INDEX(StockInData[Expiry],MATCH(ProductMaster[[#This Row],[Product ID]],StockInData[Product ID],0)),"")</f>
        <v/>
      </c>
      <c r="H1224" s="47"/>
      <c r="I1224" s="61">
        <f>SUMIFS(StockInData[Quantity],StockInData[Product ID],ProductMaster!$B1224)-SUMIFS(StockOutData[Quantity],StockOutData[Product ID],ProductMaster!$B1224)</f>
        <v>0</v>
      </c>
      <c r="J1224" s="63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3" t="s">
        <v>2497</v>
      </c>
      <c r="C1225" s="85" t="s">
        <v>2498</v>
      </c>
      <c r="D1225" s="47"/>
      <c r="E1225" s="47"/>
      <c r="F1225" s="48"/>
      <c r="G1225" s="62" t="str">
        <f>IFERROR(INDEX(StockInData[Expiry],MATCH(ProductMaster[[#This Row],[Product ID]],StockInData[Product ID],0)),"")</f>
        <v/>
      </c>
      <c r="H1225" s="47"/>
      <c r="I1225" s="61">
        <f>SUMIFS(StockInData[Quantity],StockInData[Product ID],ProductMaster!$B1225)-SUMIFS(StockOutData[Quantity],StockOutData[Product ID],ProductMaster!$B1225)</f>
        <v>0</v>
      </c>
      <c r="J1225" s="63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82">
        <v>1225</v>
      </c>
      <c r="B1226" s="83" t="s">
        <v>2499</v>
      </c>
      <c r="C1226" s="85" t="s">
        <v>2500</v>
      </c>
      <c r="D1226" s="47"/>
      <c r="E1226" s="47"/>
      <c r="F1226" s="48"/>
      <c r="G1226" s="62" t="str">
        <f>IFERROR(INDEX(StockInData[Expiry],MATCH(ProductMaster[[#This Row],[Product ID]],StockInData[Product ID],0)),"")</f>
        <v/>
      </c>
      <c r="H1226" s="47"/>
      <c r="I1226" s="61">
        <f>SUMIFS(StockInData[Quantity],StockInData[Product ID],ProductMaster!$B1226)-SUMIFS(StockOutData[Quantity],StockOutData[Product ID],ProductMaster!$B1226)</f>
        <v>0</v>
      </c>
      <c r="J1226" s="63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3" t="s">
        <v>2501</v>
      </c>
      <c r="C1227" s="85" t="s">
        <v>2502</v>
      </c>
      <c r="D1227" s="47"/>
      <c r="E1227" s="47"/>
      <c r="F1227" s="48"/>
      <c r="G1227" s="62" t="str">
        <f>IFERROR(INDEX(StockInData[Expiry],MATCH(ProductMaster[[#This Row],[Product ID]],StockInData[Product ID],0)),"")</f>
        <v/>
      </c>
      <c r="H1227" s="47"/>
      <c r="I1227" s="61">
        <f>SUMIFS(StockInData[Quantity],StockInData[Product ID],ProductMaster!$B1227)-SUMIFS(StockOutData[Quantity],StockOutData[Product ID],ProductMaster!$B1227)</f>
        <v>0</v>
      </c>
      <c r="J1227" s="63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82">
        <v>1227</v>
      </c>
      <c r="B1228" s="83" t="s">
        <v>2503</v>
      </c>
      <c r="C1228" s="85" t="s">
        <v>2504</v>
      </c>
      <c r="D1228" s="47"/>
      <c r="E1228" s="47"/>
      <c r="F1228" s="48"/>
      <c r="G1228" s="62" t="str">
        <f>IFERROR(INDEX(StockInData[Expiry],MATCH(ProductMaster[[#This Row],[Product ID]],StockInData[Product ID],0)),"")</f>
        <v/>
      </c>
      <c r="H1228" s="47"/>
      <c r="I1228" s="61">
        <f>SUMIFS(StockInData[Quantity],StockInData[Product ID],ProductMaster!$B1228)-SUMIFS(StockOutData[Quantity],StockOutData[Product ID],ProductMaster!$B1228)</f>
        <v>0</v>
      </c>
      <c r="J1228" s="63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3" t="s">
        <v>2505</v>
      </c>
      <c r="C1229" s="85" t="s">
        <v>2506</v>
      </c>
      <c r="D1229" s="47"/>
      <c r="E1229" s="47"/>
      <c r="F1229" s="48"/>
      <c r="G1229" s="62" t="str">
        <f>IFERROR(INDEX(StockInData[Expiry],MATCH(ProductMaster[[#This Row],[Product ID]],StockInData[Product ID],0)),"")</f>
        <v/>
      </c>
      <c r="H1229" s="47"/>
      <c r="I1229" s="61">
        <f>SUMIFS(StockInData[Quantity],StockInData[Product ID],ProductMaster!$B1229)-SUMIFS(StockOutData[Quantity],StockOutData[Product ID],ProductMaster!$B1229)</f>
        <v>0</v>
      </c>
      <c r="J1229" s="63">
        <f>SUMIFS(StockInData[Value],StockInData[Product ID],ProductMaster!$B1229)-SUMIFS(StockOutData[Value],StockOutData[Product ID],ProductMaster!$B1229)</f>
        <v>0</v>
      </c>
    </row>
    <row r="1230" spans="1:10" hidden="1" x14ac:dyDescent="0.25">
      <c r="A1230" s="82">
        <v>1229</v>
      </c>
      <c r="B1230" s="83" t="s">
        <v>2507</v>
      </c>
      <c r="C1230" s="85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3" t="s">
        <v>2509</v>
      </c>
      <c r="C1231" s="85" t="s">
        <v>2510</v>
      </c>
      <c r="D1231" s="47"/>
      <c r="E1231" s="47"/>
      <c r="F1231" s="48"/>
      <c r="G1231" s="62" t="str">
        <f>IFERROR(INDEX(StockInData[Expiry],MATCH(ProductMaster[[#This Row],[Product ID]],StockInData[Product ID],0)),"")</f>
        <v/>
      </c>
      <c r="H1231" s="47"/>
      <c r="I1231" s="61">
        <f>SUMIFS(StockInData[Quantity],StockInData[Product ID],ProductMaster!$B1231)-SUMIFS(StockOutData[Quantity],StockOutData[Product ID],ProductMaster!$B1231)</f>
        <v>0</v>
      </c>
      <c r="J1231" s="63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82">
        <v>1231</v>
      </c>
      <c r="B1232" s="83" t="s">
        <v>2511</v>
      </c>
      <c r="C1232" s="85" t="s">
        <v>2512</v>
      </c>
      <c r="D1232" s="47"/>
      <c r="E1232" s="47"/>
      <c r="F1232" s="48"/>
      <c r="G1232" s="62" t="str">
        <f>IFERROR(INDEX(StockInData[Expiry],MATCH(ProductMaster[[#This Row],[Product ID]],StockInData[Product ID],0)),"")</f>
        <v/>
      </c>
      <c r="H1232" s="47"/>
      <c r="I1232" s="61">
        <f>SUMIFS(StockInData[Quantity],StockInData[Product ID],ProductMaster!$B1232)-SUMIFS(StockOutData[Quantity],StockOutData[Product ID],ProductMaster!$B1232)</f>
        <v>0</v>
      </c>
      <c r="J1232" s="63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3" t="s">
        <v>2513</v>
      </c>
      <c r="C1233" s="85" t="s">
        <v>2514</v>
      </c>
      <c r="D1233" s="47"/>
      <c r="E1233" s="47"/>
      <c r="F1233" s="48"/>
      <c r="G1233" s="62" t="str">
        <f>IFERROR(INDEX(StockInData[Expiry],MATCH(ProductMaster[[#This Row],[Product ID]],StockInData[Product ID],0)),"")</f>
        <v/>
      </c>
      <c r="H1233" s="47"/>
      <c r="I1233" s="61">
        <f>SUMIFS(StockInData[Quantity],StockInData[Product ID],ProductMaster!$B1233)-SUMIFS(StockOutData[Quantity],StockOutData[Product ID],ProductMaster!$B1233)</f>
        <v>0</v>
      </c>
      <c r="J1233" s="63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82">
        <v>1233</v>
      </c>
      <c r="B1234" s="83" t="s">
        <v>2515</v>
      </c>
      <c r="C1234" s="85" t="s">
        <v>2516</v>
      </c>
      <c r="D1234" s="47"/>
      <c r="E1234" s="47"/>
      <c r="F1234" s="48"/>
      <c r="G1234" s="62" t="str">
        <f>IFERROR(INDEX(StockInData[Expiry],MATCH(ProductMaster[[#This Row],[Product ID]],StockInData[Product ID],0)),"")</f>
        <v/>
      </c>
      <c r="H1234" s="47"/>
      <c r="I1234" s="61">
        <f>SUMIFS(StockInData[Quantity],StockInData[Product ID],ProductMaster!$B1234)-SUMIFS(StockOutData[Quantity],StockOutData[Product ID],ProductMaster!$B1234)</f>
        <v>0</v>
      </c>
      <c r="J1234" s="63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3" t="s">
        <v>2517</v>
      </c>
      <c r="C1235" s="85" t="s">
        <v>2518</v>
      </c>
      <c r="D1235" s="47"/>
      <c r="E1235" s="47"/>
      <c r="F1235" s="48"/>
      <c r="G1235" s="62" t="str">
        <f>IFERROR(INDEX(StockInData[Expiry],MATCH(ProductMaster[[#This Row],[Product ID]],StockInData[Product ID],0)),"")</f>
        <v/>
      </c>
      <c r="H1235" s="47"/>
      <c r="I1235" s="61">
        <f>SUMIFS(StockInData[Quantity],StockInData[Product ID],ProductMaster!$B1235)-SUMIFS(StockOutData[Quantity],StockOutData[Product ID],ProductMaster!$B1235)</f>
        <v>0</v>
      </c>
      <c r="J1235" s="63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82">
        <v>1235</v>
      </c>
      <c r="B1236" s="83" t="s">
        <v>2519</v>
      </c>
      <c r="C1236" s="85" t="s">
        <v>2520</v>
      </c>
      <c r="D1236" s="47"/>
      <c r="E1236" s="47"/>
      <c r="F1236" s="48"/>
      <c r="G1236" s="62" t="str">
        <f>IFERROR(INDEX(StockInData[Expiry],MATCH(ProductMaster[[#This Row],[Product ID]],StockInData[Product ID],0)),"")</f>
        <v/>
      </c>
      <c r="H1236" s="47"/>
      <c r="I1236" s="61">
        <f>SUMIFS(StockInData[Quantity],StockInData[Product ID],ProductMaster!$B1236)-SUMIFS(StockOutData[Quantity],StockOutData[Product ID],ProductMaster!$B1236)</f>
        <v>0</v>
      </c>
      <c r="J1236" s="63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3" t="s">
        <v>2521</v>
      </c>
      <c r="C1237" s="85" t="s">
        <v>2522</v>
      </c>
      <c r="D1237" s="47"/>
      <c r="E1237" s="47"/>
      <c r="F1237" s="48"/>
      <c r="G1237" s="62" t="str">
        <f>IFERROR(INDEX(StockInData[Expiry],MATCH(ProductMaster[[#This Row],[Product ID]],StockInData[Product ID],0)),"")</f>
        <v/>
      </c>
      <c r="H1237" s="47"/>
      <c r="I1237" s="61">
        <f>SUMIFS(StockInData[Quantity],StockInData[Product ID],ProductMaster!$B1237)-SUMIFS(StockOutData[Quantity],StockOutData[Product ID],ProductMaster!$B1237)</f>
        <v>0</v>
      </c>
      <c r="J1237" s="63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82">
        <v>1237</v>
      </c>
      <c r="B1238" s="83" t="s">
        <v>2523</v>
      </c>
      <c r="C1238" s="85" t="s">
        <v>2524</v>
      </c>
      <c r="D1238" s="47"/>
      <c r="E1238" s="47"/>
      <c r="F1238" s="48"/>
      <c r="G1238" s="62" t="str">
        <f>IFERROR(INDEX(StockInData[Expiry],MATCH(ProductMaster[[#This Row],[Product ID]],StockInData[Product ID],0)),"")</f>
        <v/>
      </c>
      <c r="H1238" s="47"/>
      <c r="I1238" s="61">
        <f>SUMIFS(StockInData[Quantity],StockInData[Product ID],ProductMaster!$B1238)-SUMIFS(StockOutData[Quantity],StockOutData[Product ID],ProductMaster!$B1238)</f>
        <v>0</v>
      </c>
      <c r="J1238" s="63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3" t="s">
        <v>2525</v>
      </c>
      <c r="C1239" s="85" t="s">
        <v>2526</v>
      </c>
      <c r="D1239" s="47"/>
      <c r="E1239" s="47"/>
      <c r="F1239" s="48"/>
      <c r="G1239" s="62" t="str">
        <f>IFERROR(INDEX(StockInData[Expiry],MATCH(ProductMaster[[#This Row],[Product ID]],StockInData[Product ID],0)),"")</f>
        <v/>
      </c>
      <c r="H1239" s="47"/>
      <c r="I1239" s="61">
        <f>SUMIFS(StockInData[Quantity],StockInData[Product ID],ProductMaster!$B1239)-SUMIFS(StockOutData[Quantity],StockOutData[Product ID],ProductMaster!$B1239)</f>
        <v>0</v>
      </c>
      <c r="J1239" s="63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82">
        <v>1239</v>
      </c>
      <c r="B1240" s="83" t="s">
        <v>2527</v>
      </c>
      <c r="C1240" s="85" t="s">
        <v>2528</v>
      </c>
      <c r="D1240" s="47"/>
      <c r="E1240" s="47"/>
      <c r="F1240" s="48"/>
      <c r="G1240" s="62" t="str">
        <f>IFERROR(INDEX(StockInData[Expiry],MATCH(ProductMaster[[#This Row],[Product ID]],StockInData[Product ID],0)),"")</f>
        <v/>
      </c>
      <c r="H1240" s="47"/>
      <c r="I1240" s="61">
        <f>SUMIFS(StockInData[Quantity],StockInData[Product ID],ProductMaster!$B1240)-SUMIFS(StockOutData[Quantity],StockOutData[Product ID],ProductMaster!$B1240)</f>
        <v>0</v>
      </c>
      <c r="J1240" s="63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3" t="s">
        <v>2529</v>
      </c>
      <c r="C1241" s="85" t="s">
        <v>2530</v>
      </c>
      <c r="D1241" s="47"/>
      <c r="E1241" s="47"/>
      <c r="F1241" s="48"/>
      <c r="G1241" s="62" t="str">
        <f>IFERROR(INDEX(StockInData[Expiry],MATCH(ProductMaster[[#This Row],[Product ID]],StockInData[Product ID],0)),"")</f>
        <v/>
      </c>
      <c r="H1241" s="47"/>
      <c r="I1241" s="61">
        <f>SUMIFS(StockInData[Quantity],StockInData[Product ID],ProductMaster!$B1241)-SUMIFS(StockOutData[Quantity],StockOutData[Product ID],ProductMaster!$B1241)</f>
        <v>0</v>
      </c>
      <c r="J1241" s="63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82">
        <v>1241</v>
      </c>
      <c r="B1242" s="83" t="s">
        <v>2531</v>
      </c>
      <c r="C1242" s="85" t="s">
        <v>2532</v>
      </c>
      <c r="D1242" s="47"/>
      <c r="E1242" s="47"/>
      <c r="F1242" s="48"/>
      <c r="G1242" s="62" t="str">
        <f>IFERROR(INDEX(StockInData[Expiry],MATCH(ProductMaster[[#This Row],[Product ID]],StockInData[Product ID],0)),"")</f>
        <v/>
      </c>
      <c r="H1242" s="47"/>
      <c r="I1242" s="61">
        <f>SUMIFS(StockInData[Quantity],StockInData[Product ID],ProductMaster!$B1242)-SUMIFS(StockOutData[Quantity],StockOutData[Product ID],ProductMaster!$B1242)</f>
        <v>0</v>
      </c>
      <c r="J1242" s="63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3" t="s">
        <v>2533</v>
      </c>
      <c r="C1243" s="85" t="s">
        <v>2534</v>
      </c>
      <c r="D1243" s="47"/>
      <c r="E1243" s="47"/>
      <c r="F1243" s="48"/>
      <c r="G1243" s="62" t="str">
        <f>IFERROR(INDEX(StockInData[Expiry],MATCH(ProductMaster[[#This Row],[Product ID]],StockInData[Product ID],0)),"")</f>
        <v/>
      </c>
      <c r="H1243" s="47"/>
      <c r="I1243" s="61">
        <f>SUMIFS(StockInData[Quantity],StockInData[Product ID],ProductMaster!$B1243)-SUMIFS(StockOutData[Quantity],StockOutData[Product ID],ProductMaster!$B1243)</f>
        <v>0</v>
      </c>
      <c r="J1243" s="63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82">
        <v>1243</v>
      </c>
      <c r="B1244" s="83" t="s">
        <v>2535</v>
      </c>
      <c r="C1244" s="85" t="s">
        <v>2536</v>
      </c>
      <c r="D1244" s="47"/>
      <c r="E1244" s="47"/>
      <c r="F1244" s="48"/>
      <c r="G1244" s="62" t="str">
        <f>IFERROR(INDEX(StockInData[Expiry],MATCH(ProductMaster[[#This Row],[Product ID]],StockInData[Product ID],0)),"")</f>
        <v/>
      </c>
      <c r="H1244" s="47"/>
      <c r="I1244" s="61">
        <f>SUMIFS(StockInData[Quantity],StockInData[Product ID],ProductMaster!$B1244)-SUMIFS(StockOutData[Quantity],StockOutData[Product ID],ProductMaster!$B1244)</f>
        <v>0</v>
      </c>
      <c r="J1244" s="63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3" t="s">
        <v>2537</v>
      </c>
      <c r="C1245" s="85" t="s">
        <v>2538</v>
      </c>
      <c r="D1245" s="47"/>
      <c r="E1245" s="47"/>
      <c r="F1245" s="48"/>
      <c r="G1245" s="62" t="str">
        <f>IFERROR(INDEX(StockInData[Expiry],MATCH(ProductMaster[[#This Row],[Product ID]],StockInData[Product ID],0)),"")</f>
        <v/>
      </c>
      <c r="H1245" s="47"/>
      <c r="I1245" s="61">
        <f>SUMIFS(StockInData[Quantity],StockInData[Product ID],ProductMaster!$B1245)-SUMIFS(StockOutData[Quantity],StockOutData[Product ID],ProductMaster!$B1245)</f>
        <v>0</v>
      </c>
      <c r="J1245" s="63">
        <f>SUMIFS(StockInData[Value],StockInData[Product ID],ProductMaster!$B1245)-SUMIFS(StockOutData[Value],StockOutData[Product ID],ProductMaster!$B1245)</f>
        <v>0</v>
      </c>
    </row>
    <row r="1246" spans="1:10" hidden="1" x14ac:dyDescent="0.25">
      <c r="A1246" s="82">
        <v>1245</v>
      </c>
      <c r="B1246" s="83" t="s">
        <v>2539</v>
      </c>
      <c r="C1246" s="85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3" t="s">
        <v>2541</v>
      </c>
      <c r="C1247" s="85" t="s">
        <v>2542</v>
      </c>
      <c r="D1247" s="47"/>
      <c r="E1247" s="47"/>
      <c r="F1247" s="48"/>
      <c r="G1247" s="62" t="str">
        <f>IFERROR(INDEX(StockInData[Expiry],MATCH(ProductMaster[[#This Row],[Product ID]],StockInData[Product ID],0)),"")</f>
        <v/>
      </c>
      <c r="H1247" s="47"/>
      <c r="I1247" s="61">
        <f>SUMIFS(StockInData[Quantity],StockInData[Product ID],ProductMaster!$B1247)-SUMIFS(StockOutData[Quantity],StockOutData[Product ID],ProductMaster!$B1247)</f>
        <v>0</v>
      </c>
      <c r="J1247" s="63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82">
        <v>1247</v>
      </c>
      <c r="B1248" s="83" t="s">
        <v>2543</v>
      </c>
      <c r="C1248" s="85" t="s">
        <v>2544</v>
      </c>
      <c r="D1248" s="47"/>
      <c r="E1248" s="47"/>
      <c r="F1248" s="48"/>
      <c r="G1248" s="62" t="str">
        <f>IFERROR(INDEX(StockInData[Expiry],MATCH(ProductMaster[[#This Row],[Product ID]],StockInData[Product ID],0)),"")</f>
        <v/>
      </c>
      <c r="H1248" s="47"/>
      <c r="I1248" s="61">
        <f>SUMIFS(StockInData[Quantity],StockInData[Product ID],ProductMaster!$B1248)-SUMIFS(StockOutData[Quantity],StockOutData[Product ID],ProductMaster!$B1248)</f>
        <v>0</v>
      </c>
      <c r="J1248" s="63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3" t="s">
        <v>2545</v>
      </c>
      <c r="C1249" s="85" t="s">
        <v>2546</v>
      </c>
      <c r="D1249" s="47"/>
      <c r="E1249" s="47"/>
      <c r="F1249" s="48"/>
      <c r="G1249" s="62" t="str">
        <f>IFERROR(INDEX(StockInData[Expiry],MATCH(ProductMaster[[#This Row],[Product ID]],StockInData[Product ID],0)),"")</f>
        <v/>
      </c>
      <c r="H1249" s="47"/>
      <c r="I1249" s="61">
        <f>SUMIFS(StockInData[Quantity],StockInData[Product ID],ProductMaster!$B1249)-SUMIFS(StockOutData[Quantity],StockOutData[Product ID],ProductMaster!$B1249)</f>
        <v>0</v>
      </c>
      <c r="J1249" s="63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82">
        <v>1249</v>
      </c>
      <c r="B1250" s="83" t="s">
        <v>2547</v>
      </c>
      <c r="C1250" s="85" t="s">
        <v>2548</v>
      </c>
      <c r="D1250" s="47"/>
      <c r="E1250" s="47"/>
      <c r="F1250" s="48"/>
      <c r="G1250" s="62" t="str">
        <f>IFERROR(INDEX(StockInData[Expiry],MATCH(ProductMaster[[#This Row],[Product ID]],StockInData[Product ID],0)),"")</f>
        <v/>
      </c>
      <c r="H1250" s="47"/>
      <c r="I1250" s="61">
        <f>SUMIFS(StockInData[Quantity],StockInData[Product ID],ProductMaster!$B1250)-SUMIFS(StockOutData[Quantity],StockOutData[Product ID],ProductMaster!$B1250)</f>
        <v>0</v>
      </c>
      <c r="J1250" s="63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3" t="s">
        <v>2549</v>
      </c>
      <c r="C1251" s="85" t="s">
        <v>2550</v>
      </c>
      <c r="D1251" s="47"/>
      <c r="E1251" s="47"/>
      <c r="F1251" s="48"/>
      <c r="G1251" s="62" t="str">
        <f>IFERROR(INDEX(StockInData[Expiry],MATCH(ProductMaster[[#This Row],[Product ID]],StockInData[Product ID],0)),"")</f>
        <v/>
      </c>
      <c r="H1251" s="47"/>
      <c r="I1251" s="61">
        <f>SUMIFS(StockInData[Quantity],StockInData[Product ID],ProductMaster!$B1251)-SUMIFS(StockOutData[Quantity],StockOutData[Product ID],ProductMaster!$B1251)</f>
        <v>0</v>
      </c>
      <c r="J1251" s="63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82">
        <v>1251</v>
      </c>
      <c r="B1252" s="83" t="s">
        <v>2551</v>
      </c>
      <c r="C1252" s="85" t="s">
        <v>2552</v>
      </c>
      <c r="D1252" s="47"/>
      <c r="E1252" s="47"/>
      <c r="F1252" s="48"/>
      <c r="G1252" s="62" t="str">
        <f>IFERROR(INDEX(StockInData[Expiry],MATCH(ProductMaster[[#This Row],[Product ID]],StockInData[Product ID],0)),"")</f>
        <v/>
      </c>
      <c r="H1252" s="47"/>
      <c r="I1252" s="61">
        <f>SUMIFS(StockInData[Quantity],StockInData[Product ID],ProductMaster!$B1252)-SUMIFS(StockOutData[Quantity],StockOutData[Product ID],ProductMaster!$B1252)</f>
        <v>0</v>
      </c>
      <c r="J1252" s="63">
        <f>SUMIFS(StockInData[Value],StockInData[Product ID],ProductMaster!$B1252)-SUMIFS(StockOutData[Value],StockOutData[Product ID],ProductMaster!$B1252)</f>
        <v>0</v>
      </c>
    </row>
    <row r="1253" spans="1:10" hidden="1" x14ac:dyDescent="0.25">
      <c r="A1253" s="60">
        <v>1252</v>
      </c>
      <c r="B1253" s="83" t="s">
        <v>2553</v>
      </c>
      <c r="C1253" s="85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2">
        <v>1253</v>
      </c>
      <c r="B1254" s="83" t="s">
        <v>2555</v>
      </c>
      <c r="C1254" s="85" t="s">
        <v>2556</v>
      </c>
      <c r="D1254" s="47"/>
      <c r="E1254" s="47"/>
      <c r="F1254" s="48"/>
      <c r="G1254" s="62" t="str">
        <f>IFERROR(INDEX(StockInData[Expiry],MATCH(ProductMaster[[#This Row],[Product ID]],StockInData[Product ID],0)),"")</f>
        <v/>
      </c>
      <c r="H1254" s="47"/>
      <c r="I1254" s="61">
        <f>SUMIFS(StockInData[Quantity],StockInData[Product ID],ProductMaster!$B1254)-SUMIFS(StockOutData[Quantity],StockOutData[Product ID],ProductMaster!$B1254)</f>
        <v>0</v>
      </c>
      <c r="J1254" s="63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3" t="s">
        <v>2557</v>
      </c>
      <c r="C1255" s="85" t="s">
        <v>2558</v>
      </c>
      <c r="D1255" s="47"/>
      <c r="E1255" s="47"/>
      <c r="F1255" s="48"/>
      <c r="G1255" s="62" t="str">
        <f>IFERROR(INDEX(StockInData[Expiry],MATCH(ProductMaster[[#This Row],[Product ID]],StockInData[Product ID],0)),"")</f>
        <v/>
      </c>
      <c r="H1255" s="47"/>
      <c r="I1255" s="61">
        <f>SUMIFS(StockInData[Quantity],StockInData[Product ID],ProductMaster!$B1255)-SUMIFS(StockOutData[Quantity],StockOutData[Product ID],ProductMaster!$B1255)</f>
        <v>0</v>
      </c>
      <c r="J1255" s="63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82">
        <v>1255</v>
      </c>
      <c r="B1256" s="83" t="s">
        <v>2559</v>
      </c>
      <c r="C1256" s="85" t="s">
        <v>2560</v>
      </c>
      <c r="D1256" s="47"/>
      <c r="E1256" s="47"/>
      <c r="F1256" s="48"/>
      <c r="G1256" s="62" t="str">
        <f>IFERROR(INDEX(StockInData[Expiry],MATCH(ProductMaster[[#This Row],[Product ID]],StockInData[Product ID],0)),"")</f>
        <v/>
      </c>
      <c r="H1256" s="47"/>
      <c r="I1256" s="61">
        <f>SUMIFS(StockInData[Quantity],StockInData[Product ID],ProductMaster!$B1256)-SUMIFS(StockOutData[Quantity],StockOutData[Product ID],ProductMaster!$B1256)</f>
        <v>0</v>
      </c>
      <c r="J1256" s="63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3" t="s">
        <v>2561</v>
      </c>
      <c r="C1257" s="85" t="s">
        <v>2562</v>
      </c>
      <c r="D1257" s="47"/>
      <c r="E1257" s="47"/>
      <c r="F1257" s="48"/>
      <c r="G1257" s="62" t="str">
        <f>IFERROR(INDEX(StockInData[Expiry],MATCH(ProductMaster[[#This Row],[Product ID]],StockInData[Product ID],0)),"")</f>
        <v/>
      </c>
      <c r="H1257" s="47"/>
      <c r="I1257" s="61">
        <f>SUMIFS(StockInData[Quantity],StockInData[Product ID],ProductMaster!$B1257)-SUMIFS(StockOutData[Quantity],StockOutData[Product ID],ProductMaster!$B1257)</f>
        <v>0</v>
      </c>
      <c r="J1257" s="63">
        <f>SUMIFS(StockInData[Value],StockInData[Product ID],ProductMaster!$B1257)-SUMIFS(StockOutData[Value],StockOutData[Product ID],ProductMaster!$B1257)</f>
        <v>0</v>
      </c>
    </row>
    <row r="1258" spans="1:10" hidden="1" x14ac:dyDescent="0.25">
      <c r="A1258" s="82">
        <v>1257</v>
      </c>
      <c r="B1258" s="83" t="s">
        <v>2563</v>
      </c>
      <c r="C1258" s="85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3" t="s">
        <v>2565</v>
      </c>
      <c r="C1259" s="85" t="s">
        <v>2566</v>
      </c>
      <c r="D1259" s="47"/>
      <c r="E1259" s="47"/>
      <c r="F1259" s="48"/>
      <c r="G1259" s="62" t="str">
        <f>IFERROR(INDEX(StockInData[Expiry],MATCH(ProductMaster[[#This Row],[Product ID]],StockInData[Product ID],0)),"")</f>
        <v/>
      </c>
      <c r="H1259" s="47"/>
      <c r="I1259" s="61">
        <f>SUMIFS(StockInData[Quantity],StockInData[Product ID],ProductMaster!$B1259)-SUMIFS(StockOutData[Quantity],StockOutData[Product ID],ProductMaster!$B1259)</f>
        <v>0</v>
      </c>
      <c r="J1259" s="63">
        <f>SUMIFS(StockInData[Value],StockInData[Product ID],ProductMaster!$B1259)-SUMIFS(StockOutData[Value],StockOutData[Product ID],ProductMaster!$B1259)</f>
        <v>0</v>
      </c>
    </row>
    <row r="1260" spans="1:10" hidden="1" x14ac:dyDescent="0.25">
      <c r="A1260" s="82">
        <v>1259</v>
      </c>
      <c r="B1260" s="83" t="s">
        <v>2567</v>
      </c>
      <c r="C1260" s="85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3" t="s">
        <v>2569</v>
      </c>
      <c r="C1261" s="85" t="s">
        <v>2570</v>
      </c>
      <c r="D1261" s="47"/>
      <c r="E1261" s="47"/>
      <c r="F1261" s="48"/>
      <c r="G1261" s="62" t="str">
        <f>IFERROR(INDEX(StockInData[Expiry],MATCH(ProductMaster[[#This Row],[Product ID]],StockInData[Product ID],0)),"")</f>
        <v/>
      </c>
      <c r="H1261" s="47"/>
      <c r="I1261" s="61">
        <f>SUMIFS(StockInData[Quantity],StockInData[Product ID],ProductMaster!$B1261)-SUMIFS(StockOutData[Quantity],StockOutData[Product ID],ProductMaster!$B1261)</f>
        <v>0</v>
      </c>
      <c r="J1261" s="63">
        <f>SUMIFS(StockInData[Value],StockInData[Product ID],ProductMaster!$B1261)-SUMIFS(StockOutData[Value],StockOutData[Product ID],ProductMaster!$B1261)</f>
        <v>0</v>
      </c>
    </row>
    <row r="1262" spans="1:10" hidden="1" x14ac:dyDescent="0.25">
      <c r="A1262" s="82">
        <v>1261</v>
      </c>
      <c r="B1262" s="83" t="s">
        <v>2571</v>
      </c>
      <c r="C1262" s="85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3" t="s">
        <v>2573</v>
      </c>
      <c r="C1263" s="85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2">
        <v>1263</v>
      </c>
      <c r="B1264" s="83" t="s">
        <v>2575</v>
      </c>
      <c r="C1264" s="85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3" t="s">
        <v>2577</v>
      </c>
      <c r="C1265" s="85" t="s">
        <v>2578</v>
      </c>
      <c r="D1265" s="47"/>
      <c r="E1265" s="47"/>
      <c r="F1265" s="48"/>
      <c r="G1265" s="62" t="str">
        <f>IFERROR(INDEX(StockInData[Expiry],MATCH(ProductMaster[[#This Row],[Product ID]],StockInData[Product ID],0)),"")</f>
        <v/>
      </c>
      <c r="H1265" s="47"/>
      <c r="I1265" s="61">
        <f>SUMIFS(StockInData[Quantity],StockInData[Product ID],ProductMaster!$B1265)-SUMIFS(StockOutData[Quantity],StockOutData[Product ID],ProductMaster!$B1265)</f>
        <v>0</v>
      </c>
      <c r="J1265" s="63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82">
        <v>1265</v>
      </c>
      <c r="B1266" s="83" t="s">
        <v>2579</v>
      </c>
      <c r="C1266" s="85" t="s">
        <v>2580</v>
      </c>
      <c r="D1266" s="47"/>
      <c r="E1266" s="47"/>
      <c r="F1266" s="48"/>
      <c r="G1266" s="62" t="str">
        <f>IFERROR(INDEX(StockInData[Expiry],MATCH(ProductMaster[[#This Row],[Product ID]],StockInData[Product ID],0)),"")</f>
        <v/>
      </c>
      <c r="H1266" s="47"/>
      <c r="I1266" s="61">
        <f>SUMIFS(StockInData[Quantity],StockInData[Product ID],ProductMaster!$B1266)-SUMIFS(StockOutData[Quantity],StockOutData[Product ID],ProductMaster!$B1266)</f>
        <v>0</v>
      </c>
      <c r="J1266" s="63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3" t="s">
        <v>2581</v>
      </c>
      <c r="C1267" s="85" t="s">
        <v>2582</v>
      </c>
      <c r="D1267" s="47"/>
      <c r="E1267" s="47"/>
      <c r="F1267" s="48"/>
      <c r="G1267" s="62" t="str">
        <f>IFERROR(INDEX(StockInData[Expiry],MATCH(ProductMaster[[#This Row],[Product ID]],StockInData[Product ID],0)),"")</f>
        <v/>
      </c>
      <c r="H1267" s="47"/>
      <c r="I1267" s="61">
        <f>SUMIFS(StockInData[Quantity],StockInData[Product ID],ProductMaster!$B1267)-SUMIFS(StockOutData[Quantity],StockOutData[Product ID],ProductMaster!$B1267)</f>
        <v>0</v>
      </c>
      <c r="J1267" s="63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82">
        <v>1267</v>
      </c>
      <c r="B1268" s="83" t="s">
        <v>2583</v>
      </c>
      <c r="C1268" s="85" t="s">
        <v>2584</v>
      </c>
      <c r="D1268" s="47"/>
      <c r="E1268" s="47"/>
      <c r="F1268" s="48"/>
      <c r="G1268" s="62" t="str">
        <f>IFERROR(INDEX(StockInData[Expiry],MATCH(ProductMaster[[#This Row],[Product ID]],StockInData[Product ID],0)),"")</f>
        <v/>
      </c>
      <c r="H1268" s="47"/>
      <c r="I1268" s="61">
        <f>SUMIFS(StockInData[Quantity],StockInData[Product ID],ProductMaster!$B1268)-SUMIFS(StockOutData[Quantity],StockOutData[Product ID],ProductMaster!$B1268)</f>
        <v>0</v>
      </c>
      <c r="J1268" s="63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3" t="s">
        <v>2585</v>
      </c>
      <c r="C1269" s="85" t="s">
        <v>2586</v>
      </c>
      <c r="D1269" s="47"/>
      <c r="E1269" s="47"/>
      <c r="F1269" s="48"/>
      <c r="G1269" s="62" t="str">
        <f>IFERROR(INDEX(StockInData[Expiry],MATCH(ProductMaster[[#This Row],[Product ID]],StockInData[Product ID],0)),"")</f>
        <v/>
      </c>
      <c r="H1269" s="47"/>
      <c r="I1269" s="61">
        <f>SUMIFS(StockInData[Quantity],StockInData[Product ID],ProductMaster!$B1269)-SUMIFS(StockOutData[Quantity],StockOutData[Product ID],ProductMaster!$B1269)</f>
        <v>0</v>
      </c>
      <c r="J1269" s="63">
        <f>SUMIFS(StockInData[Value],StockInData[Product ID],ProductMaster!$B1269)-SUMIFS(StockOutData[Value],StockOutData[Product ID],ProductMaster!$B1269)</f>
        <v>0</v>
      </c>
    </row>
    <row r="1270" spans="1:10" hidden="1" x14ac:dyDescent="0.25">
      <c r="A1270" s="82">
        <v>1269</v>
      </c>
      <c r="B1270" s="83" t="s">
        <v>2587</v>
      </c>
      <c r="C1270" s="85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3" t="s">
        <v>2589</v>
      </c>
      <c r="C1271" s="85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82">
        <v>1271</v>
      </c>
      <c r="B1272" s="83" t="s">
        <v>2591</v>
      </c>
      <c r="C1272" s="85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3" t="s">
        <v>2593</v>
      </c>
      <c r="C1273" s="85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82">
        <v>1273</v>
      </c>
      <c r="B1274" s="83" t="s">
        <v>2595</v>
      </c>
      <c r="C1274" s="85" t="s">
        <v>2596</v>
      </c>
      <c r="D1274" s="47"/>
      <c r="E1274" s="47"/>
      <c r="F1274" s="48"/>
      <c r="G1274" s="62" t="str">
        <f>IFERROR(INDEX(StockInData[Expiry],MATCH(ProductMaster[[#This Row],[Product ID]],StockInData[Product ID],0)),"")</f>
        <v/>
      </c>
      <c r="H1274" s="47"/>
      <c r="I1274" s="61">
        <f>SUMIFS(StockInData[Quantity],StockInData[Product ID],ProductMaster!$B1274)-SUMIFS(StockOutData[Quantity],StockOutData[Product ID],ProductMaster!$B1274)</f>
        <v>0</v>
      </c>
      <c r="J1274" s="63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0">
        <v>1274</v>
      </c>
      <c r="B1275" s="83" t="s">
        <v>2597</v>
      </c>
      <c r="C1275" s="85" t="s">
        <v>2598</v>
      </c>
      <c r="D1275" s="47"/>
      <c r="E1275" s="47"/>
      <c r="F1275" s="48"/>
      <c r="G1275" s="62" t="str">
        <f>IFERROR(INDEX(StockInData[Expiry],MATCH(ProductMaster[[#This Row],[Product ID]],StockInData[Product ID],0)),"")</f>
        <v/>
      </c>
      <c r="H1275" s="47"/>
      <c r="I1275" s="61">
        <f>SUMIFS(StockInData[Quantity],StockInData[Product ID],ProductMaster!$B1275)-SUMIFS(StockOutData[Quantity],StockOutData[Product ID],ProductMaster!$B1275)</f>
        <v>0</v>
      </c>
      <c r="J1275" s="63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82">
        <v>1275</v>
      </c>
      <c r="B1276" s="83" t="s">
        <v>2599</v>
      </c>
      <c r="C1276" s="85" t="s">
        <v>2600</v>
      </c>
      <c r="D1276" s="47"/>
      <c r="E1276" s="47"/>
      <c r="F1276" s="48"/>
      <c r="G1276" s="62" t="str">
        <f>IFERROR(INDEX(StockInData[Expiry],MATCH(ProductMaster[[#This Row],[Product ID]],StockInData[Product ID],0)),"")</f>
        <v/>
      </c>
      <c r="H1276" s="47"/>
      <c r="I1276" s="61">
        <f>SUMIFS(StockInData[Quantity],StockInData[Product ID],ProductMaster!$B1276)-SUMIFS(StockOutData[Quantity],StockOutData[Product ID],ProductMaster!$B1276)</f>
        <v>0</v>
      </c>
      <c r="J1276" s="63">
        <f>SUMIFS(StockInData[Value],StockInData[Product ID],ProductMaster!$B1276)-SUMIFS(StockOutData[Value],StockOutData[Product ID],ProductMaster!$B1276)</f>
        <v>0</v>
      </c>
    </row>
    <row r="1277" spans="1:10" hidden="1" x14ac:dyDescent="0.25">
      <c r="A1277" s="60">
        <v>1276</v>
      </c>
      <c r="B1277" s="83" t="s">
        <v>2601</v>
      </c>
      <c r="C1277" s="85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2">
        <v>1277</v>
      </c>
      <c r="B1278" s="83" t="s">
        <v>2603</v>
      </c>
      <c r="C1278" s="85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3" t="s">
        <v>2605</v>
      </c>
      <c r="C1279" s="85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2">
        <v>1279</v>
      </c>
      <c r="B1280" s="83" t="s">
        <v>2607</v>
      </c>
      <c r="C1280" s="85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3" t="s">
        <v>2609</v>
      </c>
      <c r="C1281" s="85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2">
        <v>1281</v>
      </c>
      <c r="B1282" s="83" t="s">
        <v>2611</v>
      </c>
      <c r="C1282" s="85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3" t="s">
        <v>2613</v>
      </c>
      <c r="C1283" s="85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2">
        <v>1283</v>
      </c>
      <c r="B1284" s="83" t="s">
        <v>2615</v>
      </c>
      <c r="C1284" s="85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3" t="s">
        <v>2617</v>
      </c>
      <c r="C1285" s="85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2">
        <v>1285</v>
      </c>
      <c r="B1286" s="83" t="s">
        <v>2619</v>
      </c>
      <c r="C1286" s="85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3" t="s">
        <v>2621</v>
      </c>
      <c r="C1287" s="85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2">
        <v>1287</v>
      </c>
      <c r="B1288" s="83" t="s">
        <v>2623</v>
      </c>
      <c r="C1288" s="85" t="s">
        <v>2624</v>
      </c>
      <c r="D1288" s="47"/>
      <c r="E1288" s="47"/>
      <c r="F1288" s="48"/>
      <c r="G1288" s="62" t="str">
        <f>IFERROR(INDEX(StockInData[Expiry],MATCH(ProductMaster[[#This Row],[Product ID]],StockInData[Product ID],0)),"")</f>
        <v/>
      </c>
      <c r="H1288" s="47"/>
      <c r="I1288" s="61">
        <f>SUMIFS(StockInData[Quantity],StockInData[Product ID],ProductMaster!$B1288)-SUMIFS(StockOutData[Quantity],StockOutData[Product ID],ProductMaster!$B1288)</f>
        <v>0</v>
      </c>
      <c r="J1288" s="63">
        <f>SUMIFS(StockInData[Value],StockInData[Product ID],ProductMaster!$B1288)-SUMIFS(StockOutData[Value],StockOutData[Product ID],ProductMaster!$B1288)</f>
        <v>0</v>
      </c>
    </row>
    <row r="1289" spans="1:10" hidden="1" x14ac:dyDescent="0.25">
      <c r="A1289" s="60">
        <v>1288</v>
      </c>
      <c r="B1289" s="83" t="s">
        <v>2625</v>
      </c>
      <c r="C1289" s="85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2">
        <v>1289</v>
      </c>
      <c r="B1290" s="83" t="s">
        <v>2627</v>
      </c>
      <c r="C1290" s="85" t="s">
        <v>2628</v>
      </c>
      <c r="D1290" s="47"/>
      <c r="E1290" s="47"/>
      <c r="F1290" s="48"/>
      <c r="G1290" s="62" t="str">
        <f>IFERROR(INDEX(StockInData[Expiry],MATCH(ProductMaster[[#This Row],[Product ID]],StockInData[Product ID],0)),"")</f>
        <v/>
      </c>
      <c r="H1290" s="47"/>
      <c r="I1290" s="61">
        <f>SUMIFS(StockInData[Quantity],StockInData[Product ID],ProductMaster!$B1290)-SUMIFS(StockOutData[Quantity],StockOutData[Product ID],ProductMaster!$B1290)</f>
        <v>0</v>
      </c>
      <c r="J1290" s="63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0">
        <v>1290</v>
      </c>
      <c r="B1291" s="83" t="s">
        <v>2629</v>
      </c>
      <c r="C1291" s="85" t="s">
        <v>2630</v>
      </c>
      <c r="D1291" s="47"/>
      <c r="E1291" s="47"/>
      <c r="F1291" s="48"/>
      <c r="G1291" s="62" t="str">
        <f>IFERROR(INDEX(StockInData[Expiry],MATCH(ProductMaster[[#This Row],[Product ID]],StockInData[Product ID],0)),"")</f>
        <v/>
      </c>
      <c r="H1291" s="47"/>
      <c r="I1291" s="61">
        <f>SUMIFS(StockInData[Quantity],StockInData[Product ID],ProductMaster!$B1291)-SUMIFS(StockOutData[Quantity],StockOutData[Product ID],ProductMaster!$B1291)</f>
        <v>0</v>
      </c>
      <c r="J1291" s="63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82">
        <v>1291</v>
      </c>
      <c r="B1292" s="83" t="s">
        <v>2631</v>
      </c>
      <c r="C1292" s="85" t="s">
        <v>2632</v>
      </c>
      <c r="D1292" s="47"/>
      <c r="E1292" s="47"/>
      <c r="F1292" s="48"/>
      <c r="G1292" s="62" t="str">
        <f>IFERROR(INDEX(StockInData[Expiry],MATCH(ProductMaster[[#This Row],[Product ID]],StockInData[Product ID],0)),"")</f>
        <v/>
      </c>
      <c r="H1292" s="47"/>
      <c r="I1292" s="61">
        <f>SUMIFS(StockInData[Quantity],StockInData[Product ID],ProductMaster!$B1292)-SUMIFS(StockOutData[Quantity],StockOutData[Product ID],ProductMaster!$B1292)</f>
        <v>0</v>
      </c>
      <c r="J1292" s="63">
        <f>SUMIFS(StockInData[Value],StockInData[Product ID],ProductMaster!$B1292)-SUMIFS(StockOutData[Value],StockOutData[Product ID],ProductMaster!$B1292)</f>
        <v>0</v>
      </c>
    </row>
    <row r="1293" spans="1:10" hidden="1" x14ac:dyDescent="0.25">
      <c r="A1293" s="60">
        <v>1292</v>
      </c>
      <c r="B1293" s="83" t="s">
        <v>2633</v>
      </c>
      <c r="C1293" s="85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2">
        <v>1293</v>
      </c>
      <c r="B1294" s="83" t="s">
        <v>2635</v>
      </c>
      <c r="C1294" s="85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3" t="s">
        <v>2637</v>
      </c>
      <c r="C1295" s="85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82">
        <v>1295</v>
      </c>
      <c r="B1296" s="83" t="s">
        <v>2639</v>
      </c>
      <c r="C1296" s="85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3" t="s">
        <v>2641</v>
      </c>
      <c r="C1297" s="85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2">
        <v>1297</v>
      </c>
      <c r="B1298" s="83" t="s">
        <v>2643</v>
      </c>
      <c r="C1298" s="85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3" t="s">
        <v>2645</v>
      </c>
      <c r="C1299" s="85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2">
        <v>1299</v>
      </c>
      <c r="B1300" s="83" t="s">
        <v>2647</v>
      </c>
      <c r="C1300" s="85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3" t="s">
        <v>2649</v>
      </c>
      <c r="C1301" s="85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82">
        <v>1301</v>
      </c>
      <c r="B1302" s="83" t="s">
        <v>2651</v>
      </c>
      <c r="C1302" s="85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3" t="s">
        <v>2653</v>
      </c>
      <c r="C1303" s="85" t="s">
        <v>2654</v>
      </c>
      <c r="D1303" s="47"/>
      <c r="E1303" s="47"/>
      <c r="F1303" s="48"/>
      <c r="G1303" s="62" t="str">
        <f>IFERROR(INDEX(StockInData[Expiry],MATCH(ProductMaster[[#This Row],[Product ID]],StockInData[Product ID],0)),"")</f>
        <v/>
      </c>
      <c r="H1303" s="47"/>
      <c r="I1303" s="61">
        <f>SUMIFS(StockInData[Quantity],StockInData[Product ID],ProductMaster!$B1303)-SUMIFS(StockOutData[Quantity],StockOutData[Product ID],ProductMaster!$B1303)</f>
        <v>0</v>
      </c>
      <c r="J1303" s="63">
        <f>SUMIFS(StockInData[Value],StockInData[Product ID],ProductMaster!$B1303)-SUMIFS(StockOutData[Value],StockOutData[Product ID],ProductMaster!$B1303)</f>
        <v>0</v>
      </c>
    </row>
    <row r="1304" spans="1:10" hidden="1" x14ac:dyDescent="0.25">
      <c r="A1304" s="82">
        <v>1303</v>
      </c>
      <c r="B1304" s="83" t="s">
        <v>2655</v>
      </c>
      <c r="C1304" s="85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3" t="s">
        <v>2657</v>
      </c>
      <c r="C1305" s="85" t="s">
        <v>2658</v>
      </c>
      <c r="D1305" s="47"/>
      <c r="E1305" s="47"/>
      <c r="F1305" s="48"/>
      <c r="G1305" s="62" t="str">
        <f>IFERROR(INDEX(StockInData[Expiry],MATCH(ProductMaster[[#This Row],[Product ID]],StockInData[Product ID],0)),"")</f>
        <v/>
      </c>
      <c r="H1305" s="47"/>
      <c r="I1305" s="61">
        <f>SUMIFS(StockInData[Quantity],StockInData[Product ID],ProductMaster!$B1305)-SUMIFS(StockOutData[Quantity],StockOutData[Product ID],ProductMaster!$B1305)</f>
        <v>0</v>
      </c>
      <c r="J1305" s="63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82">
        <v>1305</v>
      </c>
      <c r="B1306" s="83" t="s">
        <v>2659</v>
      </c>
      <c r="C1306" s="85" t="s">
        <v>2660</v>
      </c>
      <c r="D1306" s="47"/>
      <c r="E1306" s="47"/>
      <c r="F1306" s="48"/>
      <c r="G1306" s="62" t="str">
        <f>IFERROR(INDEX(StockInData[Expiry],MATCH(ProductMaster[[#This Row],[Product ID]],StockInData[Product ID],0)),"")</f>
        <v/>
      </c>
      <c r="H1306" s="47"/>
      <c r="I1306" s="61">
        <f>SUMIFS(StockInData[Quantity],StockInData[Product ID],ProductMaster!$B1306)-SUMIFS(StockOutData[Quantity],StockOutData[Product ID],ProductMaster!$B1306)</f>
        <v>0</v>
      </c>
      <c r="J1306" s="63">
        <f>SUMIFS(StockInData[Value],StockInData[Product ID],ProductMaster!$B1306)-SUMIFS(StockOutData[Value],StockOutData[Product ID],ProductMaster!$B1306)</f>
        <v>0</v>
      </c>
    </row>
    <row r="1307" spans="1:10" hidden="1" x14ac:dyDescent="0.25">
      <c r="A1307" s="60">
        <v>1306</v>
      </c>
      <c r="B1307" s="83" t="s">
        <v>2661</v>
      </c>
      <c r="C1307" s="85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2">
        <v>1307</v>
      </c>
      <c r="B1308" s="83" t="s">
        <v>2663</v>
      </c>
      <c r="C1308" s="85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3" t="s">
        <v>2665</v>
      </c>
      <c r="C1309" s="85" t="s">
        <v>2666</v>
      </c>
      <c r="D1309" s="47"/>
      <c r="E1309" s="47"/>
      <c r="F1309" s="48"/>
      <c r="G1309" s="62" t="str">
        <f>IFERROR(INDEX(StockInData[Expiry],MATCH(ProductMaster[[#This Row],[Product ID]],StockInData[Product ID],0)),"")</f>
        <v/>
      </c>
      <c r="H1309" s="47"/>
      <c r="I1309" s="61">
        <f>SUMIFS(StockInData[Quantity],StockInData[Product ID],ProductMaster!$B1309)-SUMIFS(StockOutData[Quantity],StockOutData[Product ID],ProductMaster!$B1309)</f>
        <v>0</v>
      </c>
      <c r="J1309" s="63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82">
        <v>1309</v>
      </c>
      <c r="B1310" s="83" t="s">
        <v>2667</v>
      </c>
      <c r="C1310" s="85" t="s">
        <v>2668</v>
      </c>
      <c r="D1310" s="47"/>
      <c r="E1310" s="47"/>
      <c r="F1310" s="48"/>
      <c r="G1310" s="62" t="str">
        <f>IFERROR(INDEX(StockInData[Expiry],MATCH(ProductMaster[[#This Row],[Product ID]],StockInData[Product ID],0)),"")</f>
        <v/>
      </c>
      <c r="H1310" s="47"/>
      <c r="I1310" s="61">
        <f>SUMIFS(StockInData[Quantity],StockInData[Product ID],ProductMaster!$B1310)-SUMIFS(StockOutData[Quantity],StockOutData[Product ID],ProductMaster!$B1310)</f>
        <v>0</v>
      </c>
      <c r="J1310" s="63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3" t="s">
        <v>2669</v>
      </c>
      <c r="C1311" s="85" t="s">
        <v>2670</v>
      </c>
      <c r="D1311" s="47"/>
      <c r="E1311" s="47"/>
      <c r="F1311" s="48"/>
      <c r="G1311" s="62" t="str">
        <f>IFERROR(INDEX(StockInData[Expiry],MATCH(ProductMaster[[#This Row],[Product ID]],StockInData[Product ID],0)),"")</f>
        <v/>
      </c>
      <c r="H1311" s="47"/>
      <c r="I1311" s="61">
        <f>SUMIFS(StockInData[Quantity],StockInData[Product ID],ProductMaster!$B1311)-SUMIFS(StockOutData[Quantity],StockOutData[Product ID],ProductMaster!$B1311)</f>
        <v>0</v>
      </c>
      <c r="J1311" s="63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82">
        <v>1311</v>
      </c>
      <c r="B1312" s="83" t="s">
        <v>2671</v>
      </c>
      <c r="C1312" s="85" t="s">
        <v>2672</v>
      </c>
      <c r="D1312" s="47"/>
      <c r="E1312" s="47"/>
      <c r="F1312" s="48"/>
      <c r="G1312" s="62" t="str">
        <f>IFERROR(INDEX(StockInData[Expiry],MATCH(ProductMaster[[#This Row],[Product ID]],StockInData[Product ID],0)),"")</f>
        <v/>
      </c>
      <c r="H1312" s="47"/>
      <c r="I1312" s="61">
        <f>SUMIFS(StockInData[Quantity],StockInData[Product ID],ProductMaster!$B1312)-SUMIFS(StockOutData[Quantity],StockOutData[Product ID],ProductMaster!$B1312)</f>
        <v>0</v>
      </c>
      <c r="J1312" s="63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3" t="s">
        <v>2673</v>
      </c>
      <c r="C1313" s="85" t="s">
        <v>2674</v>
      </c>
      <c r="D1313" s="47"/>
      <c r="E1313" s="47"/>
      <c r="F1313" s="48"/>
      <c r="G1313" s="62" t="str">
        <f>IFERROR(INDEX(StockInData[Expiry],MATCH(ProductMaster[[#This Row],[Product ID]],StockInData[Product ID],0)),"")</f>
        <v/>
      </c>
      <c r="H1313" s="47"/>
      <c r="I1313" s="61">
        <f>SUMIFS(StockInData[Quantity],StockInData[Product ID],ProductMaster!$B1313)-SUMIFS(StockOutData[Quantity],StockOutData[Product ID],ProductMaster!$B1313)</f>
        <v>0</v>
      </c>
      <c r="J1313" s="63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82">
        <v>1313</v>
      </c>
      <c r="B1314" s="83" t="s">
        <v>2675</v>
      </c>
      <c r="C1314" s="85" t="s">
        <v>2676</v>
      </c>
      <c r="D1314" s="47"/>
      <c r="E1314" s="47"/>
      <c r="F1314" s="48"/>
      <c r="G1314" s="62" t="str">
        <f>IFERROR(INDEX(StockInData[Expiry],MATCH(ProductMaster[[#This Row],[Product ID]],StockInData[Product ID],0)),"")</f>
        <v/>
      </c>
      <c r="H1314" s="47"/>
      <c r="I1314" s="61">
        <f>SUMIFS(StockInData[Quantity],StockInData[Product ID],ProductMaster!$B1314)-SUMIFS(StockOutData[Quantity],StockOutData[Product ID],ProductMaster!$B1314)</f>
        <v>0</v>
      </c>
      <c r="J1314" s="63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3" t="s">
        <v>2677</v>
      </c>
      <c r="C1315" s="85" t="s">
        <v>2678</v>
      </c>
      <c r="D1315" s="47"/>
      <c r="E1315" s="47"/>
      <c r="F1315" s="48"/>
      <c r="G1315" s="62" t="str">
        <f>IFERROR(INDEX(StockInData[Expiry],MATCH(ProductMaster[[#This Row],[Product ID]],StockInData[Product ID],0)),"")</f>
        <v/>
      </c>
      <c r="H1315" s="47"/>
      <c r="I1315" s="61">
        <f>SUMIFS(StockInData[Quantity],StockInData[Product ID],ProductMaster!$B1315)-SUMIFS(StockOutData[Quantity],StockOutData[Product ID],ProductMaster!$B1315)</f>
        <v>0</v>
      </c>
      <c r="J1315" s="63">
        <f>SUMIFS(StockInData[Value],StockInData[Product ID],ProductMaster!$B1315)-SUMIFS(StockOutData[Value],StockOutData[Product ID],ProductMaster!$B1315)</f>
        <v>0</v>
      </c>
    </row>
    <row r="1316" spans="1:10" hidden="1" x14ac:dyDescent="0.25">
      <c r="A1316" s="82">
        <v>1315</v>
      </c>
      <c r="B1316" s="83" t="s">
        <v>2679</v>
      </c>
      <c r="C1316" s="85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3" t="s">
        <v>2681</v>
      </c>
      <c r="C1317" s="85" t="s">
        <v>2682</v>
      </c>
      <c r="D1317" s="47"/>
      <c r="E1317" s="47"/>
      <c r="F1317" s="48"/>
      <c r="G1317" s="62" t="str">
        <f>IFERROR(INDEX(StockInData[Expiry],MATCH(ProductMaster[[#This Row],[Product ID]],StockInData[Product ID],0)),"")</f>
        <v/>
      </c>
      <c r="H1317" s="47"/>
      <c r="I1317" s="61">
        <f>SUMIFS(StockInData[Quantity],StockInData[Product ID],ProductMaster!$B1317)-SUMIFS(StockOutData[Quantity],StockOutData[Product ID],ProductMaster!$B1317)</f>
        <v>0</v>
      </c>
      <c r="J1317" s="63">
        <f>SUMIFS(StockInData[Value],StockInData[Product ID],ProductMaster!$B1317)-SUMIFS(StockOutData[Value],StockOutData[Product ID],ProductMaster!$B1317)</f>
        <v>0</v>
      </c>
    </row>
    <row r="1318" spans="1:10" hidden="1" x14ac:dyDescent="0.25">
      <c r="A1318" s="82">
        <v>1317</v>
      </c>
      <c r="B1318" s="83" t="s">
        <v>2683</v>
      </c>
      <c r="C1318" s="85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3" t="s">
        <v>2685</v>
      </c>
      <c r="C1319" s="85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82">
        <v>1319</v>
      </c>
      <c r="B1320" s="83" t="s">
        <v>2687</v>
      </c>
      <c r="C1320" s="85" t="s">
        <v>2688</v>
      </c>
      <c r="D1320" s="47"/>
      <c r="E1320" s="47"/>
      <c r="F1320" s="48"/>
      <c r="G1320" s="62" t="str">
        <f>IFERROR(INDEX(StockInData[Expiry],MATCH(ProductMaster[[#This Row],[Product ID]],StockInData[Product ID],0)),"")</f>
        <v/>
      </c>
      <c r="H1320" s="47"/>
      <c r="I1320" s="61">
        <f>SUMIFS(StockInData[Quantity],StockInData[Product ID],ProductMaster!$B1320)-SUMIFS(StockOutData[Quantity],StockOutData[Product ID],ProductMaster!$B1320)</f>
        <v>0</v>
      </c>
      <c r="J1320" s="63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3" t="s">
        <v>2689</v>
      </c>
      <c r="C1321" s="85" t="s">
        <v>2690</v>
      </c>
      <c r="D1321" s="47"/>
      <c r="E1321" s="47"/>
      <c r="F1321" s="48"/>
      <c r="G1321" s="62" t="str">
        <f>IFERROR(INDEX(StockInData[Expiry],MATCH(ProductMaster[[#This Row],[Product ID]],StockInData[Product ID],0)),"")</f>
        <v/>
      </c>
      <c r="H1321" s="47"/>
      <c r="I1321" s="61">
        <f>SUMIFS(StockInData[Quantity],StockInData[Product ID],ProductMaster!$B1321)-SUMIFS(StockOutData[Quantity],StockOutData[Product ID],ProductMaster!$B1321)</f>
        <v>0</v>
      </c>
      <c r="J1321" s="63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82">
        <v>1321</v>
      </c>
      <c r="B1322" s="83" t="s">
        <v>2691</v>
      </c>
      <c r="C1322" s="85" t="s">
        <v>2692</v>
      </c>
      <c r="D1322" s="47"/>
      <c r="E1322" s="47"/>
      <c r="F1322" s="48"/>
      <c r="G1322" s="62" t="str">
        <f>IFERROR(INDEX(StockInData[Expiry],MATCH(ProductMaster[[#This Row],[Product ID]],StockInData[Product ID],0)),"")</f>
        <v/>
      </c>
      <c r="H1322" s="47"/>
      <c r="I1322" s="61">
        <f>SUMIFS(StockInData[Quantity],StockInData[Product ID],ProductMaster!$B1322)-SUMIFS(StockOutData[Quantity],StockOutData[Product ID],ProductMaster!$B1322)</f>
        <v>0</v>
      </c>
      <c r="J1322" s="63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3" t="s">
        <v>2693</v>
      </c>
      <c r="C1323" s="85" t="s">
        <v>2694</v>
      </c>
      <c r="D1323" s="47"/>
      <c r="E1323" s="47"/>
      <c r="F1323" s="48"/>
      <c r="G1323" s="62" t="str">
        <f>IFERROR(INDEX(StockInData[Expiry],MATCH(ProductMaster[[#This Row],[Product ID]],StockInData[Product ID],0)),"")</f>
        <v/>
      </c>
      <c r="H1323" s="47"/>
      <c r="I1323" s="61">
        <f>SUMIFS(StockInData[Quantity],StockInData[Product ID],ProductMaster!$B1323)-SUMIFS(StockOutData[Quantity],StockOutData[Product ID],ProductMaster!$B1323)</f>
        <v>0</v>
      </c>
      <c r="J1323" s="63">
        <f>SUMIFS(StockInData[Value],StockInData[Product ID],ProductMaster!$B1323)-SUMIFS(StockOutData[Value],StockOutData[Product ID],ProductMaster!$B1323)</f>
        <v>0</v>
      </c>
    </row>
    <row r="1324" spans="1:10" hidden="1" x14ac:dyDescent="0.25">
      <c r="A1324" s="82">
        <v>1323</v>
      </c>
      <c r="B1324" s="83" t="s">
        <v>2695</v>
      </c>
      <c r="C1324" s="85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3" t="s">
        <v>2697</v>
      </c>
      <c r="C1325" s="85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82">
        <v>1325</v>
      </c>
      <c r="B1326" s="83" t="s">
        <v>2699</v>
      </c>
      <c r="C1326" s="85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3" t="s">
        <v>2701</v>
      </c>
      <c r="C1327" s="85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82">
        <v>1327</v>
      </c>
      <c r="B1328" s="83" t="s">
        <v>2703</v>
      </c>
      <c r="C1328" s="85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3" t="s">
        <v>2705</v>
      </c>
      <c r="C1329" s="85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82">
        <v>1329</v>
      </c>
      <c r="B1330" s="83" t="s">
        <v>2707</v>
      </c>
      <c r="C1330" s="85" t="s">
        <v>2708</v>
      </c>
      <c r="D1330" s="47"/>
      <c r="E1330" s="47"/>
      <c r="F1330" s="48"/>
      <c r="G1330" s="62" t="str">
        <f>IFERROR(INDEX(StockInData[Expiry],MATCH(ProductMaster[[#This Row],[Product ID]],StockInData[Product ID],0)),"")</f>
        <v/>
      </c>
      <c r="H1330" s="47"/>
      <c r="I1330" s="61">
        <f>SUMIFS(StockInData[Quantity],StockInData[Product ID],ProductMaster!$B1330)-SUMIFS(StockOutData[Quantity],StockOutData[Product ID],ProductMaster!$B1330)</f>
        <v>0</v>
      </c>
      <c r="J1330" s="63">
        <f>SUMIFS(StockInData[Value],StockInData[Product ID],ProductMaster!$B1330)-SUMIFS(StockOutData[Value],StockOutData[Product ID],ProductMaster!$B1330)</f>
        <v>0</v>
      </c>
    </row>
    <row r="1331" spans="1:10" hidden="1" x14ac:dyDescent="0.25">
      <c r="A1331" s="60">
        <v>1330</v>
      </c>
      <c r="B1331" s="83" t="s">
        <v>2709</v>
      </c>
      <c r="C1331" s="85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82">
        <v>1331</v>
      </c>
      <c r="B1332" s="83" t="s">
        <v>2711</v>
      </c>
      <c r="C1332" s="85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3" t="s">
        <v>2713</v>
      </c>
      <c r="C1333" s="85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82">
        <v>1333</v>
      </c>
      <c r="B1334" s="83" t="s">
        <v>2715</v>
      </c>
      <c r="C1334" s="85" t="s">
        <v>2716</v>
      </c>
      <c r="D1334" s="47"/>
      <c r="E1334" s="47"/>
      <c r="F1334" s="48"/>
      <c r="G1334" s="62" t="str">
        <f>IFERROR(INDEX(StockInData[Expiry],MATCH(ProductMaster[[#This Row],[Product ID]],StockInData[Product ID],0)),"")</f>
        <v/>
      </c>
      <c r="H1334" s="47"/>
      <c r="I1334" s="61">
        <f>SUMIFS(StockInData[Quantity],StockInData[Product ID],ProductMaster!$B1334)-SUMIFS(StockOutData[Quantity],StockOutData[Product ID],ProductMaster!$B1334)</f>
        <v>0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3" t="s">
        <v>2717</v>
      </c>
      <c r="C1335" s="85" t="s">
        <v>2718</v>
      </c>
      <c r="D1335" s="47"/>
      <c r="E1335" s="47"/>
      <c r="F1335" s="48"/>
      <c r="G1335" s="62" t="str">
        <f>IFERROR(INDEX(StockInData[Expiry],MATCH(ProductMaster[[#This Row],[Product ID]],StockInData[Product ID],0)),"")</f>
        <v/>
      </c>
      <c r="H1335" s="47"/>
      <c r="I1335" s="61">
        <f>SUMIFS(StockInData[Quantity],StockInData[Product ID],ProductMaster!$B1335)-SUMIFS(StockOutData[Quantity],StockOutData[Product ID],ProductMaster!$B1335)</f>
        <v>0</v>
      </c>
      <c r="J1335" s="63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82">
        <v>1335</v>
      </c>
      <c r="B1336" s="83" t="s">
        <v>2719</v>
      </c>
      <c r="C1336" s="85" t="s">
        <v>2720</v>
      </c>
      <c r="D1336" s="47"/>
      <c r="E1336" s="47"/>
      <c r="F1336" s="48"/>
      <c r="G1336" s="62" t="str">
        <f>IFERROR(INDEX(StockInData[Expiry],MATCH(ProductMaster[[#This Row],[Product ID]],StockInData[Product ID],0)),"")</f>
        <v/>
      </c>
      <c r="H1336" s="47"/>
      <c r="I1336" s="61">
        <f>SUMIFS(StockInData[Quantity],StockInData[Product ID],ProductMaster!$B1336)-SUMIFS(StockOutData[Quantity],StockOutData[Product ID],ProductMaster!$B1336)</f>
        <v>0</v>
      </c>
      <c r="J1336" s="63">
        <f>SUMIFS(StockInData[Value],StockInData[Product ID],ProductMaster!$B1336)-SUMIFS(StockOutData[Value],StockOutData[Product ID],ProductMaster!$B1336)</f>
        <v>0</v>
      </c>
    </row>
    <row r="1337" spans="1:10" hidden="1" x14ac:dyDescent="0.25">
      <c r="A1337" s="60">
        <v>1336</v>
      </c>
      <c r="B1337" s="83" t="s">
        <v>2721</v>
      </c>
      <c r="C1337" s="85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82">
        <v>1337</v>
      </c>
      <c r="B1338" s="83" t="s">
        <v>2723</v>
      </c>
      <c r="C1338" s="85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3" t="s">
        <v>2725</v>
      </c>
      <c r="C1339" s="85" t="s">
        <v>2726</v>
      </c>
      <c r="D1339" s="47"/>
      <c r="E1339" s="47"/>
      <c r="F1339" s="48"/>
      <c r="G1339" s="62" t="str">
        <f>IFERROR(INDEX(StockInData[Expiry],MATCH(ProductMaster[[#This Row],[Product ID]],StockInData[Product ID],0)),"")</f>
        <v/>
      </c>
      <c r="H1339" s="47"/>
      <c r="I1339" s="61">
        <f>SUMIFS(StockInData[Quantity],StockInData[Product ID],ProductMaster!$B1339)-SUMIFS(StockOutData[Quantity],StockOutData[Product ID],ProductMaster!$B1339)</f>
        <v>0</v>
      </c>
      <c r="J1339" s="63">
        <f>SUMIFS(StockInData[Value],StockInData[Product ID],ProductMaster!$B1339)-SUMIFS(StockOutData[Value],StockOutData[Product ID],ProductMaster!$B1339)</f>
        <v>0</v>
      </c>
    </row>
    <row r="1340" spans="1:10" hidden="1" x14ac:dyDescent="0.25">
      <c r="A1340" s="82">
        <v>1339</v>
      </c>
      <c r="B1340" s="83" t="s">
        <v>2727</v>
      </c>
      <c r="C1340" s="85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3" t="s">
        <v>2729</v>
      </c>
      <c r="C1341" s="85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82">
        <v>1341</v>
      </c>
      <c r="B1342" s="83" t="s">
        <v>2731</v>
      </c>
      <c r="C1342" s="85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3" t="s">
        <v>2733</v>
      </c>
      <c r="C1343" s="85" t="s">
        <v>2734</v>
      </c>
      <c r="D1343" s="47"/>
      <c r="E1343" s="47"/>
      <c r="F1343" s="48"/>
      <c r="G1343" s="62" t="str">
        <f>IFERROR(INDEX(StockInData[Expiry],MATCH(ProductMaster[[#This Row],[Product ID]],StockInData[Product ID],0)),"")</f>
        <v/>
      </c>
      <c r="H1343" s="47"/>
      <c r="I1343" s="61">
        <f>SUMIFS(StockInData[Quantity],StockInData[Product ID],ProductMaster!$B1343)-SUMIFS(StockOutData[Quantity],StockOutData[Product ID],ProductMaster!$B1343)</f>
        <v>0</v>
      </c>
      <c r="J1343" s="63">
        <f>SUMIFS(StockInData[Value],StockInData[Product ID],ProductMaster!$B1343)-SUMIFS(StockOutData[Value],StockOutData[Product ID],ProductMaster!$B1343)</f>
        <v>0</v>
      </c>
    </row>
    <row r="1344" spans="1:10" hidden="1" x14ac:dyDescent="0.25">
      <c r="A1344" s="82">
        <v>1343</v>
      </c>
      <c r="B1344" s="83" t="s">
        <v>2735</v>
      </c>
      <c r="C1344" s="85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3" t="s">
        <v>2737</v>
      </c>
      <c r="C1345" s="85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82">
        <v>1345</v>
      </c>
      <c r="B1346" s="83" t="s">
        <v>2739</v>
      </c>
      <c r="C1346" s="85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3" t="s">
        <v>2741</v>
      </c>
      <c r="C1347" s="85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2">
        <v>1347</v>
      </c>
      <c r="B1348" s="83" t="s">
        <v>2743</v>
      </c>
      <c r="C1348" s="85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3" t="s">
        <v>2745</v>
      </c>
      <c r="C1349" s="85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82">
        <v>1349</v>
      </c>
      <c r="B1350" s="83" t="s">
        <v>2747</v>
      </c>
      <c r="C1350" s="85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3" t="s">
        <v>2749</v>
      </c>
      <c r="C1351" s="85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82">
        <v>1351</v>
      </c>
      <c r="B1352" s="83" t="s">
        <v>2751</v>
      </c>
      <c r="C1352" s="85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3" t="s">
        <v>2753</v>
      </c>
      <c r="C1353" s="85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82">
        <v>1353</v>
      </c>
      <c r="B1354" s="83" t="s">
        <v>2755</v>
      </c>
      <c r="C1354" s="85" t="s">
        <v>2756</v>
      </c>
      <c r="D1354" s="47"/>
      <c r="E1354" s="47"/>
      <c r="F1354" s="48"/>
      <c r="G1354" s="62" t="str">
        <f>IFERROR(INDEX(StockInData[Expiry],MATCH(ProductMaster[[#This Row],[Product ID]],StockInData[Product ID],0)),"")</f>
        <v/>
      </c>
      <c r="H1354" s="47"/>
      <c r="I1354" s="61">
        <f>SUMIFS(StockInData[Quantity],StockInData[Product ID],ProductMaster!$B1354)-SUMIFS(StockOutData[Quantity],StockOutData[Product ID],ProductMaster!$B1354)</f>
        <v>0</v>
      </c>
      <c r="J1354" s="63">
        <f>SUMIFS(StockInData[Value],StockInData[Product ID],ProductMaster!$B1354)-SUMIFS(StockOutData[Value],StockOutData[Product ID],ProductMaster!$B1354)</f>
        <v>0</v>
      </c>
    </row>
    <row r="1355" spans="1:10" hidden="1" x14ac:dyDescent="0.25">
      <c r="A1355" s="60">
        <v>1354</v>
      </c>
      <c r="B1355" s="83" t="s">
        <v>2757</v>
      </c>
      <c r="C1355" s="85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2">
        <v>1355</v>
      </c>
      <c r="B1356" s="83" t="s">
        <v>2759</v>
      </c>
      <c r="C1356" s="85" t="s">
        <v>2760</v>
      </c>
      <c r="D1356" s="47"/>
      <c r="E1356" s="47"/>
      <c r="F1356" s="48"/>
      <c r="G1356" s="62" t="str">
        <f>IFERROR(INDEX(StockInData[Expiry],MATCH(ProductMaster[[#This Row],[Product ID]],StockInData[Product ID],0)),"")</f>
        <v/>
      </c>
      <c r="H1356" s="47"/>
      <c r="I1356" s="61">
        <f>SUMIFS(StockInData[Quantity],StockInData[Product ID],ProductMaster!$B1356)-SUMIFS(StockOutData[Quantity],StockOutData[Product ID],ProductMaster!$B1356)</f>
        <v>0</v>
      </c>
      <c r="J1356" s="63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3" t="s">
        <v>2761</v>
      </c>
      <c r="C1357" s="85" t="s">
        <v>2762</v>
      </c>
      <c r="D1357" s="47"/>
      <c r="E1357" s="47"/>
      <c r="F1357" s="48"/>
      <c r="G1357" s="62" t="str">
        <f>IFERROR(INDEX(StockInData[Expiry],MATCH(ProductMaster[[#This Row],[Product ID]],StockInData[Product ID],0)),"")</f>
        <v/>
      </c>
      <c r="H1357" s="47"/>
      <c r="I1357" s="61">
        <f>SUMIFS(StockInData[Quantity],StockInData[Product ID],ProductMaster!$B1357)-SUMIFS(StockOutData[Quantity],StockOutData[Product ID],ProductMaster!$B1357)</f>
        <v>0</v>
      </c>
      <c r="J1357" s="63">
        <f>SUMIFS(StockInData[Value],StockInData[Product ID],ProductMaster!$B1357)-SUMIFS(StockOutData[Value],StockOutData[Product ID],ProductMaster!$B1357)</f>
        <v>0</v>
      </c>
    </row>
    <row r="1358" spans="1:10" hidden="1" x14ac:dyDescent="0.25">
      <c r="A1358" s="82">
        <v>1357</v>
      </c>
      <c r="B1358" s="83" t="s">
        <v>2763</v>
      </c>
      <c r="C1358" s="85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3" t="s">
        <v>2765</v>
      </c>
      <c r="C1359" s="85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82">
        <v>1359</v>
      </c>
      <c r="B1360" s="83" t="s">
        <v>2767</v>
      </c>
      <c r="C1360" s="85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3" t="s">
        <v>2769</v>
      </c>
      <c r="C1361" s="85" t="s">
        <v>2770</v>
      </c>
      <c r="D1361" s="47"/>
      <c r="E1361" s="47"/>
      <c r="F1361" s="48"/>
      <c r="G1361" s="62" t="str">
        <f>IFERROR(INDEX(StockInData[Expiry],MATCH(ProductMaster[[#This Row],[Product ID]],StockInData[Product ID],0)),"")</f>
        <v/>
      </c>
      <c r="H1361" s="47"/>
      <c r="I1361" s="61">
        <f>SUMIFS(StockInData[Quantity],StockInData[Product ID],ProductMaster!$B1361)-SUMIFS(StockOutData[Quantity],StockOutData[Product ID],ProductMaster!$B1361)</f>
        <v>0</v>
      </c>
      <c r="J1361" s="63">
        <f>SUMIFS(StockInData[Value],StockInData[Product ID],ProductMaster!$B1361)-SUMIFS(StockOutData[Value],StockOutData[Product ID],ProductMaster!$B1361)</f>
        <v>0</v>
      </c>
    </row>
    <row r="1362" spans="1:10" hidden="1" x14ac:dyDescent="0.25">
      <c r="A1362" s="82">
        <v>1361</v>
      </c>
      <c r="B1362" s="83" t="s">
        <v>2771</v>
      </c>
      <c r="C1362" s="85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3" t="s">
        <v>2773</v>
      </c>
      <c r="C1363" s="85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82">
        <v>1363</v>
      </c>
      <c r="B1364" s="83" t="s">
        <v>2775</v>
      </c>
      <c r="C1364" s="85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3" t="s">
        <v>2777</v>
      </c>
      <c r="C1365" s="85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82">
        <v>1365</v>
      </c>
      <c r="B1366" s="83" t="s">
        <v>2779</v>
      </c>
      <c r="C1366" s="85" t="s">
        <v>2780</v>
      </c>
      <c r="D1366" s="47"/>
      <c r="E1366" s="47"/>
      <c r="F1366" s="48"/>
      <c r="G1366" s="62" t="str">
        <f>IFERROR(INDEX(StockInData[Expiry],MATCH(ProductMaster[[#This Row],[Product ID]],StockInData[Product ID],0)),"")</f>
        <v/>
      </c>
      <c r="H1366" s="47"/>
      <c r="I1366" s="61">
        <f>SUMIFS(StockInData[Quantity],StockInData[Product ID],ProductMaster!$B1366)-SUMIFS(StockOutData[Quantity],StockOutData[Product ID],ProductMaster!$B1366)</f>
        <v>0</v>
      </c>
      <c r="J1366" s="63">
        <f>SUMIFS(StockInData[Value],StockInData[Product ID],ProductMaster!$B1366)-SUMIFS(StockOutData[Value],StockOutData[Product ID],ProductMaster!$B1366)</f>
        <v>0</v>
      </c>
    </row>
    <row r="1367" spans="1:10" hidden="1" x14ac:dyDescent="0.25">
      <c r="A1367" s="60">
        <v>1366</v>
      </c>
      <c r="B1367" s="83" t="s">
        <v>2781</v>
      </c>
      <c r="C1367" s="85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82">
        <v>1367</v>
      </c>
      <c r="B1368" s="83" t="s">
        <v>2783</v>
      </c>
      <c r="C1368" s="85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3" t="s">
        <v>2785</v>
      </c>
      <c r="C1369" s="85" t="s">
        <v>2786</v>
      </c>
      <c r="D1369" s="47"/>
      <c r="E1369" s="47"/>
      <c r="F1369" s="48"/>
      <c r="G1369" s="62" t="str">
        <f>IFERROR(INDEX(StockInData[Expiry],MATCH(ProductMaster[[#This Row],[Product ID]],StockInData[Product ID],0)),"")</f>
        <v/>
      </c>
      <c r="H1369" s="47"/>
      <c r="I1369" s="61">
        <f>SUMIFS(StockInData[Quantity],StockInData[Product ID],ProductMaster!$B1369)-SUMIFS(StockOutData[Quantity],StockOutData[Product ID],ProductMaster!$B1369)</f>
        <v>0</v>
      </c>
      <c r="J1369" s="63">
        <f>SUMIFS(StockInData[Value],StockInData[Product ID],ProductMaster!$B1369)-SUMIFS(StockOutData[Value],StockOutData[Product ID],ProductMaster!$B1369)</f>
        <v>0</v>
      </c>
    </row>
    <row r="1370" spans="1:10" hidden="1" x14ac:dyDescent="0.25">
      <c r="A1370" s="82">
        <v>1369</v>
      </c>
      <c r="B1370" s="83" t="s">
        <v>2787</v>
      </c>
      <c r="C1370" s="85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3" t="s">
        <v>2789</v>
      </c>
      <c r="C1371" s="85" t="s">
        <v>2790</v>
      </c>
      <c r="D1371" s="47"/>
      <c r="E1371" s="47"/>
      <c r="F1371" s="48"/>
      <c r="G1371" s="62" t="str">
        <f>IFERROR(INDEX(StockInData[Expiry],MATCH(ProductMaster[[#This Row],[Product ID]],StockInData[Product ID],0)),"")</f>
        <v/>
      </c>
      <c r="H1371" s="47"/>
      <c r="I1371" s="61">
        <f>SUMIFS(StockInData[Quantity],StockInData[Product ID],ProductMaster!$B1371)-SUMIFS(StockOutData[Quantity],StockOutData[Product ID],ProductMaster!$B1371)</f>
        <v>0</v>
      </c>
      <c r="J1371" s="63">
        <f>SUMIFS(StockInData[Value],StockInData[Product ID],ProductMaster!$B1371)-SUMIFS(StockOutData[Value],StockOutData[Product ID],ProductMaster!$B1371)</f>
        <v>0</v>
      </c>
    </row>
    <row r="1372" spans="1:10" hidden="1" x14ac:dyDescent="0.25">
      <c r="A1372" s="82">
        <v>1371</v>
      </c>
      <c r="B1372" s="83" t="s">
        <v>2791</v>
      </c>
      <c r="C1372" s="85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3" t="s">
        <v>2793</v>
      </c>
      <c r="C1373" s="85" t="s">
        <v>2794</v>
      </c>
      <c r="D1373" s="47"/>
      <c r="E1373" s="47"/>
      <c r="F1373" s="48"/>
      <c r="G1373" s="62" t="str">
        <f>IFERROR(INDEX(StockInData[Expiry],MATCH(ProductMaster[[#This Row],[Product ID]],StockInData[Product ID],0)),"")</f>
        <v/>
      </c>
      <c r="H1373" s="47"/>
      <c r="I1373" s="61">
        <f>SUMIFS(StockInData[Quantity],StockInData[Product ID],ProductMaster!$B1373)-SUMIFS(StockOutData[Quantity],StockOutData[Product ID],ProductMaster!$B1373)</f>
        <v>0</v>
      </c>
      <c r="J1373" s="63">
        <f>SUMIFS(StockInData[Value],StockInData[Product ID],ProductMaster!$B1373)-SUMIFS(StockOutData[Value],StockOutData[Product ID],ProductMaster!$B1373)</f>
        <v>0</v>
      </c>
    </row>
    <row r="1374" spans="1:10" hidden="1" x14ac:dyDescent="0.25">
      <c r="A1374" s="82">
        <v>1373</v>
      </c>
      <c r="B1374" s="83" t="s">
        <v>2795</v>
      </c>
      <c r="C1374" s="85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3" t="s">
        <v>2797</v>
      </c>
      <c r="C1375" s="85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2">
        <v>1375</v>
      </c>
      <c r="B1376" s="83" t="s">
        <v>2799</v>
      </c>
      <c r="C1376" s="85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3" t="s">
        <v>2801</v>
      </c>
      <c r="C1377" s="85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0</v>
      </c>
      <c r="J1377" s="63">
        <f>SUMIFS(StockInData[Value],StockInData[Product ID],ProductMaster!$B1377)-SUMIFS(StockOutData[Value],StockOutData[Product ID],ProductMaster!$B1377)</f>
        <v>0</v>
      </c>
    </row>
    <row r="1378" spans="1:10" hidden="1" x14ac:dyDescent="0.25">
      <c r="A1378" s="82">
        <v>1377</v>
      </c>
      <c r="B1378" s="83" t="s">
        <v>2803</v>
      </c>
      <c r="C1378" s="85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3" t="s">
        <v>2805</v>
      </c>
      <c r="C1379" s="85" t="s">
        <v>2806</v>
      </c>
      <c r="D1379" s="47"/>
      <c r="E1379" s="47"/>
      <c r="F1379" s="48"/>
      <c r="G1379" s="62" t="str">
        <f>IFERROR(INDEX(StockInData[Expiry],MATCH(ProductMaster[[#This Row],[Product ID]],StockInData[Product ID],0)),"")</f>
        <v/>
      </c>
      <c r="H1379" s="47"/>
      <c r="I1379" s="61">
        <f>SUMIFS(StockInData[Quantity],StockInData[Product ID],ProductMaster!$B1379)-SUMIFS(StockOutData[Quantity],StockOutData[Product ID],ProductMaster!$B1379)</f>
        <v>0</v>
      </c>
      <c r="J1379" s="63">
        <f>SUMIFS(StockInData[Value],StockInData[Product ID],ProductMaster!$B1379)-SUMIFS(StockOutData[Value],StockOutData[Product ID],ProductMaster!$B1379)</f>
        <v>0</v>
      </c>
    </row>
    <row r="1380" spans="1:10" hidden="1" x14ac:dyDescent="0.25">
      <c r="A1380" s="82">
        <v>1379</v>
      </c>
      <c r="B1380" s="83" t="s">
        <v>2807</v>
      </c>
      <c r="C1380" s="85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3" t="s">
        <v>2809</v>
      </c>
      <c r="C1381" s="85" t="s">
        <v>2810</v>
      </c>
      <c r="D1381" s="47"/>
      <c r="E1381" s="47"/>
      <c r="F1381" s="48"/>
      <c r="G1381" s="62" t="str">
        <f>IFERROR(INDEX(StockInData[Expiry],MATCH(ProductMaster[[#This Row],[Product ID]],StockInData[Product ID],0)),"")</f>
        <v/>
      </c>
      <c r="H1381" s="47"/>
      <c r="I1381" s="61">
        <f>SUMIFS(StockInData[Quantity],StockInData[Product ID],ProductMaster!$B1381)-SUMIFS(StockOutData[Quantity],StockOutData[Product ID],ProductMaster!$B1381)</f>
        <v>0</v>
      </c>
      <c r="J1381" s="63">
        <f>SUMIFS(StockInData[Value],StockInData[Product ID],ProductMaster!$B1381)-SUMIFS(StockOutData[Value],StockOutData[Product ID],ProductMaster!$B1381)</f>
        <v>0</v>
      </c>
    </row>
    <row r="1382" spans="1:10" hidden="1" x14ac:dyDescent="0.25">
      <c r="A1382" s="82">
        <v>1381</v>
      </c>
      <c r="B1382" s="83" t="s">
        <v>2811</v>
      </c>
      <c r="C1382" s="85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3" t="s">
        <v>2813</v>
      </c>
      <c r="C1383" s="85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82">
        <v>1383</v>
      </c>
      <c r="B1384" s="83" t="s">
        <v>2815</v>
      </c>
      <c r="C1384" s="85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3" t="s">
        <v>2817</v>
      </c>
      <c r="C1385" s="85" t="s">
        <v>2818</v>
      </c>
      <c r="D1385" s="47"/>
      <c r="E1385" s="47"/>
      <c r="F1385" s="48"/>
      <c r="G1385" s="62" t="str">
        <f>IFERROR(INDEX(StockInData[Expiry],MATCH(ProductMaster[[#This Row],[Product ID]],StockInData[Product ID],0)),"")</f>
        <v/>
      </c>
      <c r="H1385" s="47"/>
      <c r="I1385" s="61">
        <f>SUMIFS(StockInData[Quantity],StockInData[Product ID],ProductMaster!$B1385)-SUMIFS(StockOutData[Quantity],StockOutData[Product ID],ProductMaster!$B1385)</f>
        <v>0</v>
      </c>
      <c r="J1385" s="63">
        <f>SUMIFS(StockInData[Value],StockInData[Product ID],ProductMaster!$B1385)-SUMIFS(StockOutData[Value],StockOutData[Product ID],ProductMaster!$B1385)</f>
        <v>0</v>
      </c>
    </row>
    <row r="1386" spans="1:10" hidden="1" x14ac:dyDescent="0.25">
      <c r="A1386" s="82">
        <v>1385</v>
      </c>
      <c r="B1386" s="83" t="s">
        <v>2819</v>
      </c>
      <c r="C1386" s="85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3" t="s">
        <v>2821</v>
      </c>
      <c r="C1387" s="85" t="s">
        <v>2822</v>
      </c>
      <c r="D1387" s="47"/>
      <c r="E1387" s="47"/>
      <c r="F1387" s="48"/>
      <c r="G1387" s="62" t="str">
        <f>IFERROR(INDEX(StockInData[Expiry],MATCH(ProductMaster[[#This Row],[Product ID]],StockInData[Product ID],0)),"")</f>
        <v/>
      </c>
      <c r="H1387" s="47"/>
      <c r="I1387" s="61">
        <f>SUMIFS(StockInData[Quantity],StockInData[Product ID],ProductMaster!$B1387)-SUMIFS(StockOutData[Quantity],StockOutData[Product ID],ProductMaster!$B1387)</f>
        <v>0</v>
      </c>
      <c r="J1387" s="63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82">
        <v>1387</v>
      </c>
      <c r="B1388" s="83" t="s">
        <v>2823</v>
      </c>
      <c r="C1388" s="85" t="s">
        <v>2824</v>
      </c>
      <c r="D1388" s="47"/>
      <c r="E1388" s="47"/>
      <c r="F1388" s="48"/>
      <c r="G1388" s="62" t="str">
        <f>IFERROR(INDEX(StockInData[Expiry],MATCH(ProductMaster[[#This Row],[Product ID]],StockInData[Product ID],0)),"")</f>
        <v/>
      </c>
      <c r="H1388" s="47"/>
      <c r="I1388" s="61">
        <f>SUMIFS(StockInData[Quantity],StockInData[Product ID],ProductMaster!$B1388)-SUMIFS(StockOutData[Quantity],StockOutData[Product ID],ProductMaster!$B1388)</f>
        <v>0</v>
      </c>
      <c r="J1388" s="63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3" t="s">
        <v>2825</v>
      </c>
      <c r="C1389" s="85" t="s">
        <v>2826</v>
      </c>
      <c r="D1389" s="47"/>
      <c r="E1389" s="47"/>
      <c r="F1389" s="48"/>
      <c r="G1389" s="62" t="str">
        <f>IFERROR(INDEX(StockInData[Expiry],MATCH(ProductMaster[[#This Row],[Product ID]],StockInData[Product ID],0)),"")</f>
        <v/>
      </c>
      <c r="H1389" s="47"/>
      <c r="I1389" s="61">
        <f>SUMIFS(StockInData[Quantity],StockInData[Product ID],ProductMaster!$B1389)-SUMIFS(StockOutData[Quantity],StockOutData[Product ID],ProductMaster!$B1389)</f>
        <v>0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2">
        <v>1389</v>
      </c>
      <c r="B1390" s="83" t="s">
        <v>2827</v>
      </c>
      <c r="C1390" s="85" t="s">
        <v>2828</v>
      </c>
      <c r="D1390" s="47"/>
      <c r="E1390" s="47"/>
      <c r="F1390" s="48"/>
      <c r="G1390" s="62" t="str">
        <f>IFERROR(INDEX(StockInData[Expiry],MATCH(ProductMaster[[#This Row],[Product ID]],StockInData[Product ID],0)),"")</f>
        <v/>
      </c>
      <c r="H1390" s="47"/>
      <c r="I1390" s="61">
        <f>SUMIFS(StockInData[Quantity],StockInData[Product ID],ProductMaster!$B1390)-SUMIFS(StockOutData[Quantity],StockOutData[Product ID],ProductMaster!$B1390)</f>
        <v>0</v>
      </c>
      <c r="J1390" s="63">
        <f>SUMIFS(StockInData[Value],StockInData[Product ID],ProductMaster!$B1390)-SUMIFS(StockOutData[Value],StockOutData[Product ID],ProductMaster!$B1390)</f>
        <v>0</v>
      </c>
    </row>
    <row r="1391" spans="1:10" hidden="1" x14ac:dyDescent="0.25">
      <c r="A1391" s="60">
        <v>1390</v>
      </c>
      <c r="B1391" s="83" t="s">
        <v>2829</v>
      </c>
      <c r="C1391" s="85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2">
        <v>1391</v>
      </c>
      <c r="B1392" s="83" t="s">
        <v>2831</v>
      </c>
      <c r="C1392" s="85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3" t="s">
        <v>2833</v>
      </c>
      <c r="C1393" s="85" t="s">
        <v>2834</v>
      </c>
      <c r="D1393" s="47"/>
      <c r="E1393" s="47"/>
      <c r="F1393" s="48"/>
      <c r="G1393" s="62" t="str">
        <f>IFERROR(INDEX(StockInData[Expiry],MATCH(ProductMaster[[#This Row],[Product ID]],StockInData[Product ID],0)),"")</f>
        <v/>
      </c>
      <c r="H1393" s="47"/>
      <c r="I1393" s="61">
        <f>SUMIFS(StockInData[Quantity],StockInData[Product ID],ProductMaster!$B1393)-SUMIFS(StockOutData[Quantity],StockOutData[Product ID],ProductMaster!$B1393)</f>
        <v>0</v>
      </c>
      <c r="J1393" s="63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82">
        <v>1393</v>
      </c>
      <c r="B1394" s="83" t="s">
        <v>2835</v>
      </c>
      <c r="C1394" s="85" t="s">
        <v>2836</v>
      </c>
      <c r="D1394" s="47"/>
      <c r="E1394" s="47"/>
      <c r="F1394" s="48"/>
      <c r="G1394" s="62" t="str">
        <f>IFERROR(INDEX(StockInData[Expiry],MATCH(ProductMaster[[#This Row],[Product ID]],StockInData[Product ID],0)),"")</f>
        <v/>
      </c>
      <c r="H1394" s="47"/>
      <c r="I1394" s="61">
        <f>SUMIFS(StockInData[Quantity],StockInData[Product ID],ProductMaster!$B1394)-SUMIFS(StockOutData[Quantity],StockOutData[Product ID],ProductMaster!$B1394)</f>
        <v>0</v>
      </c>
      <c r="J1394" s="63">
        <f>SUMIFS(StockInData[Value],StockInData[Product ID],ProductMaster!$B1394)-SUMIFS(StockOutData[Value],StockOutData[Product ID],ProductMaster!$B1394)</f>
        <v>0</v>
      </c>
    </row>
    <row r="1395" spans="1:10" hidden="1" x14ac:dyDescent="0.25">
      <c r="A1395" s="60">
        <v>1394</v>
      </c>
      <c r="B1395" s="83" t="s">
        <v>2837</v>
      </c>
      <c r="C1395" s="85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82">
        <v>1395</v>
      </c>
      <c r="B1396" s="83" t="s">
        <v>2839</v>
      </c>
      <c r="C1396" s="85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3" t="s">
        <v>2841</v>
      </c>
      <c r="C1397" s="85" t="s">
        <v>2842</v>
      </c>
      <c r="D1397" s="47"/>
      <c r="E1397" s="47"/>
      <c r="F1397" s="48"/>
      <c r="G1397" s="62" t="str">
        <f>IFERROR(INDEX(StockInData[Expiry],MATCH(ProductMaster[[#This Row],[Product ID]],StockInData[Product ID],0)),"")</f>
        <v/>
      </c>
      <c r="H1397" s="47"/>
      <c r="I1397" s="61">
        <f>SUMIFS(StockInData[Quantity],StockInData[Product ID],ProductMaster!$B1397)-SUMIFS(StockOutData[Quantity],StockOutData[Product ID],ProductMaster!$B1397)</f>
        <v>0</v>
      </c>
      <c r="J1397" s="63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82">
        <v>1397</v>
      </c>
      <c r="B1398" s="83" t="s">
        <v>2843</v>
      </c>
      <c r="C1398" s="85" t="s">
        <v>2844</v>
      </c>
      <c r="D1398" s="47"/>
      <c r="E1398" s="47"/>
      <c r="F1398" s="48"/>
      <c r="G1398" s="62" t="str">
        <f>IFERROR(INDEX(StockInData[Expiry],MATCH(ProductMaster[[#This Row],[Product ID]],StockInData[Product ID],0)),"")</f>
        <v/>
      </c>
      <c r="H1398" s="47"/>
      <c r="I1398" s="61">
        <f>SUMIFS(StockInData[Quantity],StockInData[Product ID],ProductMaster!$B1398)-SUMIFS(StockOutData[Quantity],StockOutData[Product ID],ProductMaster!$B1398)</f>
        <v>0</v>
      </c>
      <c r="J1398" s="63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3" t="s">
        <v>2845</v>
      </c>
      <c r="C1399" s="85" t="s">
        <v>2846</v>
      </c>
      <c r="D1399" s="47"/>
      <c r="E1399" s="47"/>
      <c r="F1399" s="48"/>
      <c r="G1399" s="62" t="str">
        <f>IFERROR(INDEX(StockInData[Expiry],MATCH(ProductMaster[[#This Row],[Product ID]],StockInData[Product ID],0)),"")</f>
        <v/>
      </c>
      <c r="H1399" s="47"/>
      <c r="I1399" s="61">
        <f>SUMIFS(StockInData[Quantity],StockInData[Product ID],ProductMaster!$B1399)-SUMIFS(StockOutData[Quantity],StockOutData[Product ID],ProductMaster!$B1399)</f>
        <v>0</v>
      </c>
      <c r="J1399" s="63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82">
        <v>1399</v>
      </c>
      <c r="B1400" s="83" t="s">
        <v>2847</v>
      </c>
      <c r="C1400" s="85" t="s">
        <v>2848</v>
      </c>
      <c r="D1400" s="47"/>
      <c r="E1400" s="47"/>
      <c r="F1400" s="48"/>
      <c r="G1400" s="62" t="str">
        <f>IFERROR(INDEX(StockInData[Expiry],MATCH(ProductMaster[[#This Row],[Product ID]],StockInData[Product ID],0)),"")</f>
        <v/>
      </c>
      <c r="H1400" s="47"/>
      <c r="I1400" s="61">
        <f>SUMIFS(StockInData[Quantity],StockInData[Product ID],ProductMaster!$B1400)-SUMIFS(StockOutData[Quantity],StockOutData[Product ID],ProductMaster!$B1400)</f>
        <v>0</v>
      </c>
      <c r="J1400" s="63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3" t="s">
        <v>2849</v>
      </c>
      <c r="C1401" s="85" t="s">
        <v>2850</v>
      </c>
      <c r="D1401" s="47"/>
      <c r="E1401" s="47"/>
      <c r="F1401" s="48"/>
      <c r="G1401" s="62" t="str">
        <f>IFERROR(INDEX(StockInData[Expiry],MATCH(ProductMaster[[#This Row],[Product ID]],StockInData[Product ID],0)),"")</f>
        <v/>
      </c>
      <c r="H1401" s="47"/>
      <c r="I1401" s="61">
        <f>SUMIFS(StockInData[Quantity],StockInData[Product ID],ProductMaster!$B1401)-SUMIFS(StockOutData[Quantity],StockOutData[Product ID],ProductMaster!$B1401)</f>
        <v>0</v>
      </c>
      <c r="J1401" s="63">
        <f>SUMIFS(StockInData[Value],StockInData[Product ID],ProductMaster!$B1401)-SUMIFS(StockOutData[Value],StockOutData[Product ID],ProductMaster!$B1401)</f>
        <v>0</v>
      </c>
    </row>
    <row r="1402" spans="1:10" hidden="1" x14ac:dyDescent="0.25">
      <c r="A1402" s="82">
        <v>1401</v>
      </c>
      <c r="B1402" s="83" t="s">
        <v>2851</v>
      </c>
      <c r="C1402" s="85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3" t="s">
        <v>2853</v>
      </c>
      <c r="C1403" s="85" t="s">
        <v>2854</v>
      </c>
      <c r="D1403" s="47"/>
      <c r="E1403" s="47"/>
      <c r="F1403" s="48"/>
      <c r="G1403" s="62" t="str">
        <f>IFERROR(INDEX(StockInData[Expiry],MATCH(ProductMaster[[#This Row],[Product ID]],StockInData[Product ID],0)),"")</f>
        <v/>
      </c>
      <c r="H1403" s="47"/>
      <c r="I1403" s="61">
        <f>SUMIFS(StockInData[Quantity],StockInData[Product ID],ProductMaster!$B1403)-SUMIFS(StockOutData[Quantity],StockOutData[Product ID],ProductMaster!$B1403)</f>
        <v>0</v>
      </c>
      <c r="J1403" s="63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82">
        <v>1403</v>
      </c>
      <c r="B1404" s="83" t="s">
        <v>2855</v>
      </c>
      <c r="C1404" s="85" t="s">
        <v>2856</v>
      </c>
      <c r="D1404" s="47"/>
      <c r="E1404" s="47"/>
      <c r="F1404" s="48"/>
      <c r="G1404" s="62" t="str">
        <f>IFERROR(INDEX(StockInData[Expiry],MATCH(ProductMaster[[#This Row],[Product ID]],StockInData[Product ID],0)),"")</f>
        <v/>
      </c>
      <c r="H1404" s="47"/>
      <c r="I1404" s="61">
        <f>SUMIFS(StockInData[Quantity],StockInData[Product ID],ProductMaster!$B1404)-SUMIFS(StockOutData[Quantity],StockOutData[Product ID],ProductMaster!$B1404)</f>
        <v>0</v>
      </c>
      <c r="J1404" s="63">
        <f>SUMIFS(StockInData[Value],StockInData[Product ID],ProductMaster!$B1404)-SUMIFS(StockOutData[Value],StockOutData[Product ID],ProductMaster!$B1404)</f>
        <v>0</v>
      </c>
    </row>
    <row r="1405" spans="1:10" hidden="1" x14ac:dyDescent="0.25">
      <c r="A1405" s="60">
        <v>1404</v>
      </c>
      <c r="B1405" s="83" t="s">
        <v>2857</v>
      </c>
      <c r="C1405" s="85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2">
        <v>1405</v>
      </c>
      <c r="B1406" s="83" t="s">
        <v>2859</v>
      </c>
      <c r="C1406" s="85" t="s">
        <v>2860</v>
      </c>
      <c r="D1406" s="47"/>
      <c r="E1406" s="47"/>
      <c r="F1406" s="48"/>
      <c r="G1406" s="62" t="str">
        <f>IFERROR(INDEX(StockInData[Expiry],MATCH(ProductMaster[[#This Row],[Product ID]],StockInData[Product ID],0)),"")</f>
        <v/>
      </c>
      <c r="H1406" s="47"/>
      <c r="I1406" s="61">
        <f>SUMIFS(StockInData[Quantity],StockInData[Product ID],ProductMaster!$B1406)-SUMIFS(StockOutData[Quantity],StockOutData[Product ID],ProductMaster!$B1406)</f>
        <v>0</v>
      </c>
      <c r="J1406" s="63">
        <f>SUMIFS(StockInData[Value],StockInData[Product ID],ProductMaster!$B1406)-SUMIFS(StockOutData[Value],StockOutData[Product ID],ProductMaster!$B1406)</f>
        <v>0</v>
      </c>
    </row>
    <row r="1407" spans="1:10" hidden="1" x14ac:dyDescent="0.25">
      <c r="A1407" s="60">
        <v>1406</v>
      </c>
      <c r="B1407" s="83" t="s">
        <v>2861</v>
      </c>
      <c r="C1407" s="85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2">
        <v>1407</v>
      </c>
      <c r="B1408" s="83" t="s">
        <v>2863</v>
      </c>
      <c r="C1408" s="85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3" t="s">
        <v>2865</v>
      </c>
      <c r="C1409" s="85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2">
        <v>1409</v>
      </c>
      <c r="B1410" s="83" t="s">
        <v>2867</v>
      </c>
      <c r="C1410" s="85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3" t="s">
        <v>2869</v>
      </c>
      <c r="C1411" s="85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2">
        <v>1411</v>
      </c>
      <c r="B1412" s="83" t="s">
        <v>2871</v>
      </c>
      <c r="C1412" s="85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3" t="s">
        <v>2873</v>
      </c>
      <c r="C1413" s="85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2">
        <v>1413</v>
      </c>
      <c r="B1414" s="83" t="s">
        <v>2875</v>
      </c>
      <c r="C1414" s="85" t="s">
        <v>2876</v>
      </c>
      <c r="D1414" s="47"/>
      <c r="E1414" s="47"/>
      <c r="F1414" s="48"/>
      <c r="G1414" s="62" t="str">
        <f>IFERROR(INDEX(StockInData[Expiry],MATCH(ProductMaster[[#This Row],[Product ID]],StockInData[Product ID],0)),"")</f>
        <v/>
      </c>
      <c r="H1414" s="47"/>
      <c r="I1414" s="61">
        <f>SUMIFS(StockInData[Quantity],StockInData[Product ID],ProductMaster!$B1414)-SUMIFS(StockOutData[Quantity],StockOutData[Product ID],ProductMaster!$B1414)</f>
        <v>0</v>
      </c>
      <c r="J1414" s="63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3" t="s">
        <v>2877</v>
      </c>
      <c r="C1415" s="85" t="s">
        <v>2878</v>
      </c>
      <c r="D1415" s="47"/>
      <c r="E1415" s="47"/>
      <c r="F1415" s="48"/>
      <c r="G1415" s="62" t="str">
        <f>IFERROR(INDEX(StockInData[Expiry],MATCH(ProductMaster[[#This Row],[Product ID]],StockInData[Product ID],0)),"")</f>
        <v/>
      </c>
      <c r="H1415" s="47"/>
      <c r="I1415" s="61">
        <f>SUMIFS(StockInData[Quantity],StockInData[Product ID],ProductMaster!$B1415)-SUMIFS(StockOutData[Quantity],StockOutData[Product ID],ProductMaster!$B1415)</f>
        <v>0</v>
      </c>
      <c r="J1415" s="63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82">
        <v>1415</v>
      </c>
      <c r="B1416" s="83" t="s">
        <v>2879</v>
      </c>
      <c r="C1416" s="85" t="s">
        <v>2880</v>
      </c>
      <c r="D1416" s="47"/>
      <c r="E1416" s="47"/>
      <c r="F1416" s="48"/>
      <c r="G1416" s="62" t="str">
        <f>IFERROR(INDEX(StockInData[Expiry],MATCH(ProductMaster[[#This Row],[Product ID]],StockInData[Product ID],0)),"")</f>
        <v/>
      </c>
      <c r="H1416" s="47"/>
      <c r="I1416" s="61">
        <f>SUMIFS(StockInData[Quantity],StockInData[Product ID],ProductMaster!$B1416)-SUMIFS(StockOutData[Quantity],StockOutData[Product ID],ProductMaster!$B1416)</f>
        <v>0</v>
      </c>
      <c r="J1416" s="63">
        <f>SUMIFS(StockInData[Value],StockInData[Product ID],ProductMaster!$B1416)-SUMIFS(StockOutData[Value],StockOutData[Product ID],ProductMaster!$B1416)</f>
        <v>0</v>
      </c>
    </row>
    <row r="1417" spans="1:10" hidden="1" x14ac:dyDescent="0.25">
      <c r="A1417" s="60">
        <v>1416</v>
      </c>
      <c r="B1417" s="83" t="s">
        <v>2881</v>
      </c>
      <c r="C1417" s="85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2">
        <v>1417</v>
      </c>
      <c r="B1418" s="83" t="s">
        <v>2883</v>
      </c>
      <c r="C1418" s="85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3" t="s">
        <v>2885</v>
      </c>
      <c r="C1419" s="85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2">
        <v>1419</v>
      </c>
      <c r="B1420" s="83" t="s">
        <v>2887</v>
      </c>
      <c r="C1420" s="85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3" t="s">
        <v>2889</v>
      </c>
      <c r="C1421" s="85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2">
        <v>1421</v>
      </c>
      <c r="B1422" s="83" t="s">
        <v>2891</v>
      </c>
      <c r="C1422" s="85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3" t="s">
        <v>2893</v>
      </c>
      <c r="C1423" s="85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2">
        <v>1423</v>
      </c>
      <c r="B1424" s="83" t="s">
        <v>2895</v>
      </c>
      <c r="C1424" s="85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3" t="s">
        <v>2897</v>
      </c>
      <c r="C1425" s="85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2">
        <v>1425</v>
      </c>
      <c r="B1426" s="83" t="s">
        <v>2899</v>
      </c>
      <c r="C1426" s="85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3" t="s">
        <v>2901</v>
      </c>
      <c r="C1427" s="85" t="s">
        <v>2902</v>
      </c>
      <c r="D1427" s="47"/>
      <c r="E1427" s="47"/>
      <c r="F1427" s="48"/>
      <c r="G1427" s="62" t="str">
        <f>IFERROR(INDEX(StockInData[Expiry],MATCH(ProductMaster[[#This Row],[Product ID]],StockInData[Product ID],0)),"")</f>
        <v/>
      </c>
      <c r="H1427" s="47"/>
      <c r="I1427" s="61">
        <f>SUMIFS(StockInData[Quantity],StockInData[Product ID],ProductMaster!$B1427)-SUMIFS(StockOutData[Quantity],StockOutData[Product ID],ProductMaster!$B1427)</f>
        <v>0</v>
      </c>
      <c r="J1427" s="63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82">
        <v>1427</v>
      </c>
      <c r="B1428" s="83" t="s">
        <v>2903</v>
      </c>
      <c r="C1428" s="85" t="s">
        <v>2904</v>
      </c>
      <c r="D1428" s="47"/>
      <c r="E1428" s="47"/>
      <c r="F1428" s="48"/>
      <c r="G1428" s="62" t="str">
        <f>IFERROR(INDEX(StockInData[Expiry],MATCH(ProductMaster[[#This Row],[Product ID]],StockInData[Product ID],0)),"")</f>
        <v/>
      </c>
      <c r="H1428" s="47"/>
      <c r="I1428" s="61">
        <f>SUMIFS(StockInData[Quantity],StockInData[Product ID],ProductMaster!$B1428)-SUMIFS(StockOutData[Quantity],StockOutData[Product ID],ProductMaster!$B1428)</f>
        <v>0</v>
      </c>
      <c r="J1428" s="63">
        <f>SUMIFS(StockInData[Value],StockInData[Product ID],ProductMaster!$B1428)-SUMIFS(StockOutData[Value],StockOutData[Product ID],ProductMaster!$B1428)</f>
        <v>0</v>
      </c>
    </row>
    <row r="1429" spans="1:10" hidden="1" x14ac:dyDescent="0.25">
      <c r="A1429" s="60">
        <v>1428</v>
      </c>
      <c r="B1429" s="83" t="s">
        <v>2905</v>
      </c>
      <c r="C1429" s="85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2">
        <v>1429</v>
      </c>
      <c r="B1430" s="83" t="s">
        <v>2907</v>
      </c>
      <c r="C1430" s="85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3" t="s">
        <v>2909</v>
      </c>
      <c r="C1431" s="85" t="s">
        <v>2910</v>
      </c>
      <c r="D1431" s="47"/>
      <c r="E1431" s="47"/>
      <c r="F1431" s="48"/>
      <c r="G1431" s="62" t="str">
        <f>IFERROR(INDEX(StockInData[Expiry],MATCH(ProductMaster[[#This Row],[Product ID]],StockInData[Product ID],0)),"")</f>
        <v/>
      </c>
      <c r="H1431" s="47"/>
      <c r="I1431" s="61">
        <f>SUMIFS(StockInData[Quantity],StockInData[Product ID],ProductMaster!$B1431)-SUMIFS(StockOutData[Quantity],StockOutData[Product ID],ProductMaster!$B1431)</f>
        <v>0</v>
      </c>
      <c r="J1431" s="63">
        <f>SUMIFS(StockInData[Value],StockInData[Product ID],ProductMaster!$B1431)-SUMIFS(StockOutData[Value],StockOutData[Product ID],ProductMaster!$B1431)</f>
        <v>0</v>
      </c>
    </row>
    <row r="1432" spans="1:10" hidden="1" x14ac:dyDescent="0.25">
      <c r="A1432" s="82">
        <v>1431</v>
      </c>
      <c r="B1432" s="83" t="s">
        <v>2911</v>
      </c>
      <c r="C1432" s="85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3" t="s">
        <v>2913</v>
      </c>
      <c r="C1433" s="85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2">
        <v>1433</v>
      </c>
      <c r="B1434" s="83" t="s">
        <v>2915</v>
      </c>
      <c r="C1434" s="85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3" t="s">
        <v>2917</v>
      </c>
      <c r="C1435" s="85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2">
        <v>1435</v>
      </c>
      <c r="B1436" s="83" t="s">
        <v>2919</v>
      </c>
      <c r="C1436" s="85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3" t="s">
        <v>2921</v>
      </c>
      <c r="C1437" s="85" t="s">
        <v>2922</v>
      </c>
      <c r="D1437" s="47"/>
      <c r="E1437" s="47"/>
      <c r="F1437" s="48"/>
      <c r="G1437" s="62" t="str">
        <f>IFERROR(INDEX(StockInData[Expiry],MATCH(ProductMaster[[#This Row],[Product ID]],StockInData[Product ID],0)),"")</f>
        <v/>
      </c>
      <c r="H1437" s="47"/>
      <c r="I1437" s="61">
        <f>SUMIFS(StockInData[Quantity],StockInData[Product ID],ProductMaster!$B1437)-SUMIFS(StockOutData[Quantity],StockOutData[Product ID],ProductMaster!$B1437)</f>
        <v>0</v>
      </c>
      <c r="J1437" s="63">
        <f>SUMIFS(StockInData[Value],StockInData[Product ID],ProductMaster!$B1437)-SUMIFS(StockOutData[Value],StockOutData[Product ID],ProductMaster!$B1437)</f>
        <v>0</v>
      </c>
    </row>
    <row r="1438" spans="1:10" hidden="1" x14ac:dyDescent="0.25">
      <c r="A1438" s="82">
        <v>1437</v>
      </c>
      <c r="B1438" s="83" t="s">
        <v>2923</v>
      </c>
      <c r="C1438" s="85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3" t="s">
        <v>2925</v>
      </c>
      <c r="C1439" s="85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2">
        <v>1439</v>
      </c>
      <c r="B1440" s="83" t="s">
        <v>2927</v>
      </c>
      <c r="C1440" s="85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3" t="s">
        <v>2929</v>
      </c>
      <c r="C1441" s="85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2">
        <v>1441</v>
      </c>
      <c r="B1442" s="83" t="s">
        <v>2931</v>
      </c>
      <c r="C1442" s="85" t="s">
        <v>2932</v>
      </c>
      <c r="D1442" s="47"/>
      <c r="E1442" s="47"/>
      <c r="F1442" s="48"/>
      <c r="G1442" s="62" t="str">
        <f>IFERROR(INDEX(StockInData[Expiry],MATCH(ProductMaster[[#This Row],[Product ID]],StockInData[Product ID],0)),"")</f>
        <v/>
      </c>
      <c r="H1442" s="47"/>
      <c r="I1442" s="61">
        <f>SUMIFS(StockInData[Quantity],StockInData[Product ID],ProductMaster!$B1442)-SUMIFS(StockOutData[Quantity],StockOutData[Product ID],ProductMaster!$B1442)</f>
        <v>0</v>
      </c>
      <c r="J1442" s="63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3" t="s">
        <v>2933</v>
      </c>
      <c r="C1443" s="85" t="s">
        <v>2934</v>
      </c>
      <c r="D1443" s="47"/>
      <c r="E1443" s="47"/>
      <c r="F1443" s="48"/>
      <c r="G1443" s="62" t="str">
        <f>IFERROR(INDEX(StockInData[Expiry],MATCH(ProductMaster[[#This Row],[Product ID]],StockInData[Product ID],0)),"")</f>
        <v/>
      </c>
      <c r="H1443" s="47"/>
      <c r="I1443" s="61">
        <f>SUMIFS(StockInData[Quantity],StockInData[Product ID],ProductMaster!$B1443)-SUMIFS(StockOutData[Quantity],StockOutData[Product ID],ProductMaster!$B1443)</f>
        <v>0</v>
      </c>
      <c r="J1443" s="63">
        <f>SUMIFS(StockInData[Value],StockInData[Product ID],ProductMaster!$B1443)-SUMIFS(StockOutData[Value],StockOutData[Product ID],ProductMaster!$B1443)</f>
        <v>0</v>
      </c>
    </row>
    <row r="1444" spans="1:10" hidden="1" x14ac:dyDescent="0.25">
      <c r="A1444" s="82">
        <v>1443</v>
      </c>
      <c r="B1444" s="83" t="s">
        <v>2935</v>
      </c>
      <c r="C1444" s="85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3" t="s">
        <v>2937</v>
      </c>
      <c r="C1445" s="85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2">
        <v>1445</v>
      </c>
      <c r="B1446" s="83" t="s">
        <v>2939</v>
      </c>
      <c r="C1446" s="85" t="s">
        <v>2940</v>
      </c>
      <c r="D1446" s="47"/>
      <c r="E1446" s="47"/>
      <c r="F1446" s="48"/>
      <c r="G1446" s="62" t="str">
        <f>IFERROR(INDEX(StockInData[Expiry],MATCH(ProductMaster[[#This Row],[Product ID]],StockInData[Product ID],0)),"")</f>
        <v/>
      </c>
      <c r="H1446" s="47"/>
      <c r="I1446" s="61">
        <f>SUMIFS(StockInData[Quantity],StockInData[Product ID],ProductMaster!$B1446)-SUMIFS(StockOutData[Quantity],StockOutData[Product ID],ProductMaster!$B1446)</f>
        <v>0</v>
      </c>
      <c r="J1446" s="63">
        <f>SUMIFS(StockInData[Value],StockInData[Product ID],ProductMaster!$B1446)-SUMIFS(StockOutData[Value],StockOutData[Product ID],ProductMaster!$B1446)</f>
        <v>0</v>
      </c>
    </row>
    <row r="1447" spans="1:10" hidden="1" x14ac:dyDescent="0.25">
      <c r="A1447" s="60">
        <v>1446</v>
      </c>
      <c r="B1447" s="83" t="s">
        <v>2941</v>
      </c>
      <c r="C1447" s="85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2">
        <v>1447</v>
      </c>
      <c r="B1448" s="83" t="s">
        <v>2943</v>
      </c>
      <c r="C1448" s="85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3" t="s">
        <v>2945</v>
      </c>
      <c r="C1449" s="85" t="s">
        <v>2946</v>
      </c>
      <c r="D1449" s="47"/>
      <c r="E1449" s="47"/>
      <c r="F1449" s="48"/>
      <c r="G1449" s="62" t="str">
        <f>IFERROR(INDEX(StockInData[Expiry],MATCH(ProductMaster[[#This Row],[Product ID]],StockInData[Product ID],0)),"")</f>
        <v/>
      </c>
      <c r="H1449" s="47"/>
      <c r="I1449" s="61">
        <f>SUMIFS(StockInData[Quantity],StockInData[Product ID],ProductMaster!$B1449)-SUMIFS(StockOutData[Quantity],StockOutData[Product ID],ProductMaster!$B1449)</f>
        <v>0</v>
      </c>
      <c r="J1449" s="63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82">
        <v>1449</v>
      </c>
      <c r="B1450" s="83" t="s">
        <v>2947</v>
      </c>
      <c r="C1450" s="85" t="s">
        <v>2948</v>
      </c>
      <c r="D1450" s="47"/>
      <c r="E1450" s="47"/>
      <c r="F1450" s="48"/>
      <c r="G1450" s="62" t="str">
        <f>IFERROR(INDEX(StockInData[Expiry],MATCH(ProductMaster[[#This Row],[Product ID]],StockInData[Product ID],0)),"")</f>
        <v/>
      </c>
      <c r="H1450" s="47"/>
      <c r="I1450" s="61">
        <f>SUMIFS(StockInData[Quantity],StockInData[Product ID],ProductMaster!$B1450)-SUMIFS(StockOutData[Quantity],StockOutData[Product ID],ProductMaster!$B1450)</f>
        <v>0</v>
      </c>
      <c r="J1450" s="63">
        <f>SUMIFS(StockInData[Value],StockInData[Product ID],ProductMaster!$B1450)-SUMIFS(StockOutData[Value],StockOutData[Product ID],ProductMaster!$B1450)</f>
        <v>0</v>
      </c>
    </row>
    <row r="1451" spans="1:10" hidden="1" x14ac:dyDescent="0.25">
      <c r="A1451" s="60">
        <v>1450</v>
      </c>
      <c r="B1451" s="83" t="s">
        <v>2949</v>
      </c>
      <c r="C1451" s="85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82">
        <v>1451</v>
      </c>
      <c r="B1452" s="83" t="s">
        <v>2951</v>
      </c>
      <c r="C1452" s="85" t="s">
        <v>2952</v>
      </c>
      <c r="D1452" s="47"/>
      <c r="E1452" s="47"/>
      <c r="F1452" s="48"/>
      <c r="G1452" s="62" t="str">
        <f>IFERROR(INDEX(StockInData[Expiry],MATCH(ProductMaster[[#This Row],[Product ID]],StockInData[Product ID],0)),"")</f>
        <v/>
      </c>
      <c r="H1452" s="47"/>
      <c r="I1452" s="61">
        <f>SUMIFS(StockInData[Quantity],StockInData[Product ID],ProductMaster!$B1452)-SUMIFS(StockOutData[Quantity],StockOutData[Product ID],ProductMaster!$B1452)</f>
        <v>0</v>
      </c>
      <c r="J1452" s="63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3" t="s">
        <v>2953</v>
      </c>
      <c r="C1453" s="85" t="s">
        <v>2954</v>
      </c>
      <c r="D1453" s="47"/>
      <c r="E1453" s="47"/>
      <c r="F1453" s="48"/>
      <c r="G1453" s="62" t="str">
        <f>IFERROR(INDEX(StockInData[Expiry],MATCH(ProductMaster[[#This Row],[Product ID]],StockInData[Product ID],0)),"")</f>
        <v/>
      </c>
      <c r="H1453" s="47"/>
      <c r="I1453" s="61">
        <f>SUMIFS(StockInData[Quantity],StockInData[Product ID],ProductMaster!$B1453)-SUMIFS(StockOutData[Quantity],StockOutData[Product ID],ProductMaster!$B1453)</f>
        <v>0</v>
      </c>
      <c r="J1453" s="63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82">
        <v>1453</v>
      </c>
      <c r="B1454" s="83" t="s">
        <v>2955</v>
      </c>
      <c r="C1454" s="85" t="s">
        <v>2956</v>
      </c>
      <c r="D1454" s="47"/>
      <c r="E1454" s="47"/>
      <c r="F1454" s="48"/>
      <c r="G1454" s="62" t="str">
        <f>IFERROR(INDEX(StockInData[Expiry],MATCH(ProductMaster[[#This Row],[Product ID]],StockInData[Product ID],0)),"")</f>
        <v/>
      </c>
      <c r="H1454" s="47"/>
      <c r="I1454" s="61">
        <f>SUMIFS(StockInData[Quantity],StockInData[Product ID],ProductMaster!$B1454)-SUMIFS(StockOutData[Quantity],StockOutData[Product ID],ProductMaster!$B1454)</f>
        <v>0</v>
      </c>
      <c r="J1454" s="63">
        <f>SUMIFS(StockInData[Value],StockInData[Product ID],ProductMaster!$B1454)-SUMIFS(StockOutData[Value],StockOutData[Product ID],ProductMaster!$B1454)</f>
        <v>0</v>
      </c>
    </row>
    <row r="1455" spans="1:10" hidden="1" x14ac:dyDescent="0.25">
      <c r="A1455" s="60">
        <v>1454</v>
      </c>
      <c r="B1455" s="83" t="s">
        <v>2957</v>
      </c>
      <c r="C1455" s="85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2">
        <v>1455</v>
      </c>
      <c r="B1456" s="83" t="s">
        <v>2959</v>
      </c>
      <c r="C1456" s="85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3" t="s">
        <v>2961</v>
      </c>
      <c r="C1457" s="85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2">
        <v>1457</v>
      </c>
      <c r="B1458" s="83" t="s">
        <v>2963</v>
      </c>
      <c r="C1458" s="85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3" t="s">
        <v>2965</v>
      </c>
      <c r="C1459" s="85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2">
        <v>1459</v>
      </c>
      <c r="B1460" s="83" t="s">
        <v>2967</v>
      </c>
      <c r="C1460" s="85" t="s">
        <v>2968</v>
      </c>
      <c r="D1460" s="47"/>
      <c r="E1460" s="47"/>
      <c r="F1460" s="48"/>
      <c r="G1460" s="62" t="str">
        <f>IFERROR(INDEX(StockInData[Expiry],MATCH(ProductMaster[[#This Row],[Product ID]],StockInData[Product ID],0)),"")</f>
        <v/>
      </c>
      <c r="H1460" s="47"/>
      <c r="I1460" s="61">
        <f>SUMIFS(StockInData[Quantity],StockInData[Product ID],ProductMaster!$B1460)-SUMIFS(StockOutData[Quantity],StockOutData[Product ID],ProductMaster!$B1460)</f>
        <v>0</v>
      </c>
      <c r="J1460" s="63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3" t="s">
        <v>2969</v>
      </c>
      <c r="C1461" s="85" t="s">
        <v>2970</v>
      </c>
      <c r="D1461" s="47"/>
      <c r="E1461" s="47"/>
      <c r="F1461" s="48"/>
      <c r="G1461" s="62" t="str">
        <f>IFERROR(INDEX(StockInData[Expiry],MATCH(ProductMaster[[#This Row],[Product ID]],StockInData[Product ID],0)),"")</f>
        <v/>
      </c>
      <c r="H1461" s="47"/>
      <c r="I1461" s="61">
        <f>SUMIFS(StockInData[Quantity],StockInData[Product ID],ProductMaster!$B1461)-SUMIFS(StockOutData[Quantity],StockOutData[Product ID],ProductMaster!$B1461)</f>
        <v>0</v>
      </c>
      <c r="J1461" s="63">
        <f>SUMIFS(StockInData[Value],StockInData[Product ID],ProductMaster!$B1461)-SUMIFS(StockOutData[Value],StockOutData[Product ID],ProductMaster!$B1461)</f>
        <v>0</v>
      </c>
    </row>
    <row r="1462" spans="1:10" hidden="1" x14ac:dyDescent="0.25">
      <c r="A1462" s="82">
        <v>1461</v>
      </c>
      <c r="B1462" s="83" t="s">
        <v>2971</v>
      </c>
      <c r="C1462" s="85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3" t="s">
        <v>2973</v>
      </c>
      <c r="C1463" s="85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82">
        <v>1463</v>
      </c>
      <c r="B1464" s="83" t="s">
        <v>2975</v>
      </c>
      <c r="C1464" s="85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3" t="s">
        <v>2977</v>
      </c>
      <c r="C1465" s="85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2">
        <v>1465</v>
      </c>
      <c r="B1466" s="83" t="s">
        <v>2979</v>
      </c>
      <c r="C1466" s="85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3" t="s">
        <v>2981</v>
      </c>
      <c r="C1467" s="85" t="s">
        <v>2982</v>
      </c>
      <c r="D1467" s="47"/>
      <c r="E1467" s="47"/>
      <c r="F1467" s="48"/>
      <c r="G1467" s="62" t="str">
        <f>IFERROR(INDEX(StockInData[Expiry],MATCH(ProductMaster[[#This Row],[Product ID]],StockInData[Product ID],0)),"")</f>
        <v/>
      </c>
      <c r="H1467" s="47"/>
      <c r="I1467" s="61">
        <f>SUMIFS(StockInData[Quantity],StockInData[Product ID],ProductMaster!$B1467)-SUMIFS(StockOutData[Quantity],StockOutData[Product ID],ProductMaster!$B1467)</f>
        <v>0</v>
      </c>
      <c r="J1467" s="63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82">
        <v>1467</v>
      </c>
      <c r="B1468" s="83" t="s">
        <v>2983</v>
      </c>
      <c r="C1468" s="85" t="s">
        <v>2984</v>
      </c>
      <c r="D1468" s="47"/>
      <c r="E1468" s="47"/>
      <c r="F1468" s="48"/>
      <c r="G1468" s="62" t="str">
        <f>IFERROR(INDEX(StockInData[Expiry],MATCH(ProductMaster[[#This Row],[Product ID]],StockInData[Product ID],0)),"")</f>
        <v/>
      </c>
      <c r="H1468" s="47"/>
      <c r="I1468" s="61">
        <f>SUMIFS(StockInData[Quantity],StockInData[Product ID],ProductMaster!$B1468)-SUMIFS(StockOutData[Quantity],StockOutData[Product ID],ProductMaster!$B1468)</f>
        <v>0</v>
      </c>
      <c r="J1468" s="63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3" t="s">
        <v>2985</v>
      </c>
      <c r="C1469" s="85" t="s">
        <v>2986</v>
      </c>
      <c r="D1469" s="47"/>
      <c r="E1469" s="47"/>
      <c r="F1469" s="48"/>
      <c r="G1469" s="62" t="str">
        <f>IFERROR(INDEX(StockInData[Expiry],MATCH(ProductMaster[[#This Row],[Product ID]],StockInData[Product ID],0)),"")</f>
        <v/>
      </c>
      <c r="H1469" s="47"/>
      <c r="I1469" s="61">
        <f>SUMIFS(StockInData[Quantity],StockInData[Product ID],ProductMaster!$B1469)-SUMIFS(StockOutData[Quantity],StockOutData[Product ID],ProductMaster!$B1469)</f>
        <v>0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2">
        <v>1469</v>
      </c>
      <c r="B1470" s="83" t="s">
        <v>2987</v>
      </c>
      <c r="C1470" s="85" t="s">
        <v>2988</v>
      </c>
      <c r="D1470" s="47"/>
      <c r="E1470" s="47"/>
      <c r="F1470" s="48"/>
      <c r="G1470" s="62" t="str">
        <f>IFERROR(INDEX(StockInData[Expiry],MATCH(ProductMaster[[#This Row],[Product ID]],StockInData[Product ID],0)),"")</f>
        <v/>
      </c>
      <c r="H1470" s="47"/>
      <c r="I1470" s="61">
        <f>SUMIFS(StockInData[Quantity],StockInData[Product ID],ProductMaster!$B1470)-SUMIFS(StockOutData[Quantity],StockOutData[Product ID],ProductMaster!$B1470)</f>
        <v>0</v>
      </c>
      <c r="J1470" s="63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3" t="s">
        <v>2989</v>
      </c>
      <c r="C1471" s="85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2">
        <v>1471</v>
      </c>
      <c r="B1472" s="83" t="s">
        <v>2991</v>
      </c>
      <c r="C1472" s="85" t="s">
        <v>2992</v>
      </c>
      <c r="D1472" s="47"/>
      <c r="E1472" s="47"/>
      <c r="F1472" s="48"/>
      <c r="G1472" s="62" t="str">
        <f>IFERROR(INDEX(StockInData[Expiry],MATCH(ProductMaster[[#This Row],[Product ID]],StockInData[Product ID],0)),"")</f>
        <v/>
      </c>
      <c r="H1472" s="47"/>
      <c r="I1472" s="61">
        <f>SUMIFS(StockInData[Quantity],StockInData[Product ID],ProductMaster!$B1472)-SUMIFS(StockOutData[Quantity],StockOutData[Product ID],ProductMaster!$B1472)</f>
        <v>0</v>
      </c>
      <c r="J1472" s="63">
        <f>SUMIFS(StockInData[Value],StockInData[Product ID],ProductMaster!$B1472)-SUMIFS(StockOutData[Value],StockOutData[Product ID],ProductMaster!$B1472)</f>
        <v>0</v>
      </c>
    </row>
    <row r="1473" spans="1:10" hidden="1" x14ac:dyDescent="0.25">
      <c r="A1473" s="60">
        <v>1472</v>
      </c>
      <c r="B1473" s="83" t="s">
        <v>2993</v>
      </c>
      <c r="C1473" s="85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2">
        <v>1473</v>
      </c>
      <c r="B1474" s="83" t="s">
        <v>2995</v>
      </c>
      <c r="C1474" s="85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3" t="s">
        <v>2997</v>
      </c>
      <c r="C1475" s="85" t="s">
        <v>2998</v>
      </c>
      <c r="D1475" s="47"/>
      <c r="E1475" s="47"/>
      <c r="F1475" s="48"/>
      <c r="G1475" s="62" t="str">
        <f>IFERROR(INDEX(StockInData[Expiry],MATCH(ProductMaster[[#This Row],[Product ID]],StockInData[Product ID],0)),"")</f>
        <v/>
      </c>
      <c r="H1475" s="47"/>
      <c r="I1475" s="61">
        <f>SUMIFS(StockInData[Quantity],StockInData[Product ID],ProductMaster!$B1475)-SUMIFS(StockOutData[Quantity],StockOutData[Product ID],ProductMaster!$B1475)</f>
        <v>0</v>
      </c>
      <c r="J1475" s="63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82">
        <v>1475</v>
      </c>
      <c r="B1476" s="83" t="s">
        <v>2999</v>
      </c>
      <c r="C1476" s="85" t="s">
        <v>3000</v>
      </c>
      <c r="D1476" s="47"/>
      <c r="E1476" s="47"/>
      <c r="F1476" s="48"/>
      <c r="G1476" s="62" t="str">
        <f>IFERROR(INDEX(StockInData[Expiry],MATCH(ProductMaster[[#This Row],[Product ID]],StockInData[Product ID],0)),"")</f>
        <v/>
      </c>
      <c r="H1476" s="47"/>
      <c r="I1476" s="61">
        <f>SUMIFS(StockInData[Quantity],StockInData[Product ID],ProductMaster!$B1476)-SUMIFS(StockOutData[Quantity],StockOutData[Product ID],ProductMaster!$B1476)</f>
        <v>0</v>
      </c>
      <c r="J1476" s="63">
        <f>SUMIFS(StockInData[Value],StockInData[Product ID],ProductMaster!$B1476)-SUMIFS(StockOutData[Value],StockOutData[Product ID],ProductMaster!$B1476)</f>
        <v>0</v>
      </c>
    </row>
    <row r="1477" spans="1:10" hidden="1" x14ac:dyDescent="0.25">
      <c r="A1477" s="60">
        <v>1476</v>
      </c>
      <c r="B1477" s="83" t="s">
        <v>3001</v>
      </c>
      <c r="C1477" s="85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82">
        <v>1477</v>
      </c>
      <c r="B1478" s="83" t="s">
        <v>3003</v>
      </c>
      <c r="C1478" s="85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3" t="s">
        <v>3005</v>
      </c>
      <c r="C1479" s="85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2">
        <v>1479</v>
      </c>
      <c r="B1480" s="83" t="s">
        <v>3007</v>
      </c>
      <c r="C1480" s="85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3" t="s">
        <v>3009</v>
      </c>
      <c r="C1481" s="85" t="s">
        <v>3010</v>
      </c>
      <c r="D1481" s="47"/>
      <c r="E1481" s="47"/>
      <c r="F1481" s="48"/>
      <c r="G1481" s="62" t="str">
        <f>IFERROR(INDEX(StockInData[Expiry],MATCH(ProductMaster[[#This Row],[Product ID]],StockInData[Product ID],0)),"")</f>
        <v/>
      </c>
      <c r="H1481" s="47"/>
      <c r="I1481" s="61">
        <f>SUMIFS(StockInData[Quantity],StockInData[Product ID],ProductMaster!$B1481)-SUMIFS(StockOutData[Quantity],StockOutData[Product ID],ProductMaster!$B1481)</f>
        <v>0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2">
        <v>1481</v>
      </c>
      <c r="B1482" s="83" t="s">
        <v>3011</v>
      </c>
      <c r="C1482" s="85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3" t="s">
        <v>3013</v>
      </c>
      <c r="C1483" s="85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2">
        <v>1483</v>
      </c>
      <c r="B1484" s="83" t="s">
        <v>3015</v>
      </c>
      <c r="C1484" s="85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3" t="s">
        <v>3017</v>
      </c>
      <c r="C1485" s="85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2">
        <v>1485</v>
      </c>
      <c r="B1486" s="83" t="s">
        <v>3019</v>
      </c>
      <c r="C1486" s="85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3" t="s">
        <v>3021</v>
      </c>
      <c r="C1487" s="85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2">
        <v>1487</v>
      </c>
      <c r="B1488" s="83" t="s">
        <v>3023</v>
      </c>
      <c r="C1488" s="85" t="s">
        <v>3024</v>
      </c>
      <c r="D1488" s="47"/>
      <c r="E1488" s="47"/>
      <c r="F1488" s="48"/>
      <c r="G1488" s="62" t="str">
        <f>IFERROR(INDEX(StockInData[Expiry],MATCH(ProductMaster[[#This Row],[Product ID]],StockInData[Product ID],0)),"")</f>
        <v/>
      </c>
      <c r="H1488" s="47"/>
      <c r="I1488" s="61">
        <f>SUMIFS(StockInData[Quantity],StockInData[Product ID],ProductMaster!$B1488)-SUMIFS(StockOutData[Quantity],StockOutData[Product ID],ProductMaster!$B1488)</f>
        <v>0</v>
      </c>
      <c r="J1488" s="63">
        <f>SUMIFS(StockInData[Value],StockInData[Product ID],ProductMaster!$B1488)-SUMIFS(StockOutData[Value],StockOutData[Product ID],ProductMaster!$B1488)</f>
        <v>0</v>
      </c>
    </row>
    <row r="1489" spans="1:10" hidden="1" x14ac:dyDescent="0.25">
      <c r="A1489" s="60">
        <v>1488</v>
      </c>
      <c r="B1489" s="83" t="s">
        <v>3025</v>
      </c>
      <c r="C1489" s="85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2">
        <v>1489</v>
      </c>
      <c r="B1490" s="83" t="s">
        <v>3027</v>
      </c>
      <c r="C1490" s="85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3" t="s">
        <v>3029</v>
      </c>
      <c r="C1491" s="85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2">
        <v>1491</v>
      </c>
      <c r="B1492" s="83" t="s">
        <v>3031</v>
      </c>
      <c r="C1492" s="85" t="s">
        <v>3032</v>
      </c>
      <c r="D1492" s="47"/>
      <c r="E1492" s="47"/>
      <c r="F1492" s="48"/>
      <c r="G1492" s="62" t="str">
        <f>IFERROR(INDEX(StockInData[Expiry],MATCH(ProductMaster[[#This Row],[Product ID]],StockInData[Product ID],0)),"")</f>
        <v/>
      </c>
      <c r="H1492" s="47"/>
      <c r="I1492" s="61">
        <f>SUMIFS(StockInData[Quantity],StockInData[Product ID],ProductMaster!$B1492)-SUMIFS(StockOutData[Quantity],StockOutData[Product ID],ProductMaster!$B1492)</f>
        <v>0</v>
      </c>
      <c r="J1492" s="63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3" t="s">
        <v>3033</v>
      </c>
      <c r="C1493" s="85" t="s">
        <v>3034</v>
      </c>
      <c r="D1493" s="47"/>
      <c r="E1493" s="47"/>
      <c r="F1493" s="48"/>
      <c r="G1493" s="62" t="str">
        <f>IFERROR(INDEX(StockInData[Expiry],MATCH(ProductMaster[[#This Row],[Product ID]],StockInData[Product ID],0)),"")</f>
        <v/>
      </c>
      <c r="H1493" s="47"/>
      <c r="I1493" s="61">
        <f>SUMIFS(StockInData[Quantity],StockInData[Product ID],ProductMaster!$B1493)-SUMIFS(StockOutData[Quantity],StockOutData[Product ID],ProductMaster!$B1493)</f>
        <v>0</v>
      </c>
      <c r="J1493" s="63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82">
        <v>1493</v>
      </c>
      <c r="B1494" s="83" t="s">
        <v>3035</v>
      </c>
      <c r="C1494" s="85" t="s">
        <v>3036</v>
      </c>
      <c r="D1494" s="47"/>
      <c r="E1494" s="47"/>
      <c r="F1494" s="48"/>
      <c r="G1494" s="62" t="str">
        <f>IFERROR(INDEX(StockInData[Expiry],MATCH(ProductMaster[[#This Row],[Product ID]],StockInData[Product ID],0)),"")</f>
        <v/>
      </c>
      <c r="H1494" s="47"/>
      <c r="I1494" s="61">
        <f>SUMIFS(StockInData[Quantity],StockInData[Product ID],ProductMaster!$B1494)-SUMIFS(StockOutData[Quantity],StockOutData[Product ID],ProductMaster!$B1494)</f>
        <v>0</v>
      </c>
      <c r="J1494" s="63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3" t="s">
        <v>3037</v>
      </c>
      <c r="C1495" s="85" t="s">
        <v>3038</v>
      </c>
      <c r="D1495" s="47"/>
      <c r="E1495" s="47"/>
      <c r="F1495" s="48"/>
      <c r="G1495" s="62" t="str">
        <f>IFERROR(INDEX(StockInData[Expiry],MATCH(ProductMaster[[#This Row],[Product ID]],StockInData[Product ID],0)),"")</f>
        <v/>
      </c>
      <c r="H1495" s="47"/>
      <c r="I1495" s="61">
        <f>SUMIFS(StockInData[Quantity],StockInData[Product ID],ProductMaster!$B1495)-SUMIFS(StockOutData[Quantity],StockOutData[Product ID],ProductMaster!$B1495)</f>
        <v>0</v>
      </c>
      <c r="J1495" s="63">
        <f>SUMIFS(StockInData[Value],StockInData[Product ID],ProductMaster!$B1495)-SUMIFS(StockOutData[Value],StockOutData[Product ID],ProductMaster!$B1495)</f>
        <v>0</v>
      </c>
    </row>
    <row r="1496" spans="1:10" hidden="1" x14ac:dyDescent="0.25">
      <c r="A1496" s="82">
        <v>1495</v>
      </c>
      <c r="B1496" s="83" t="s">
        <v>3039</v>
      </c>
      <c r="C1496" s="85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3" t="s">
        <v>3041</v>
      </c>
      <c r="C1497" s="85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2">
        <v>1497</v>
      </c>
      <c r="B1498" s="83" t="s">
        <v>3043</v>
      </c>
      <c r="C1498" s="85" t="s">
        <v>3044</v>
      </c>
      <c r="D1498" s="47"/>
      <c r="E1498" s="47"/>
      <c r="F1498" s="48"/>
      <c r="G1498" s="62" t="str">
        <f>IFERROR(INDEX(StockInData[Expiry],MATCH(ProductMaster[[#This Row],[Product ID]],StockInData[Product ID],0)),"")</f>
        <v/>
      </c>
      <c r="H1498" s="47"/>
      <c r="I1498" s="61">
        <f>SUMIFS(StockInData[Quantity],StockInData[Product ID],ProductMaster!$B1498)-SUMIFS(StockOutData[Quantity],StockOutData[Product ID],ProductMaster!$B1498)</f>
        <v>0</v>
      </c>
      <c r="J1498" s="63">
        <f>SUMIFS(StockInData[Value],StockInData[Product ID],ProductMaster!$B1498)-SUMIFS(StockOutData[Value],StockOutData[Product ID],ProductMaster!$B1498)</f>
        <v>0</v>
      </c>
    </row>
    <row r="1499" spans="1:10" hidden="1" x14ac:dyDescent="0.25">
      <c r="A1499" s="60">
        <v>1498</v>
      </c>
      <c r="B1499" s="83" t="s">
        <v>3045</v>
      </c>
      <c r="C1499" s="85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82">
        <v>1499</v>
      </c>
      <c r="B1500" s="83" t="s">
        <v>3047</v>
      </c>
      <c r="C1500" s="85" t="s">
        <v>3048</v>
      </c>
      <c r="D1500" s="47"/>
      <c r="E1500" s="47"/>
      <c r="F1500" s="48"/>
      <c r="G1500" s="62" t="str">
        <f>IFERROR(INDEX(StockInData[Expiry],MATCH(ProductMaster[[#This Row],[Product ID]],StockInData[Product ID],0)),"")</f>
        <v/>
      </c>
      <c r="H1500" s="47"/>
      <c r="I1500" s="61">
        <f>SUMIFS(StockInData[Quantity],StockInData[Product ID],ProductMaster!$B1500)-SUMIFS(StockOutData[Quantity],StockOutData[Product ID],ProductMaster!$B1500)</f>
        <v>0</v>
      </c>
      <c r="J1500" s="63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0">
        <v>1500</v>
      </c>
      <c r="B1501" s="83" t="s">
        <v>3049</v>
      </c>
      <c r="C1501" s="85" t="s">
        <v>3050</v>
      </c>
      <c r="D1501" s="47"/>
      <c r="E1501" s="47"/>
      <c r="F1501" s="48"/>
      <c r="G1501" s="62" t="str">
        <f>IFERROR(INDEX(StockInData[Expiry],MATCH(ProductMaster[[#This Row],[Product ID]],StockInData[Product ID],0)),"")</f>
        <v/>
      </c>
      <c r="H1501" s="47"/>
      <c r="I1501" s="61">
        <f>SUMIFS(StockInData[Quantity],StockInData[Product ID],ProductMaster!$B1501)-SUMIFS(StockOutData[Quantity],StockOutData[Product ID],ProductMaster!$B1501)</f>
        <v>0</v>
      </c>
      <c r="J1501" s="63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82">
        <v>1501</v>
      </c>
      <c r="B1502" s="83" t="s">
        <v>3051</v>
      </c>
      <c r="C1502" s="85" t="s">
        <v>3052</v>
      </c>
      <c r="D1502" s="47"/>
      <c r="E1502" s="47"/>
      <c r="F1502" s="48"/>
      <c r="G1502" s="62" t="str">
        <f>IFERROR(INDEX(StockInData[Expiry],MATCH(ProductMaster[[#This Row],[Product ID]],StockInData[Product ID],0)),"")</f>
        <v/>
      </c>
      <c r="H1502" s="47"/>
      <c r="I1502" s="61">
        <f>SUMIFS(StockInData[Quantity],StockInData[Product ID],ProductMaster!$B1502)-SUMIFS(StockOutData[Quantity],StockOutData[Product ID],ProductMaster!$B1502)</f>
        <v>0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3" t="s">
        <v>3053</v>
      </c>
      <c r="C1503" s="85" t="s">
        <v>3054</v>
      </c>
      <c r="D1503" s="47"/>
      <c r="E1503" s="47"/>
      <c r="F1503" s="48"/>
      <c r="G1503" s="62" t="str">
        <f>IFERROR(INDEX(StockInData[Expiry],MATCH(ProductMaster[[#This Row],[Product ID]],StockInData[Product ID],0)),"")</f>
        <v/>
      </c>
      <c r="H1503" s="47"/>
      <c r="I1503" s="61">
        <f>SUMIFS(StockInData[Quantity],StockInData[Product ID],ProductMaster!$B1503)-SUMIFS(StockOutData[Quantity],StockOutData[Product ID],ProductMaster!$B1503)</f>
        <v>0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2">
        <v>1503</v>
      </c>
      <c r="B1504" s="83" t="s">
        <v>3055</v>
      </c>
      <c r="C1504" s="85" t="s">
        <v>3056</v>
      </c>
      <c r="D1504" s="47"/>
      <c r="E1504" s="47"/>
      <c r="F1504" s="48"/>
      <c r="G1504" s="62" t="str">
        <f>IFERROR(INDEX(StockInData[Expiry],MATCH(ProductMaster[[#This Row],[Product ID]],StockInData[Product ID],0)),"")</f>
        <v/>
      </c>
      <c r="H1504" s="47"/>
      <c r="I1504" s="61">
        <f>SUMIFS(StockInData[Quantity],StockInData[Product ID],ProductMaster!$B1504)-SUMIFS(StockOutData[Quantity],StockOutData[Product ID],ProductMaster!$B1504)</f>
        <v>0</v>
      </c>
      <c r="J1504" s="63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3" t="s">
        <v>3057</v>
      </c>
      <c r="C1505" s="85" t="s">
        <v>3058</v>
      </c>
      <c r="D1505" s="47"/>
      <c r="E1505" s="47"/>
      <c r="F1505" s="48"/>
      <c r="G1505" s="62" t="str">
        <f>IFERROR(INDEX(StockInData[Expiry],MATCH(ProductMaster[[#This Row],[Product ID]],StockInData[Product ID],0)),"")</f>
        <v/>
      </c>
      <c r="H1505" s="47"/>
      <c r="I1505" s="61">
        <f>SUMIFS(StockInData[Quantity],StockInData[Product ID],ProductMaster!$B1505)-SUMIFS(StockOutData[Quantity],StockOutData[Product ID],ProductMaster!$B1505)</f>
        <v>0</v>
      </c>
      <c r="J1505" s="63">
        <f>SUMIFS(StockInData[Value],StockInData[Product ID],ProductMaster!$B1505)-SUMIFS(StockOutData[Value],StockOutData[Product ID],ProductMaster!$B1505)</f>
        <v>0</v>
      </c>
    </row>
    <row r="1506" spans="1:10" hidden="1" x14ac:dyDescent="0.25">
      <c r="A1506" s="82">
        <v>1505</v>
      </c>
      <c r="B1506" s="83" t="s">
        <v>3059</v>
      </c>
      <c r="C1506" s="85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3" t="s">
        <v>3061</v>
      </c>
      <c r="C1507" s="85" t="s">
        <v>3062</v>
      </c>
      <c r="D1507" s="47"/>
      <c r="E1507" s="47"/>
      <c r="F1507" s="48"/>
      <c r="G1507" s="62" t="str">
        <f>IFERROR(INDEX(StockInData[Expiry],MATCH(ProductMaster[[#This Row],[Product ID]],StockInData[Product ID],0)),"")</f>
        <v/>
      </c>
      <c r="H1507" s="47"/>
      <c r="I1507" s="61">
        <f>SUMIFS(StockInData[Quantity],StockInData[Product ID],ProductMaster!$B1507)-SUMIFS(StockOutData[Quantity],StockOutData[Product ID],ProductMaster!$B1507)</f>
        <v>0</v>
      </c>
      <c r="J1507" s="63">
        <f>SUMIFS(StockInData[Value],StockInData[Product ID],ProductMaster!$B1507)-SUMIFS(StockOutData[Value],StockOutData[Product ID],ProductMaster!$B1507)</f>
        <v>0</v>
      </c>
    </row>
    <row r="1508" spans="1:10" hidden="1" x14ac:dyDescent="0.25">
      <c r="A1508" s="82">
        <v>1507</v>
      </c>
      <c r="B1508" s="83" t="s">
        <v>3063</v>
      </c>
      <c r="C1508" s="85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3" t="s">
        <v>3065</v>
      </c>
      <c r="C1509" s="85" t="s">
        <v>3066</v>
      </c>
      <c r="D1509" s="47"/>
      <c r="E1509" s="47"/>
      <c r="F1509" s="48"/>
      <c r="G1509" s="62" t="str">
        <f>IFERROR(INDEX(StockInData[Expiry],MATCH(ProductMaster[[#This Row],[Product ID]],StockInData[Product ID],0)),"")</f>
        <v/>
      </c>
      <c r="H1509" s="47"/>
      <c r="I1509" s="61">
        <f>SUMIFS(StockInData[Quantity],StockInData[Product ID],ProductMaster!$B1509)-SUMIFS(StockOutData[Quantity],StockOutData[Product ID],ProductMaster!$B1509)</f>
        <v>0</v>
      </c>
      <c r="J1509" s="63">
        <f>SUMIFS(StockInData[Value],StockInData[Product ID],ProductMaster!$B1509)-SUMIFS(StockOutData[Value],StockOutData[Product ID],ProductMaster!$B1509)</f>
        <v>0</v>
      </c>
    </row>
    <row r="1510" spans="1:10" hidden="1" x14ac:dyDescent="0.25">
      <c r="A1510" s="82">
        <v>1509</v>
      </c>
      <c r="B1510" s="83" t="s">
        <v>3067</v>
      </c>
      <c r="C1510" s="85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3" t="s">
        <v>3069</v>
      </c>
      <c r="C1511" s="85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2">
        <v>1511</v>
      </c>
      <c r="B1512" s="83" t="s">
        <v>3071</v>
      </c>
      <c r="C1512" s="85" t="s">
        <v>3072</v>
      </c>
      <c r="D1512" s="47"/>
      <c r="E1512" s="47"/>
      <c r="F1512" s="48"/>
      <c r="G1512" s="62" t="str">
        <f>IFERROR(INDEX(StockInData[Expiry],MATCH(ProductMaster[[#This Row],[Product ID]],StockInData[Product ID],0)),"")</f>
        <v/>
      </c>
      <c r="H1512" s="47"/>
      <c r="I1512" s="61">
        <f>SUMIFS(StockInData[Quantity],StockInData[Product ID],ProductMaster!$B1512)-SUMIFS(StockOutData[Quantity],StockOutData[Product ID],ProductMaster!$B1512)</f>
        <v>0</v>
      </c>
      <c r="J1512" s="63">
        <f>SUMIFS(StockInData[Value],StockInData[Product ID],ProductMaster!$B1512)-SUMIFS(StockOutData[Value],StockOutData[Product ID],ProductMaster!$B1512)</f>
        <v>0</v>
      </c>
    </row>
    <row r="1513" spans="1:10" hidden="1" x14ac:dyDescent="0.25">
      <c r="A1513" s="60">
        <v>1512</v>
      </c>
      <c r="B1513" s="83" t="s">
        <v>3073</v>
      </c>
      <c r="C1513" s="85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82">
        <v>1513</v>
      </c>
      <c r="B1514" s="83" t="s">
        <v>3075</v>
      </c>
      <c r="C1514" s="85" t="s">
        <v>3076</v>
      </c>
      <c r="D1514" s="47"/>
      <c r="E1514" s="47"/>
      <c r="F1514" s="48"/>
      <c r="G1514" s="62" t="str">
        <f>IFERROR(INDEX(StockInData[Expiry],MATCH(ProductMaster[[#This Row],[Product ID]],StockInData[Product ID],0)),"")</f>
        <v/>
      </c>
      <c r="H1514" s="47"/>
      <c r="I1514" s="61">
        <f>SUMIFS(StockInData[Quantity],StockInData[Product ID],ProductMaster!$B1514)-SUMIFS(StockOutData[Quantity],StockOutData[Product ID],ProductMaster!$B1514)</f>
        <v>0</v>
      </c>
      <c r="J1514" s="63">
        <f>SUMIFS(StockInData[Value],StockInData[Product ID],ProductMaster!$B1514)-SUMIFS(StockOutData[Value],StockOutData[Product ID],ProductMaster!$B1514)</f>
        <v>0</v>
      </c>
    </row>
    <row r="1515" spans="1:10" hidden="1" x14ac:dyDescent="0.25">
      <c r="A1515" s="60">
        <v>1514</v>
      </c>
      <c r="B1515" s="83" t="s">
        <v>3077</v>
      </c>
      <c r="C1515" s="85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2">
        <v>1515</v>
      </c>
      <c r="B1516" s="83" t="s">
        <v>3079</v>
      </c>
      <c r="C1516" s="85" t="s">
        <v>3080</v>
      </c>
      <c r="D1516" s="47"/>
      <c r="E1516" s="47"/>
      <c r="F1516" s="48"/>
      <c r="G1516" s="62" t="str">
        <f>IFERROR(INDEX(StockInData[Expiry],MATCH(ProductMaster[[#This Row],[Product ID]],StockInData[Product ID],0)),"")</f>
        <v/>
      </c>
      <c r="H1516" s="47"/>
      <c r="I1516" s="61">
        <f>SUMIFS(StockInData[Quantity],StockInData[Product ID],ProductMaster!$B1516)-SUMIFS(StockOutData[Quantity],StockOutData[Product ID],ProductMaster!$B1516)</f>
        <v>0</v>
      </c>
      <c r="J1516" s="63">
        <f>SUMIFS(StockInData[Value],StockInData[Product ID],ProductMaster!$B1516)-SUMIFS(StockOutData[Value],StockOutData[Product ID],ProductMaster!$B1516)</f>
        <v>0</v>
      </c>
    </row>
    <row r="1517" spans="1:10" hidden="1" x14ac:dyDescent="0.25">
      <c r="A1517" s="60">
        <v>1516</v>
      </c>
      <c r="B1517" s="83" t="s">
        <v>3081</v>
      </c>
      <c r="C1517" s="85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2">
        <v>1517</v>
      </c>
      <c r="B1518" s="83" t="s">
        <v>3083</v>
      </c>
      <c r="C1518" s="85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3" t="s">
        <v>3085</v>
      </c>
      <c r="C1519" s="85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2">
        <v>1519</v>
      </c>
      <c r="B1520" s="83" t="s">
        <v>3087</v>
      </c>
      <c r="C1520" s="85" t="s">
        <v>3088</v>
      </c>
      <c r="D1520" s="47"/>
      <c r="E1520" s="47"/>
      <c r="F1520" s="48"/>
      <c r="G1520" s="62" t="str">
        <f>IFERROR(INDEX(StockInData[Expiry],MATCH(ProductMaster[[#This Row],[Product ID]],StockInData[Product ID],0)),"")</f>
        <v/>
      </c>
      <c r="H1520" s="47"/>
      <c r="I1520" s="61">
        <f>SUMIFS(StockInData[Quantity],StockInData[Product ID],ProductMaster!$B1520)-SUMIFS(StockOutData[Quantity],StockOutData[Product ID],ProductMaster!$B1520)</f>
        <v>0</v>
      </c>
      <c r="J1520" s="63">
        <f>SUMIFS(StockInData[Value],StockInData[Product ID],ProductMaster!$B1520)-SUMIFS(StockOutData[Value],StockOutData[Product ID],ProductMaster!$B1520)</f>
        <v>0</v>
      </c>
    </row>
    <row r="1521" spans="1:10" hidden="1" x14ac:dyDescent="0.25">
      <c r="A1521" s="60">
        <v>1520</v>
      </c>
      <c r="B1521" s="83" t="s">
        <v>3089</v>
      </c>
      <c r="C1521" s="85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2">
        <v>1521</v>
      </c>
      <c r="B1522" s="83" t="s">
        <v>3091</v>
      </c>
      <c r="C1522" s="85" t="s">
        <v>3092</v>
      </c>
      <c r="D1522" s="47"/>
      <c r="E1522" s="47"/>
      <c r="F1522" s="48"/>
      <c r="G1522" s="62" t="str">
        <f>IFERROR(INDEX(StockInData[Expiry],MATCH(ProductMaster[[#This Row],[Product ID]],StockInData[Product ID],0)),"")</f>
        <v/>
      </c>
      <c r="H1522" s="47"/>
      <c r="I1522" s="61">
        <f>SUMIFS(StockInData[Quantity],StockInData[Product ID],ProductMaster!$B1522)-SUMIFS(StockOutData[Quantity],StockOutData[Product ID],ProductMaster!$B1522)</f>
        <v>0</v>
      </c>
      <c r="J1522" s="63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3" t="s">
        <v>3093</v>
      </c>
      <c r="C1523" s="85" t="s">
        <v>3094</v>
      </c>
      <c r="D1523" s="47"/>
      <c r="E1523" s="47"/>
      <c r="F1523" s="48"/>
      <c r="G1523" s="62" t="str">
        <f>IFERROR(INDEX(StockInData[Expiry],MATCH(ProductMaster[[#This Row],[Product ID]],StockInData[Product ID],0)),"")</f>
        <v/>
      </c>
      <c r="H1523" s="47"/>
      <c r="I1523" s="61">
        <f>SUMIFS(StockInData[Quantity],StockInData[Product ID],ProductMaster!$B1523)-SUMIFS(StockOutData[Quantity],StockOutData[Product ID],ProductMaster!$B1523)</f>
        <v>0</v>
      </c>
      <c r="J1523" s="63">
        <f>SUMIFS(StockInData[Value],StockInData[Product ID],ProductMaster!$B1523)-SUMIFS(StockOutData[Value],StockOutData[Product ID],ProductMaster!$B1523)</f>
        <v>0</v>
      </c>
    </row>
    <row r="1524" spans="1:10" hidden="1" x14ac:dyDescent="0.25">
      <c r="A1524" s="82">
        <v>1523</v>
      </c>
      <c r="B1524" s="83" t="s">
        <v>3095</v>
      </c>
      <c r="C1524" s="85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3" t="s">
        <v>3097</v>
      </c>
      <c r="C1525" s="85" t="s">
        <v>3098</v>
      </c>
      <c r="D1525" s="47"/>
      <c r="E1525" s="47"/>
      <c r="F1525" s="48"/>
      <c r="G1525" s="62" t="str">
        <f>IFERROR(INDEX(StockInData[Expiry],MATCH(ProductMaster[[#This Row],[Product ID]],StockInData[Product ID],0)),"")</f>
        <v/>
      </c>
      <c r="H1525" s="47"/>
      <c r="I1525" s="61">
        <f>SUMIFS(StockInData[Quantity],StockInData[Product ID],ProductMaster!$B1525)-SUMIFS(StockOutData[Quantity],StockOutData[Product ID],ProductMaster!$B1525)</f>
        <v>0</v>
      </c>
      <c r="J1525" s="63">
        <f>SUMIFS(StockInData[Value],StockInData[Product ID],ProductMaster!$B1525)-SUMIFS(StockOutData[Value],StockOutData[Product ID],ProductMaster!$B1525)</f>
        <v>0</v>
      </c>
    </row>
    <row r="1526" spans="1:10" hidden="1" x14ac:dyDescent="0.25">
      <c r="A1526" s="82">
        <v>1525</v>
      </c>
      <c r="B1526" s="83" t="s">
        <v>3099</v>
      </c>
      <c r="C1526" s="85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3" t="s">
        <v>3101</v>
      </c>
      <c r="C1527" s="85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2">
        <v>1527</v>
      </c>
      <c r="B1528" s="83" t="s">
        <v>3103</v>
      </c>
      <c r="C1528" s="85" t="s">
        <v>3104</v>
      </c>
      <c r="D1528" s="47"/>
      <c r="E1528" s="47"/>
      <c r="F1528" s="48"/>
      <c r="G1528" s="62" t="str">
        <f>IFERROR(INDEX(StockInData[Expiry],MATCH(ProductMaster[[#This Row],[Product ID]],StockInData[Product ID],0)),"")</f>
        <v/>
      </c>
      <c r="H1528" s="47"/>
      <c r="I1528" s="61">
        <f>SUMIFS(StockInData[Quantity],StockInData[Product ID],ProductMaster!$B1528)-SUMIFS(StockOutData[Quantity],StockOutData[Product ID],ProductMaster!$B1528)</f>
        <v>0</v>
      </c>
      <c r="J1528" s="63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3" t="s">
        <v>3105</v>
      </c>
      <c r="C1529" s="85" t="s">
        <v>3106</v>
      </c>
      <c r="D1529" s="47"/>
      <c r="E1529" s="47"/>
      <c r="F1529" s="48"/>
      <c r="G1529" s="62" t="str">
        <f>IFERROR(INDEX(StockInData[Expiry],MATCH(ProductMaster[[#This Row],[Product ID]],StockInData[Product ID],0)),"")</f>
        <v/>
      </c>
      <c r="H1529" s="47"/>
      <c r="I1529" s="61">
        <f>SUMIFS(StockInData[Quantity],StockInData[Product ID],ProductMaster!$B1529)-SUMIFS(StockOutData[Quantity],StockOutData[Product ID],ProductMaster!$B1529)</f>
        <v>0</v>
      </c>
      <c r="J1529" s="63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82">
        <v>1529</v>
      </c>
      <c r="B1530" s="83" t="s">
        <v>3107</v>
      </c>
      <c r="C1530" s="85" t="s">
        <v>3108</v>
      </c>
      <c r="D1530" s="47"/>
      <c r="E1530" s="47"/>
      <c r="F1530" s="48"/>
      <c r="G1530" s="62" t="str">
        <f>IFERROR(INDEX(StockInData[Expiry],MATCH(ProductMaster[[#This Row],[Product ID]],StockInData[Product ID],0)),"")</f>
        <v/>
      </c>
      <c r="H1530" s="47"/>
      <c r="I1530" s="61">
        <f>SUMIFS(StockInData[Quantity],StockInData[Product ID],ProductMaster!$B1530)-SUMIFS(StockOutData[Quantity],StockOutData[Product ID],ProductMaster!$B1530)</f>
        <v>0</v>
      </c>
      <c r="J1530" s="63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3" t="s">
        <v>3109</v>
      </c>
      <c r="C1531" s="85" t="s">
        <v>3110</v>
      </c>
      <c r="D1531" s="47"/>
      <c r="E1531" s="47"/>
      <c r="F1531" s="48"/>
      <c r="G1531" s="62" t="str">
        <f>IFERROR(INDEX(StockInData[Expiry],MATCH(ProductMaster[[#This Row],[Product ID]],StockInData[Product ID],0)),"")</f>
        <v/>
      </c>
      <c r="H1531" s="47"/>
      <c r="I1531" s="61">
        <f>SUMIFS(StockInData[Quantity],StockInData[Product ID],ProductMaster!$B1531)-SUMIFS(StockOutData[Quantity],StockOutData[Product ID],ProductMaster!$B1531)</f>
        <v>0</v>
      </c>
      <c r="J1531" s="63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82">
        <v>1531</v>
      </c>
      <c r="B1532" s="83" t="s">
        <v>3111</v>
      </c>
      <c r="C1532" s="85" t="s">
        <v>3112</v>
      </c>
      <c r="D1532" s="47"/>
      <c r="E1532" s="47"/>
      <c r="F1532" s="48"/>
      <c r="G1532" s="62" t="str">
        <f>IFERROR(INDEX(StockInData[Expiry],MATCH(ProductMaster[[#This Row],[Product ID]],StockInData[Product ID],0)),"")</f>
        <v/>
      </c>
      <c r="H1532" s="47"/>
      <c r="I1532" s="61">
        <f>SUMIFS(StockInData[Quantity],StockInData[Product ID],ProductMaster!$B1532)-SUMIFS(StockOutData[Quantity],StockOutData[Product ID],ProductMaster!$B1532)</f>
        <v>0</v>
      </c>
      <c r="J1532" s="63">
        <f>SUMIFS(StockInData[Value],StockInData[Product ID],ProductMaster!$B1532)-SUMIFS(StockOutData[Value],StockOutData[Product ID],ProductMaster!$B1532)</f>
        <v>0</v>
      </c>
    </row>
    <row r="1533" spans="1:10" hidden="1" x14ac:dyDescent="0.25">
      <c r="A1533" s="60">
        <v>1532</v>
      </c>
      <c r="B1533" s="83" t="s">
        <v>3113</v>
      </c>
      <c r="C1533" s="85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2">
        <v>1533</v>
      </c>
      <c r="B1534" s="83" t="s">
        <v>3115</v>
      </c>
      <c r="C1534" s="85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3" t="s">
        <v>3117</v>
      </c>
      <c r="C1535" s="85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2">
        <v>1535</v>
      </c>
      <c r="B1536" s="83" t="s">
        <v>3119</v>
      </c>
      <c r="C1536" s="85" t="s">
        <v>3120</v>
      </c>
      <c r="D1536" s="47"/>
      <c r="E1536" s="47"/>
      <c r="F1536" s="48"/>
      <c r="G1536" s="62" t="str">
        <f>IFERROR(INDEX(StockInData[Expiry],MATCH(ProductMaster[[#This Row],[Product ID]],StockInData[Product ID],0)),"")</f>
        <v/>
      </c>
      <c r="H1536" s="47"/>
      <c r="I1536" s="61">
        <f>SUMIFS(StockInData[Quantity],StockInData[Product ID],ProductMaster!$B1536)-SUMIFS(StockOutData[Quantity],StockOutData[Product ID],ProductMaster!$B1536)</f>
        <v>0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3" t="s">
        <v>3121</v>
      </c>
      <c r="C1537" s="85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2">
        <v>1537</v>
      </c>
      <c r="B1538" s="83" t="s">
        <v>3123</v>
      </c>
      <c r="C1538" s="85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3" t="s">
        <v>3125</v>
      </c>
      <c r="C1539" s="85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2">
        <v>1539</v>
      </c>
      <c r="B1540" s="83" t="s">
        <v>3127</v>
      </c>
      <c r="C1540" s="85" t="s">
        <v>3128</v>
      </c>
      <c r="D1540" s="47"/>
      <c r="E1540" s="47"/>
      <c r="F1540" s="48"/>
      <c r="G1540" s="62" t="str">
        <f>IFERROR(INDEX(StockInData[Expiry],MATCH(ProductMaster[[#This Row],[Product ID]],StockInData[Product ID],0)),"")</f>
        <v/>
      </c>
      <c r="H1540" s="47"/>
      <c r="I1540" s="61">
        <f>SUMIFS(StockInData[Quantity],StockInData[Product ID],ProductMaster!$B1540)-SUMIFS(StockOutData[Quantity],StockOutData[Product ID],ProductMaster!$B1540)</f>
        <v>0</v>
      </c>
      <c r="J1540" s="63">
        <f>SUMIFS(StockInData[Value],StockInData[Product ID],ProductMaster!$B1540)-SUMIFS(StockOutData[Value],StockOutData[Product ID],ProductMaster!$B1540)</f>
        <v>0</v>
      </c>
    </row>
    <row r="1541" spans="1:10" hidden="1" x14ac:dyDescent="0.25">
      <c r="A1541" s="60">
        <v>1540</v>
      </c>
      <c r="B1541" s="83" t="s">
        <v>3129</v>
      </c>
      <c r="C1541" s="85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2">
        <v>1541</v>
      </c>
      <c r="B1542" s="83" t="s">
        <v>3131</v>
      </c>
      <c r="C1542" s="85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3" t="s">
        <v>3133</v>
      </c>
      <c r="C1543" s="85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2">
        <v>1543</v>
      </c>
      <c r="B1544" s="83" t="s">
        <v>3135</v>
      </c>
      <c r="C1544" s="85" t="s">
        <v>3136</v>
      </c>
      <c r="D1544" s="47"/>
      <c r="E1544" s="47"/>
      <c r="F1544" s="48"/>
      <c r="G1544" s="62" t="str">
        <f>IFERROR(INDEX(StockInData[Expiry],MATCH(ProductMaster[[#This Row],[Product ID]],StockInData[Product ID],0)),"")</f>
        <v/>
      </c>
      <c r="H1544" s="47"/>
      <c r="I1544" s="61">
        <f>SUMIFS(StockInData[Quantity],StockInData[Product ID],ProductMaster!$B1544)-SUMIFS(StockOutData[Quantity],StockOutData[Product ID],ProductMaster!$B1544)</f>
        <v>0</v>
      </c>
      <c r="J1544" s="63">
        <f>SUMIFS(StockInData[Value],StockInData[Product ID],ProductMaster!$B1544)-SUMIFS(StockOutData[Value],StockOutData[Product ID],ProductMaster!$B1544)</f>
        <v>0</v>
      </c>
    </row>
    <row r="1545" spans="1:10" hidden="1" x14ac:dyDescent="0.25">
      <c r="A1545" s="60">
        <v>1544</v>
      </c>
      <c r="B1545" s="83" t="s">
        <v>3137</v>
      </c>
      <c r="C1545" s="85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2">
        <v>1545</v>
      </c>
      <c r="B1546" s="83" t="s">
        <v>3139</v>
      </c>
      <c r="C1546" s="85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3" t="s">
        <v>3141</v>
      </c>
      <c r="C1547" s="85" t="s">
        <v>3142</v>
      </c>
      <c r="D1547" s="47"/>
      <c r="E1547" s="47"/>
      <c r="F1547" s="48"/>
      <c r="G1547" s="62" t="str">
        <f>IFERROR(INDEX(StockInData[Expiry],MATCH(ProductMaster[[#This Row],[Product ID]],StockInData[Product ID],0)),"")</f>
        <v/>
      </c>
      <c r="H1547" s="47"/>
      <c r="I1547" s="61">
        <f>SUMIFS(StockInData[Quantity],StockInData[Product ID],ProductMaster!$B1547)-SUMIFS(StockOutData[Quantity],StockOutData[Product ID],ProductMaster!$B1547)</f>
        <v>0</v>
      </c>
      <c r="J1547" s="63">
        <f>SUMIFS(StockInData[Value],StockInData[Product ID],ProductMaster!$B1547)-SUMIFS(StockOutData[Value],StockOutData[Product ID],ProductMaster!$B1547)</f>
        <v>0</v>
      </c>
    </row>
    <row r="1548" spans="1:10" hidden="1" x14ac:dyDescent="0.25">
      <c r="A1548" s="82">
        <v>1547</v>
      </c>
      <c r="B1548" s="83" t="s">
        <v>3143</v>
      </c>
      <c r="C1548" s="85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3" t="s">
        <v>3145</v>
      </c>
      <c r="C1549" s="85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2">
        <v>1549</v>
      </c>
      <c r="B1550" s="83" t="s">
        <v>3147</v>
      </c>
      <c r="C1550" s="85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3" t="s">
        <v>3149</v>
      </c>
      <c r="C1551" s="85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2">
        <v>1551</v>
      </c>
      <c r="B1552" s="83" t="s">
        <v>3151</v>
      </c>
      <c r="C1552" s="85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3" t="s">
        <v>3153</v>
      </c>
      <c r="C1553" s="85" t="s">
        <v>3154</v>
      </c>
      <c r="D1553" s="47"/>
      <c r="E1553" s="47"/>
      <c r="F1553" s="48"/>
      <c r="G1553" s="62" t="str">
        <f>IFERROR(INDEX(StockInData[Expiry],MATCH(ProductMaster[[#This Row],[Product ID]],StockInData[Product ID],0)),"")</f>
        <v/>
      </c>
      <c r="H1553" s="47"/>
      <c r="I1553" s="61">
        <f>SUMIFS(StockInData[Quantity],StockInData[Product ID],ProductMaster!$B1553)-SUMIFS(StockOutData[Quantity],StockOutData[Product ID],ProductMaster!$B1553)</f>
        <v>0</v>
      </c>
      <c r="J1553" s="63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82">
        <v>1553</v>
      </c>
      <c r="B1554" s="83" t="s">
        <v>3155</v>
      </c>
      <c r="C1554" s="85" t="s">
        <v>3156</v>
      </c>
      <c r="D1554" s="47"/>
      <c r="E1554" s="47"/>
      <c r="F1554" s="48"/>
      <c r="G1554" s="62" t="str">
        <f>IFERROR(INDEX(StockInData[Expiry],MATCH(ProductMaster[[#This Row],[Product ID]],StockInData[Product ID],0)),"")</f>
        <v/>
      </c>
      <c r="H1554" s="47"/>
      <c r="I1554" s="61">
        <f>SUMIFS(StockInData[Quantity],StockInData[Product ID],ProductMaster!$B1554)-SUMIFS(StockOutData[Quantity],StockOutData[Product ID],ProductMaster!$B1554)</f>
        <v>0</v>
      </c>
      <c r="J1554" s="63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3" t="s">
        <v>3157</v>
      </c>
      <c r="C1555" s="85" t="s">
        <v>3158</v>
      </c>
      <c r="D1555" s="47"/>
      <c r="E1555" s="47"/>
      <c r="F1555" s="48"/>
      <c r="G1555" s="62" t="str">
        <f>IFERROR(INDEX(StockInData[Expiry],MATCH(ProductMaster[[#This Row],[Product ID]],StockInData[Product ID],0)),"")</f>
        <v/>
      </c>
      <c r="H1555" s="47"/>
      <c r="I1555" s="61">
        <f>SUMIFS(StockInData[Quantity],StockInData[Product ID],ProductMaster!$B1555)-SUMIFS(StockOutData[Quantity],StockOutData[Product ID],ProductMaster!$B1555)</f>
        <v>0</v>
      </c>
      <c r="J1555" s="63">
        <f>SUMIFS(StockInData[Value],StockInData[Product ID],ProductMaster!$B1555)-SUMIFS(StockOutData[Value],StockOutData[Product ID],ProductMaster!$B1555)</f>
        <v>0</v>
      </c>
    </row>
    <row r="1556" spans="1:10" hidden="1" x14ac:dyDescent="0.25">
      <c r="A1556" s="82">
        <v>1555</v>
      </c>
      <c r="B1556" s="83" t="s">
        <v>3159</v>
      </c>
      <c r="C1556" s="85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3" t="s">
        <v>3161</v>
      </c>
      <c r="C1557" s="85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2">
        <v>1557</v>
      </c>
      <c r="B1558" s="83" t="s">
        <v>3163</v>
      </c>
      <c r="C1558" s="85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3" t="s">
        <v>3165</v>
      </c>
      <c r="C1559" s="85" t="s">
        <v>3166</v>
      </c>
      <c r="D1559" s="47"/>
      <c r="E1559" s="47"/>
      <c r="F1559" s="48"/>
      <c r="G1559" s="62" t="str">
        <f>IFERROR(INDEX(StockInData[Expiry],MATCH(ProductMaster[[#This Row],[Product ID]],StockInData[Product ID],0)),"")</f>
        <v/>
      </c>
      <c r="H1559" s="47"/>
      <c r="I1559" s="61">
        <f>SUMIFS(StockInData[Quantity],StockInData[Product ID],ProductMaster!$B1559)-SUMIFS(StockOutData[Quantity],StockOutData[Product ID],ProductMaster!$B1559)</f>
        <v>0</v>
      </c>
      <c r="J1559" s="63">
        <f>SUMIFS(StockInData[Value],StockInData[Product ID],ProductMaster!$B1559)-SUMIFS(StockOutData[Value],StockOutData[Product ID],ProductMaster!$B1559)</f>
        <v>0</v>
      </c>
    </row>
    <row r="1560" spans="1:10" hidden="1" x14ac:dyDescent="0.25">
      <c r="A1560" s="82">
        <v>1559</v>
      </c>
      <c r="B1560" s="83" t="s">
        <v>3167</v>
      </c>
      <c r="C1560" s="85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3" t="s">
        <v>3169</v>
      </c>
      <c r="C1561" s="85" t="s">
        <v>3170</v>
      </c>
      <c r="D1561" s="47"/>
      <c r="E1561" s="47"/>
      <c r="F1561" s="48"/>
      <c r="G1561" s="62" t="str">
        <f>IFERROR(INDEX(StockInData[Expiry],MATCH(ProductMaster[[#This Row],[Product ID]],StockInData[Product ID],0)),"")</f>
        <v/>
      </c>
      <c r="H1561" s="47"/>
      <c r="I1561" s="61">
        <f>SUMIFS(StockInData[Quantity],StockInData[Product ID],ProductMaster!$B1561)-SUMIFS(StockOutData[Quantity],StockOutData[Product ID],ProductMaster!$B1561)</f>
        <v>0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2">
        <v>1561</v>
      </c>
      <c r="B1562" s="83" t="s">
        <v>3171</v>
      </c>
      <c r="C1562" s="85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3" t="s">
        <v>3173</v>
      </c>
      <c r="C1563" s="85" t="s">
        <v>3174</v>
      </c>
      <c r="D1563" s="47"/>
      <c r="E1563" s="47"/>
      <c r="F1563" s="48"/>
      <c r="G1563" s="62" t="str">
        <f>IFERROR(INDEX(StockInData[Expiry],MATCH(ProductMaster[[#This Row],[Product ID]],StockInData[Product ID],0)),"")</f>
        <v/>
      </c>
      <c r="H1563" s="47"/>
      <c r="I1563" s="61">
        <f>SUMIFS(StockInData[Quantity],StockInData[Product ID],ProductMaster!$B1563)-SUMIFS(StockOutData[Quantity],StockOutData[Product ID],ProductMaster!$B1563)</f>
        <v>0</v>
      </c>
      <c r="J1563" s="63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82">
        <v>1563</v>
      </c>
      <c r="B1564" s="83" t="s">
        <v>3175</v>
      </c>
      <c r="C1564" s="85" t="s">
        <v>3176</v>
      </c>
      <c r="D1564" s="47"/>
      <c r="E1564" s="47"/>
      <c r="F1564" s="48"/>
      <c r="G1564" s="62" t="str">
        <f>IFERROR(INDEX(StockInData[Expiry],MATCH(ProductMaster[[#This Row],[Product ID]],StockInData[Product ID],0)),"")</f>
        <v/>
      </c>
      <c r="H1564" s="47"/>
      <c r="I1564" s="61">
        <f>SUMIFS(StockInData[Quantity],StockInData[Product ID],ProductMaster!$B1564)-SUMIFS(StockOutData[Quantity],StockOutData[Product ID],ProductMaster!$B1564)</f>
        <v>0</v>
      </c>
      <c r="J1564" s="63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0">
        <v>1564</v>
      </c>
      <c r="B1565" s="83" t="s">
        <v>3177</v>
      </c>
      <c r="C1565" s="85" t="s">
        <v>3178</v>
      </c>
      <c r="D1565" s="47"/>
      <c r="E1565" s="47"/>
      <c r="F1565" s="48"/>
      <c r="G1565" s="62" t="str">
        <f>IFERROR(INDEX(StockInData[Expiry],MATCH(ProductMaster[[#This Row],[Product ID]],StockInData[Product ID],0)),"")</f>
        <v/>
      </c>
      <c r="H1565" s="47"/>
      <c r="I1565" s="61">
        <f>SUMIFS(StockInData[Quantity],StockInData[Product ID],ProductMaster!$B1565)-SUMIFS(StockOutData[Quantity],StockOutData[Product ID],ProductMaster!$B1565)</f>
        <v>0</v>
      </c>
      <c r="J1565" s="63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82">
        <v>1565</v>
      </c>
      <c r="B1566" s="83" t="s">
        <v>3179</v>
      </c>
      <c r="C1566" s="85" t="s">
        <v>3180</v>
      </c>
      <c r="D1566" s="47"/>
      <c r="E1566" s="47"/>
      <c r="F1566" s="48"/>
      <c r="G1566" s="62" t="str">
        <f>IFERROR(INDEX(StockInData[Expiry],MATCH(ProductMaster[[#This Row],[Product ID]],StockInData[Product ID],0)),"")</f>
        <v/>
      </c>
      <c r="H1566" s="47"/>
      <c r="I1566" s="61">
        <f>SUMIFS(StockInData[Quantity],StockInData[Product ID],ProductMaster!$B1566)-SUMIFS(StockOutData[Quantity],StockOutData[Product ID],ProductMaster!$B1566)</f>
        <v>0</v>
      </c>
      <c r="J1566" s="63">
        <f>SUMIFS(StockInData[Value],StockInData[Product ID],ProductMaster!$B1566)-SUMIFS(StockOutData[Value],StockOutData[Product ID],ProductMaster!$B1566)</f>
        <v>0</v>
      </c>
    </row>
    <row r="1567" spans="1:10" hidden="1" x14ac:dyDescent="0.25">
      <c r="A1567" s="60">
        <v>1566</v>
      </c>
      <c r="B1567" s="83" t="s">
        <v>3181</v>
      </c>
      <c r="C1567" s="85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2">
        <v>1567</v>
      </c>
      <c r="B1568" s="83" t="s">
        <v>3183</v>
      </c>
      <c r="C1568" s="85" t="s">
        <v>3184</v>
      </c>
      <c r="D1568" s="47"/>
      <c r="E1568" s="47"/>
      <c r="F1568" s="48"/>
      <c r="G1568" s="62" t="str">
        <f>IFERROR(INDEX(StockInData[Expiry],MATCH(ProductMaster[[#This Row],[Product ID]],StockInData[Product ID],0)),"")</f>
        <v/>
      </c>
      <c r="H1568" s="47"/>
      <c r="I1568" s="61">
        <f>SUMIFS(StockInData[Quantity],StockInData[Product ID],ProductMaster!$B1568)-SUMIFS(StockOutData[Quantity],StockOutData[Product ID],ProductMaster!$B1568)</f>
        <v>0</v>
      </c>
      <c r="J1568" s="63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3" t="s">
        <v>3185</v>
      </c>
      <c r="C1569" s="85" t="s">
        <v>3186</v>
      </c>
      <c r="D1569" s="47"/>
      <c r="E1569" s="47"/>
      <c r="F1569" s="48"/>
      <c r="G1569" s="62" t="str">
        <f>IFERROR(INDEX(StockInData[Expiry],MATCH(ProductMaster[[#This Row],[Product ID]],StockInData[Product ID],0)),"")</f>
        <v/>
      </c>
      <c r="H1569" s="47"/>
      <c r="I1569" s="61">
        <f>SUMIFS(StockInData[Quantity],StockInData[Product ID],ProductMaster!$B1569)-SUMIFS(StockOutData[Quantity],StockOutData[Product ID],ProductMaster!$B1569)</f>
        <v>0</v>
      </c>
      <c r="J1569" s="63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82">
        <v>1569</v>
      </c>
      <c r="B1570" s="83" t="s">
        <v>3187</v>
      </c>
      <c r="C1570" s="85" t="s">
        <v>3188</v>
      </c>
      <c r="D1570" s="47"/>
      <c r="E1570" s="47"/>
      <c r="F1570" s="48"/>
      <c r="G1570" s="62" t="str">
        <f>IFERROR(INDEX(StockInData[Expiry],MATCH(ProductMaster[[#This Row],[Product ID]],StockInData[Product ID],0)),"")</f>
        <v/>
      </c>
      <c r="H1570" s="47"/>
      <c r="I1570" s="61">
        <f>SUMIFS(StockInData[Quantity],StockInData[Product ID],ProductMaster!$B1570)-SUMIFS(StockOutData[Quantity],StockOutData[Product ID],ProductMaster!$B1570)</f>
        <v>0</v>
      </c>
      <c r="J1570" s="63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3" t="s">
        <v>3189</v>
      </c>
      <c r="C1571" s="85" t="s">
        <v>3190</v>
      </c>
      <c r="D1571" s="47"/>
      <c r="E1571" s="47"/>
      <c r="F1571" s="48"/>
      <c r="G1571" s="62" t="str">
        <f>IFERROR(INDEX(StockInData[Expiry],MATCH(ProductMaster[[#This Row],[Product ID]],StockInData[Product ID],0)),"")</f>
        <v/>
      </c>
      <c r="H1571" s="47"/>
      <c r="I1571" s="61">
        <f>SUMIFS(StockInData[Quantity],StockInData[Product ID],ProductMaster!$B1571)-SUMIFS(StockOutData[Quantity],StockOutData[Product ID],ProductMaster!$B1571)</f>
        <v>0</v>
      </c>
      <c r="J1571" s="63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82">
        <v>1571</v>
      </c>
      <c r="B1572" s="83" t="s">
        <v>3191</v>
      </c>
      <c r="C1572" s="85" t="s">
        <v>3192</v>
      </c>
      <c r="D1572" s="47"/>
      <c r="E1572" s="47"/>
      <c r="F1572" s="48"/>
      <c r="G1572" s="62" t="str">
        <f>IFERROR(INDEX(StockInData[Expiry],MATCH(ProductMaster[[#This Row],[Product ID]],StockInData[Product ID],0)),"")</f>
        <v/>
      </c>
      <c r="H1572" s="47"/>
      <c r="I1572" s="61">
        <f>SUMIFS(StockInData[Quantity],StockInData[Product ID],ProductMaster!$B1572)-SUMIFS(StockOutData[Quantity],StockOutData[Product ID],ProductMaster!$B1572)</f>
        <v>0</v>
      </c>
      <c r="J1572" s="63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3" t="s">
        <v>3193</v>
      </c>
      <c r="C1573" s="85" t="s">
        <v>3194</v>
      </c>
      <c r="D1573" s="47"/>
      <c r="E1573" s="47"/>
      <c r="F1573" s="48"/>
      <c r="G1573" s="62" t="str">
        <f>IFERROR(INDEX(StockInData[Expiry],MATCH(ProductMaster[[#This Row],[Product ID]],StockInData[Product ID],0)),"")</f>
        <v/>
      </c>
      <c r="H1573" s="47"/>
      <c r="I1573" s="61">
        <f>SUMIFS(StockInData[Quantity],StockInData[Product ID],ProductMaster!$B1573)-SUMIFS(StockOutData[Quantity],StockOutData[Product ID],ProductMaster!$B1573)</f>
        <v>0</v>
      </c>
      <c r="J1573" s="63">
        <f>SUMIFS(StockInData[Value],StockInData[Product ID],ProductMaster!$B1573)-SUMIFS(StockOutData[Value],StockOutData[Product ID],ProductMaster!$B1573)</f>
        <v>0</v>
      </c>
    </row>
    <row r="1574" spans="1:10" hidden="1" x14ac:dyDescent="0.25">
      <c r="A1574" s="82">
        <v>1573</v>
      </c>
      <c r="B1574" s="83" t="s">
        <v>3195</v>
      </c>
      <c r="C1574" s="85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3" t="s">
        <v>3197</v>
      </c>
      <c r="C1575" s="85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2">
        <v>1575</v>
      </c>
      <c r="B1576" s="83" t="s">
        <v>3199</v>
      </c>
      <c r="C1576" s="85" t="s">
        <v>3200</v>
      </c>
      <c r="D1576" s="47"/>
      <c r="E1576" s="47"/>
      <c r="F1576" s="48"/>
      <c r="G1576" s="62" t="str">
        <f>IFERROR(INDEX(StockInData[Expiry],MATCH(ProductMaster[[#This Row],[Product ID]],StockInData[Product ID],0)),"")</f>
        <v/>
      </c>
      <c r="H1576" s="47"/>
      <c r="I1576" s="61">
        <f>SUMIFS(StockInData[Quantity],StockInData[Product ID],ProductMaster!$B1576)-SUMIFS(StockOutData[Quantity],StockOutData[Product ID],ProductMaster!$B1576)</f>
        <v>0</v>
      </c>
      <c r="J1576" s="63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3" t="s">
        <v>3201</v>
      </c>
      <c r="C1577" s="85" t="s">
        <v>3202</v>
      </c>
      <c r="D1577" s="47"/>
      <c r="E1577" s="47"/>
      <c r="F1577" s="48"/>
      <c r="G1577" s="62" t="str">
        <f>IFERROR(INDEX(StockInData[Expiry],MATCH(ProductMaster[[#This Row],[Product ID]],StockInData[Product ID],0)),"")</f>
        <v/>
      </c>
      <c r="H1577" s="47"/>
      <c r="I1577" s="61">
        <f>SUMIFS(StockInData[Quantity],StockInData[Product ID],ProductMaster!$B1577)-SUMIFS(StockOutData[Quantity],StockOutData[Product ID],ProductMaster!$B1577)</f>
        <v>0</v>
      </c>
      <c r="J1577" s="63">
        <f>SUMIFS(StockInData[Value],StockInData[Product ID],ProductMaster!$B1577)-SUMIFS(StockOutData[Value],StockOutData[Product ID],ProductMaster!$B1577)</f>
        <v>0</v>
      </c>
    </row>
    <row r="1578" spans="1:10" hidden="1" x14ac:dyDescent="0.25">
      <c r="A1578" s="82">
        <v>1577</v>
      </c>
      <c r="B1578" s="83" t="s">
        <v>3203</v>
      </c>
      <c r="C1578" s="85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3" t="s">
        <v>3205</v>
      </c>
      <c r="C1579" s="85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2">
        <v>1579</v>
      </c>
      <c r="B1580" s="83" t="s">
        <v>3207</v>
      </c>
      <c r="C1580" s="85" t="s">
        <v>3208</v>
      </c>
      <c r="D1580" s="47"/>
      <c r="E1580" s="47"/>
      <c r="F1580" s="48"/>
      <c r="G1580" s="62" t="str">
        <f>IFERROR(INDEX(StockInData[Expiry],MATCH(ProductMaster[[#This Row],[Product ID]],StockInData[Product ID],0)),"")</f>
        <v/>
      </c>
      <c r="H1580" s="47"/>
      <c r="I1580" s="61">
        <f>SUMIFS(StockInData[Quantity],StockInData[Product ID],ProductMaster!$B1580)-SUMIFS(StockOutData[Quantity],StockOutData[Product ID],ProductMaster!$B1580)</f>
        <v>0</v>
      </c>
      <c r="J1580" s="63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3" t="s">
        <v>3209</v>
      </c>
      <c r="C1581" s="85" t="s">
        <v>3210</v>
      </c>
      <c r="D1581" s="47"/>
      <c r="E1581" s="47"/>
      <c r="F1581" s="48"/>
      <c r="G1581" s="62" t="str">
        <f>IFERROR(INDEX(StockInData[Expiry],MATCH(ProductMaster[[#This Row],[Product ID]],StockInData[Product ID],0)),"")</f>
        <v/>
      </c>
      <c r="H1581" s="47"/>
      <c r="I1581" s="61">
        <f>SUMIFS(StockInData[Quantity],StockInData[Product ID],ProductMaster!$B1581)-SUMIFS(StockOutData[Quantity],StockOutData[Product ID],ProductMaster!$B1581)</f>
        <v>0</v>
      </c>
      <c r="J1581" s="63">
        <f>SUMIFS(StockInData[Value],StockInData[Product ID],ProductMaster!$B1581)-SUMIFS(StockOutData[Value],StockOutData[Product ID],ProductMaster!$B1581)</f>
        <v>0</v>
      </c>
    </row>
    <row r="1582" spans="1:10" hidden="1" x14ac:dyDescent="0.25">
      <c r="A1582" s="82">
        <v>1581</v>
      </c>
      <c r="B1582" s="83" t="s">
        <v>3211</v>
      </c>
      <c r="C1582" s="85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3" t="s">
        <v>3213</v>
      </c>
      <c r="C1583" s="85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2">
        <v>1583</v>
      </c>
      <c r="B1584" s="83" t="s">
        <v>3215</v>
      </c>
      <c r="C1584" s="85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3" t="s">
        <v>3217</v>
      </c>
      <c r="C1585" s="85" t="s">
        <v>3218</v>
      </c>
      <c r="D1585" s="47"/>
      <c r="E1585" s="47"/>
      <c r="F1585" s="48"/>
      <c r="G1585" s="62" t="str">
        <f>IFERROR(INDEX(StockInData[Expiry],MATCH(ProductMaster[[#This Row],[Product ID]],StockInData[Product ID],0)),"")</f>
        <v/>
      </c>
      <c r="H1585" s="47"/>
      <c r="I1585" s="61">
        <f>SUMIFS(StockInData[Quantity],StockInData[Product ID],ProductMaster!$B1585)-SUMIFS(StockOutData[Quantity],StockOutData[Product ID],ProductMaster!$B1585)</f>
        <v>0</v>
      </c>
      <c r="J1585" s="63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82">
        <v>1585</v>
      </c>
      <c r="B1586" s="83" t="s">
        <v>3219</v>
      </c>
      <c r="C1586" s="85" t="s">
        <v>3220</v>
      </c>
      <c r="D1586" s="47"/>
      <c r="E1586" s="47"/>
      <c r="F1586" s="48"/>
      <c r="G1586" s="62" t="str">
        <f>IFERROR(INDEX(StockInData[Expiry],MATCH(ProductMaster[[#This Row],[Product ID]],StockInData[Product ID],0)),"")</f>
        <v/>
      </c>
      <c r="H1586" s="47"/>
      <c r="I1586" s="61">
        <f>SUMIFS(StockInData[Quantity],StockInData[Product ID],ProductMaster!$B1586)-SUMIFS(StockOutData[Quantity],StockOutData[Product ID],ProductMaster!$B1586)</f>
        <v>0</v>
      </c>
      <c r="J1586" s="63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3" t="s">
        <v>3221</v>
      </c>
      <c r="C1587" s="85" t="s">
        <v>3222</v>
      </c>
      <c r="D1587" s="47"/>
      <c r="E1587" s="47"/>
      <c r="F1587" s="48"/>
      <c r="G1587" s="62" t="str">
        <f>IFERROR(INDEX(StockInData[Expiry],MATCH(ProductMaster[[#This Row],[Product ID]],StockInData[Product ID],0)),"")</f>
        <v/>
      </c>
      <c r="H1587" s="47"/>
      <c r="I1587" s="61">
        <f>SUMIFS(StockInData[Quantity],StockInData[Product ID],ProductMaster!$B1587)-SUMIFS(StockOutData[Quantity],StockOutData[Product ID],ProductMaster!$B1587)</f>
        <v>0</v>
      </c>
      <c r="J1587" s="63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82">
        <v>1587</v>
      </c>
      <c r="B1588" s="83" t="s">
        <v>3223</v>
      </c>
      <c r="C1588" s="85" t="s">
        <v>3224</v>
      </c>
      <c r="D1588" s="47"/>
      <c r="E1588" s="47"/>
      <c r="F1588" s="48"/>
      <c r="G1588" s="62" t="str">
        <f>IFERROR(INDEX(StockInData[Expiry],MATCH(ProductMaster[[#This Row],[Product ID]],StockInData[Product ID],0)),"")</f>
        <v/>
      </c>
      <c r="H1588" s="47"/>
      <c r="I1588" s="61">
        <f>SUMIFS(StockInData[Quantity],StockInData[Product ID],ProductMaster!$B1588)-SUMIFS(StockOutData[Quantity],StockOutData[Product ID],ProductMaster!$B1588)</f>
        <v>0</v>
      </c>
      <c r="J1588" s="63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3" t="s">
        <v>3225</v>
      </c>
      <c r="C1589" s="85" t="s">
        <v>3226</v>
      </c>
      <c r="D1589" s="47"/>
      <c r="E1589" s="47"/>
      <c r="F1589" s="48"/>
      <c r="G1589" s="62" t="str">
        <f>IFERROR(INDEX(StockInData[Expiry],MATCH(ProductMaster[[#This Row],[Product ID]],StockInData[Product ID],0)),"")</f>
        <v/>
      </c>
      <c r="H1589" s="47"/>
      <c r="I1589" s="61">
        <f>SUMIFS(StockInData[Quantity],StockInData[Product ID],ProductMaster!$B1589)-SUMIFS(StockOutData[Quantity],StockOutData[Product ID],ProductMaster!$B1589)</f>
        <v>0</v>
      </c>
      <c r="J1589" s="63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82">
        <v>1589</v>
      </c>
      <c r="B1590" s="83" t="s">
        <v>3227</v>
      </c>
      <c r="C1590" s="85" t="s">
        <v>3228</v>
      </c>
      <c r="D1590" s="47"/>
      <c r="E1590" s="47"/>
      <c r="F1590" s="48"/>
      <c r="G1590" s="62" t="str">
        <f>IFERROR(INDEX(StockInData[Expiry],MATCH(ProductMaster[[#This Row],[Product ID]],StockInData[Product ID],0)),"")</f>
        <v/>
      </c>
      <c r="H1590" s="47"/>
      <c r="I1590" s="61">
        <f>SUMIFS(StockInData[Quantity],StockInData[Product ID],ProductMaster!$B1590)-SUMIFS(StockOutData[Quantity],StockOutData[Product ID],ProductMaster!$B1590)</f>
        <v>0</v>
      </c>
      <c r="J1590" s="63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3" t="s">
        <v>3229</v>
      </c>
      <c r="C1591" s="85" t="s">
        <v>3230</v>
      </c>
      <c r="D1591" s="47"/>
      <c r="E1591" s="47"/>
      <c r="F1591" s="48"/>
      <c r="G1591" s="62" t="str">
        <f>IFERROR(INDEX(StockInData[Expiry],MATCH(ProductMaster[[#This Row],[Product ID]],StockInData[Product ID],0)),"")</f>
        <v/>
      </c>
      <c r="H1591" s="47"/>
      <c r="I1591" s="61">
        <f>SUMIFS(StockInData[Quantity],StockInData[Product ID],ProductMaster!$B1591)-SUMIFS(StockOutData[Quantity],StockOutData[Product ID],ProductMaster!$B1591)</f>
        <v>0</v>
      </c>
      <c r="J1591" s="63">
        <f>SUMIFS(StockInData[Value],StockInData[Product ID],ProductMaster!$B1591)-SUMIFS(StockOutData[Value],StockOutData[Product ID],ProductMaster!$B1591)</f>
        <v>0</v>
      </c>
    </row>
    <row r="1592" spans="1:10" hidden="1" x14ac:dyDescent="0.25">
      <c r="A1592" s="82">
        <v>1591</v>
      </c>
      <c r="B1592" s="83" t="s">
        <v>3231</v>
      </c>
      <c r="C1592" s="85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3" t="s">
        <v>3233</v>
      </c>
      <c r="C1593" s="85" t="s">
        <v>3234</v>
      </c>
      <c r="D1593" s="47"/>
      <c r="E1593" s="47"/>
      <c r="F1593" s="48"/>
      <c r="G1593" s="62" t="str">
        <f>IFERROR(INDEX(StockInData[Expiry],MATCH(ProductMaster[[#This Row],[Product ID]],StockInData[Product ID],0)),"")</f>
        <v/>
      </c>
      <c r="H1593" s="47"/>
      <c r="I1593" s="61">
        <f>SUMIFS(StockInData[Quantity],StockInData[Product ID],ProductMaster!$B1593)-SUMIFS(StockOutData[Quantity],StockOutData[Product ID],ProductMaster!$B1593)</f>
        <v>0</v>
      </c>
      <c r="J1593" s="63">
        <f>SUMIFS(StockInData[Value],StockInData[Product ID],ProductMaster!$B1593)-SUMIFS(StockOutData[Value],StockOutData[Product ID],ProductMaster!$B1593)</f>
        <v>0</v>
      </c>
    </row>
    <row r="1594" spans="1:10" hidden="1" x14ac:dyDescent="0.25">
      <c r="A1594" s="82">
        <v>1593</v>
      </c>
      <c r="B1594" s="83" t="s">
        <v>3235</v>
      </c>
      <c r="C1594" s="85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3" t="s">
        <v>3237</v>
      </c>
      <c r="C1595" s="85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2">
        <v>1595</v>
      </c>
      <c r="B1596" s="83" t="s">
        <v>3239</v>
      </c>
      <c r="C1596" s="85" t="s">
        <v>3240</v>
      </c>
      <c r="D1596" s="47"/>
      <c r="E1596" s="47"/>
      <c r="F1596" s="48"/>
      <c r="G1596" s="62" t="str">
        <f>IFERROR(INDEX(StockInData[Expiry],MATCH(ProductMaster[[#This Row],[Product ID]],StockInData[Product ID],0)),"")</f>
        <v/>
      </c>
      <c r="H1596" s="47"/>
      <c r="I1596" s="61">
        <f>SUMIFS(StockInData[Quantity],StockInData[Product ID],ProductMaster!$B1596)-SUMIFS(StockOutData[Quantity],StockOutData[Product ID],ProductMaster!$B1596)</f>
        <v>0</v>
      </c>
      <c r="J1596" s="63">
        <f>SUMIFS(StockInData[Value],StockInData[Product ID],ProductMaster!$B1596)-SUMIFS(StockOutData[Value],StockOutData[Product ID],ProductMaster!$B1596)</f>
        <v>0</v>
      </c>
    </row>
    <row r="1597" spans="1:10" hidden="1" x14ac:dyDescent="0.25">
      <c r="A1597" s="60">
        <v>1596</v>
      </c>
      <c r="B1597" s="83" t="s">
        <v>3241</v>
      </c>
      <c r="C1597" s="85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2">
        <v>1597</v>
      </c>
      <c r="B1598" s="83" t="s">
        <v>3243</v>
      </c>
      <c r="C1598" s="85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3" t="s">
        <v>3245</v>
      </c>
      <c r="C1599" s="85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2">
        <v>1599</v>
      </c>
      <c r="B1600" s="83" t="s">
        <v>3247</v>
      </c>
      <c r="C1600" s="85" t="s">
        <v>3248</v>
      </c>
      <c r="D1600" s="47"/>
      <c r="E1600" s="47"/>
      <c r="F1600" s="48"/>
      <c r="G1600" s="62" t="str">
        <f>IFERROR(INDEX(StockInData[Expiry],MATCH(ProductMaster[[#This Row],[Product ID]],StockInData[Product ID],0)),"")</f>
        <v/>
      </c>
      <c r="H1600" s="47"/>
      <c r="I1600" s="61">
        <f>SUMIFS(StockInData[Quantity],StockInData[Product ID],ProductMaster!$B1600)-SUMIFS(StockOutData[Quantity],StockOutData[Product ID],ProductMaster!$B1600)</f>
        <v>0</v>
      </c>
      <c r="J1600" s="63">
        <f>SUMIFS(StockInData[Value],StockInData[Product ID],ProductMaster!$B1600)-SUMIFS(StockOutData[Value],StockOutData[Product ID],ProductMaster!$B1600)</f>
        <v>0</v>
      </c>
    </row>
    <row r="1601" spans="1:10" hidden="1" x14ac:dyDescent="0.25">
      <c r="A1601" s="60">
        <v>1600</v>
      </c>
      <c r="B1601" s="83" t="s">
        <v>3249</v>
      </c>
      <c r="C1601" s="85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2">
        <v>1601</v>
      </c>
      <c r="B1602" s="83" t="s">
        <v>3251</v>
      </c>
      <c r="C1602" s="85" t="s">
        <v>3252</v>
      </c>
      <c r="D1602" s="47"/>
      <c r="E1602" s="47"/>
      <c r="F1602" s="48"/>
      <c r="G1602" s="62" t="str">
        <f>IFERROR(INDEX(StockInData[Expiry],MATCH(ProductMaster[[#This Row],[Product ID]],StockInData[Product ID],0)),"")</f>
        <v/>
      </c>
      <c r="H1602" s="47"/>
      <c r="I1602" s="61">
        <f>SUMIFS(StockInData[Quantity],StockInData[Product ID],ProductMaster!$B1602)-SUMIFS(StockOutData[Quantity],StockOutData[Product ID],ProductMaster!$B1602)</f>
        <v>0</v>
      </c>
      <c r="J1602" s="63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3" t="s">
        <v>3253</v>
      </c>
      <c r="C1603" s="85" t="s">
        <v>3254</v>
      </c>
      <c r="D1603" s="47"/>
      <c r="E1603" s="47"/>
      <c r="F1603" s="48"/>
      <c r="G1603" s="62" t="str">
        <f>IFERROR(INDEX(StockInData[Expiry],MATCH(ProductMaster[[#This Row],[Product ID]],StockInData[Product ID],0)),"")</f>
        <v/>
      </c>
      <c r="H1603" s="47"/>
      <c r="I1603" s="61">
        <f>SUMIFS(StockInData[Quantity],StockInData[Product ID],ProductMaster!$B1603)-SUMIFS(StockOutData[Quantity],StockOutData[Product ID],ProductMaster!$B1603)</f>
        <v>0</v>
      </c>
      <c r="J1603" s="63">
        <f>SUMIFS(StockInData[Value],StockInData[Product ID],ProductMaster!$B1603)-SUMIFS(StockOutData[Value],StockOutData[Product ID],ProductMaster!$B1603)</f>
        <v>0</v>
      </c>
    </row>
    <row r="1604" spans="1:10" hidden="1" x14ac:dyDescent="0.25">
      <c r="A1604" s="82">
        <v>1603</v>
      </c>
      <c r="B1604" s="83" t="s">
        <v>3255</v>
      </c>
      <c r="C1604" s="85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3" t="s">
        <v>3257</v>
      </c>
      <c r="C1605" s="85" t="s">
        <v>3258</v>
      </c>
      <c r="D1605" s="47"/>
      <c r="E1605" s="47"/>
      <c r="F1605" s="48"/>
      <c r="G1605" s="62" t="str">
        <f>IFERROR(INDEX(StockInData[Expiry],MATCH(ProductMaster[[#This Row],[Product ID]],StockInData[Product ID],0)),"")</f>
        <v/>
      </c>
      <c r="H1605" s="47"/>
      <c r="I1605" s="61">
        <f>SUMIFS(StockInData[Quantity],StockInData[Product ID],ProductMaster!$B1605)-SUMIFS(StockOutData[Quantity],StockOutData[Product ID],ProductMaster!$B1605)</f>
        <v>0</v>
      </c>
      <c r="J1605" s="63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82">
        <v>1605</v>
      </c>
      <c r="B1606" s="83" t="s">
        <v>3259</v>
      </c>
      <c r="C1606" s="85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0</v>
      </c>
      <c r="J1606" s="63">
        <f>SUMIFS(StockInData[Value],StockInData[Product ID],ProductMaster!$B1606)-SUMIFS(StockOutData[Value],StockOutData[Product ID],ProductMaster!$B1606)</f>
        <v>0</v>
      </c>
    </row>
    <row r="1607" spans="1:10" hidden="1" x14ac:dyDescent="0.25">
      <c r="A1607" s="60">
        <v>1606</v>
      </c>
      <c r="B1607" s="83" t="s">
        <v>3261</v>
      </c>
      <c r="C1607" s="85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2">
        <v>1607</v>
      </c>
      <c r="B1608" s="83" t="s">
        <v>3263</v>
      </c>
      <c r="C1608" s="85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3" t="s">
        <v>3265</v>
      </c>
      <c r="C1609" s="85" t="s">
        <v>3266</v>
      </c>
      <c r="D1609" s="47"/>
      <c r="E1609" s="47"/>
      <c r="F1609" s="48"/>
      <c r="G1609" s="62" t="str">
        <f>IFERROR(INDEX(StockInData[Expiry],MATCH(ProductMaster[[#This Row],[Product ID]],StockInData[Product ID],0)),"")</f>
        <v/>
      </c>
      <c r="H1609" s="47"/>
      <c r="I1609" s="61">
        <f>SUMIFS(StockInData[Quantity],StockInData[Product ID],ProductMaster!$B1609)-SUMIFS(StockOutData[Quantity],StockOutData[Product ID],ProductMaster!$B1609)</f>
        <v>0</v>
      </c>
      <c r="J1609" s="63">
        <f>SUMIFS(StockInData[Value],StockInData[Product ID],ProductMaster!$B1609)-SUMIFS(StockOutData[Value],StockOutData[Product ID],ProductMaster!$B1609)</f>
        <v>0</v>
      </c>
    </row>
    <row r="1610" spans="1:10" hidden="1" x14ac:dyDescent="0.25">
      <c r="A1610" s="82">
        <v>1609</v>
      </c>
      <c r="B1610" s="83" t="s">
        <v>3267</v>
      </c>
      <c r="C1610" s="85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3" t="s">
        <v>3269</v>
      </c>
      <c r="C1611" s="85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2">
        <v>1611</v>
      </c>
      <c r="B1612" s="83" t="s">
        <v>3271</v>
      </c>
      <c r="C1612" s="85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3" t="s">
        <v>3273</v>
      </c>
      <c r="C1613" s="85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2">
        <v>1613</v>
      </c>
      <c r="B1614" s="83" t="s">
        <v>3275</v>
      </c>
      <c r="C1614" s="85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3" t="s">
        <v>3277</v>
      </c>
      <c r="C1615" s="85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2">
        <v>1615</v>
      </c>
      <c r="B1616" s="83" t="s">
        <v>3279</v>
      </c>
      <c r="C1616" s="85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3" t="s">
        <v>3281</v>
      </c>
      <c r="C1617" s="85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2">
        <v>1617</v>
      </c>
      <c r="B1618" s="83" t="s">
        <v>3283</v>
      </c>
      <c r="C1618" s="85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3" t="s">
        <v>3285</v>
      </c>
      <c r="C1619" s="85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2">
        <v>1619</v>
      </c>
      <c r="B1620" s="83" t="s">
        <v>3287</v>
      </c>
      <c r="C1620" s="85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3" t="s">
        <v>3289</v>
      </c>
      <c r="C1621" s="85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2">
        <v>1621</v>
      </c>
      <c r="B1622" s="83" t="s">
        <v>3291</v>
      </c>
      <c r="C1622" s="85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3" t="s">
        <v>3293</v>
      </c>
      <c r="C1623" s="85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2">
        <v>1623</v>
      </c>
      <c r="B1624" s="83" t="s">
        <v>3295</v>
      </c>
      <c r="C1624" s="85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3" t="s">
        <v>3297</v>
      </c>
      <c r="C1625" s="85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2">
        <v>1625</v>
      </c>
      <c r="B1626" s="83" t="s">
        <v>3299</v>
      </c>
      <c r="C1626" s="85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3" t="s">
        <v>3301</v>
      </c>
      <c r="C1627" s="85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2">
        <v>1627</v>
      </c>
      <c r="B1628" s="83" t="s">
        <v>3303</v>
      </c>
      <c r="C1628" s="85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3" t="s">
        <v>3305</v>
      </c>
      <c r="C1629" s="85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2">
        <v>1629</v>
      </c>
      <c r="B1630" s="83" t="s">
        <v>3307</v>
      </c>
      <c r="C1630" s="85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3" t="s">
        <v>3309</v>
      </c>
      <c r="C1631" s="85" t="s">
        <v>3310</v>
      </c>
      <c r="D1631" s="47"/>
      <c r="E1631" s="47"/>
      <c r="F1631" s="48"/>
      <c r="G1631" s="62" t="str">
        <f>IFERROR(INDEX(StockInData[Expiry],MATCH(ProductMaster[[#This Row],[Product ID]],StockInData[Product ID],0)),"")</f>
        <v/>
      </c>
      <c r="H1631" s="47"/>
      <c r="I1631" s="61">
        <f>SUMIFS(StockInData[Quantity],StockInData[Product ID],ProductMaster!$B1631)-SUMIFS(StockOutData[Quantity],StockOutData[Product ID],ProductMaster!$B1631)</f>
        <v>0</v>
      </c>
      <c r="J1631" s="63">
        <f>SUMIFS(StockInData[Value],StockInData[Product ID],ProductMaster!$B1631)-SUMIFS(StockOutData[Value],StockOutData[Product ID],ProductMaster!$B1631)</f>
        <v>0</v>
      </c>
    </row>
    <row r="1632" spans="1:10" hidden="1" x14ac:dyDescent="0.25">
      <c r="A1632" s="82">
        <v>1631</v>
      </c>
      <c r="B1632" s="83" t="s">
        <v>3311</v>
      </c>
      <c r="C1632" s="85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3" t="s">
        <v>3313</v>
      </c>
      <c r="C1633" s="85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2">
        <v>1633</v>
      </c>
      <c r="B1634" s="83" t="s">
        <v>3315</v>
      </c>
      <c r="C1634" s="85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3" t="s">
        <v>3317</v>
      </c>
      <c r="C1635" s="85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2">
        <v>1635</v>
      </c>
      <c r="B1636" s="83" t="s">
        <v>3319</v>
      </c>
      <c r="C1636" s="85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3" t="s">
        <v>3321</v>
      </c>
      <c r="C1637" s="85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2">
        <v>1637</v>
      </c>
      <c r="B1638" s="83" t="s">
        <v>3323</v>
      </c>
      <c r="C1638" s="85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3" t="s">
        <v>3325</v>
      </c>
      <c r="C1639" s="85" t="s">
        <v>3326</v>
      </c>
      <c r="D1639" s="47"/>
      <c r="E1639" s="47"/>
      <c r="F1639" s="48"/>
      <c r="G1639" s="62" t="str">
        <f>IFERROR(INDEX(StockInData[Expiry],MATCH(ProductMaster[[#This Row],[Product ID]],StockInData[Product ID],0)),"")</f>
        <v/>
      </c>
      <c r="H1639" s="47"/>
      <c r="I1639" s="61">
        <f>SUMIFS(StockInData[Quantity],StockInData[Product ID],ProductMaster!$B1639)-SUMIFS(StockOutData[Quantity],StockOutData[Product ID],ProductMaster!$B1639)</f>
        <v>0</v>
      </c>
      <c r="J1639" s="63">
        <f>SUMIFS(StockInData[Value],StockInData[Product ID],ProductMaster!$B1639)-SUMIFS(StockOutData[Value],StockOutData[Product ID],ProductMaster!$B1639)</f>
        <v>0</v>
      </c>
    </row>
    <row r="1640" spans="1:10" hidden="1" x14ac:dyDescent="0.25">
      <c r="A1640" s="82">
        <v>1639</v>
      </c>
      <c r="B1640" s="83" t="s">
        <v>3327</v>
      </c>
      <c r="C1640" s="85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3" t="s">
        <v>3329</v>
      </c>
      <c r="C1641" s="85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2">
        <v>1641</v>
      </c>
      <c r="B1642" s="83" t="s">
        <v>3331</v>
      </c>
      <c r="C1642" s="85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3" t="s">
        <v>3333</v>
      </c>
      <c r="C1643" s="85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2">
        <v>1643</v>
      </c>
      <c r="B1644" s="83" t="s">
        <v>3335</v>
      </c>
      <c r="C1644" s="85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3" t="s">
        <v>3337</v>
      </c>
      <c r="C1645" s="85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2">
        <v>1645</v>
      </c>
      <c r="B1646" s="83" t="s">
        <v>3339</v>
      </c>
      <c r="C1646" s="85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3" t="s">
        <v>3341</v>
      </c>
      <c r="C1647" s="85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2">
        <v>1647</v>
      </c>
      <c r="B1648" s="83" t="s">
        <v>3343</v>
      </c>
      <c r="C1648" s="85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3" t="s">
        <v>3345</v>
      </c>
      <c r="C1649" s="85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2">
        <v>1649</v>
      </c>
      <c r="B1650" s="83" t="s">
        <v>3347</v>
      </c>
      <c r="C1650" s="85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3" t="s">
        <v>3349</v>
      </c>
      <c r="C1651" s="85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2">
        <v>1651</v>
      </c>
      <c r="B1652" s="83" t="s">
        <v>3351</v>
      </c>
      <c r="C1652" s="85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3" t="s">
        <v>3353</v>
      </c>
      <c r="C1653" s="85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2">
        <v>1653</v>
      </c>
      <c r="B1654" s="83" t="s">
        <v>3355</v>
      </c>
      <c r="C1654" s="85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3" t="s">
        <v>3357</v>
      </c>
      <c r="C1655" s="85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2">
        <v>1655</v>
      </c>
      <c r="B1656" s="83" t="s">
        <v>3359</v>
      </c>
      <c r="C1656" s="85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3" t="s">
        <v>3361</v>
      </c>
      <c r="C1657" s="85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2">
        <v>1657</v>
      </c>
      <c r="B1658" s="83" t="s">
        <v>3363</v>
      </c>
      <c r="C1658" s="85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3" t="s">
        <v>3365</v>
      </c>
      <c r="C1659" s="85" t="s">
        <v>3366</v>
      </c>
      <c r="D1659" s="47"/>
      <c r="E1659" s="47"/>
      <c r="F1659" s="48"/>
      <c r="G1659" s="62" t="str">
        <f>IFERROR(INDEX(StockInData[Expiry],MATCH(ProductMaster[[#This Row],[Product ID]],StockInData[Product ID],0)),"")</f>
        <v/>
      </c>
      <c r="H1659" s="47"/>
      <c r="I1659" s="61">
        <f>SUMIFS(StockInData[Quantity],StockInData[Product ID],ProductMaster!$B1659)-SUMIFS(StockOutData[Quantity],StockOutData[Product ID],ProductMaster!$B1659)</f>
        <v>0</v>
      </c>
      <c r="J1659" s="63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82">
        <v>1659</v>
      </c>
      <c r="B1660" s="83" t="s">
        <v>3367</v>
      </c>
      <c r="C1660" s="85" t="s">
        <v>3368</v>
      </c>
      <c r="D1660" s="47"/>
      <c r="E1660" s="47"/>
      <c r="F1660" s="48"/>
      <c r="G1660" s="62" t="str">
        <f>IFERROR(INDEX(StockInData[Expiry],MATCH(ProductMaster[[#This Row],[Product ID]],StockInData[Product ID],0)),"")</f>
        <v/>
      </c>
      <c r="H1660" s="47"/>
      <c r="I1660" s="61">
        <f>SUMIFS(StockInData[Quantity],StockInData[Product ID],ProductMaster!$B1660)-SUMIFS(StockOutData[Quantity],StockOutData[Product ID],ProductMaster!$B1660)</f>
        <v>0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3" t="s">
        <v>3369</v>
      </c>
      <c r="C1661" s="85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2">
        <v>1661</v>
      </c>
      <c r="B1662" s="83" t="s">
        <v>3371</v>
      </c>
      <c r="C1662" s="85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3" t="s">
        <v>3373</v>
      </c>
      <c r="C1663" s="85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2">
        <v>1663</v>
      </c>
      <c r="B1664" s="83" t="s">
        <v>3375</v>
      </c>
      <c r="C1664" s="85" t="s">
        <v>3376</v>
      </c>
      <c r="D1664" s="47"/>
      <c r="E1664" s="47"/>
      <c r="F1664" s="48"/>
      <c r="G1664" s="62" t="str">
        <f>IFERROR(INDEX(StockInData[Expiry],MATCH(ProductMaster[[#This Row],[Product ID]],StockInData[Product ID],0)),"")</f>
        <v/>
      </c>
      <c r="H1664" s="47"/>
      <c r="I1664" s="61">
        <f>SUMIFS(StockInData[Quantity],StockInData[Product ID],ProductMaster!$B1664)-SUMIFS(StockOutData[Quantity],StockOutData[Product ID],ProductMaster!$B1664)</f>
        <v>0</v>
      </c>
      <c r="J1664" s="63">
        <f>SUMIFS(StockInData[Value],StockInData[Product ID],ProductMaster!$B1664)-SUMIFS(StockOutData[Value],StockOutData[Product ID],ProductMaster!$B1664)</f>
        <v>0</v>
      </c>
    </row>
    <row r="1665" spans="1:10" hidden="1" x14ac:dyDescent="0.25">
      <c r="A1665" s="60">
        <v>1664</v>
      </c>
      <c r="B1665" s="83" t="s">
        <v>3377</v>
      </c>
      <c r="C1665" s="85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2">
        <v>1665</v>
      </c>
      <c r="B1666" s="83" t="s">
        <v>3379</v>
      </c>
      <c r="C1666" s="85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3" t="s">
        <v>3381</v>
      </c>
      <c r="C1667" s="85" t="s">
        <v>3382</v>
      </c>
      <c r="D1667" s="47"/>
      <c r="E1667" s="47"/>
      <c r="F1667" s="48"/>
      <c r="G1667" s="62" t="str">
        <f>IFERROR(INDEX(StockInData[Expiry],MATCH(ProductMaster[[#This Row],[Product ID]],StockInData[Product ID],0)),"")</f>
        <v/>
      </c>
      <c r="H1667" s="47"/>
      <c r="I1667" s="61">
        <f>SUMIFS(StockInData[Quantity],StockInData[Product ID],ProductMaster!$B1667)-SUMIFS(StockOutData[Quantity],StockOutData[Product ID],ProductMaster!$B1667)</f>
        <v>0</v>
      </c>
      <c r="J1667" s="63">
        <f>SUMIFS(StockInData[Value],StockInData[Product ID],ProductMaster!$B1667)-SUMIFS(StockOutData[Value],StockOutData[Product ID],ProductMaster!$B1667)</f>
        <v>0</v>
      </c>
    </row>
    <row r="1668" spans="1:10" hidden="1" x14ac:dyDescent="0.25">
      <c r="A1668" s="82">
        <v>1667</v>
      </c>
      <c r="B1668" s="83" t="s">
        <v>3383</v>
      </c>
      <c r="C1668" s="85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3" t="s">
        <v>3385</v>
      </c>
      <c r="C1669" s="85" t="s">
        <v>3386</v>
      </c>
      <c r="D1669" s="47"/>
      <c r="E1669" s="47"/>
      <c r="F1669" s="48"/>
      <c r="G1669" s="62" t="str">
        <f>IFERROR(INDEX(StockInData[Expiry],MATCH(ProductMaster[[#This Row],[Product ID]],StockInData[Product ID],0)),"")</f>
        <v/>
      </c>
      <c r="H1669" s="47"/>
      <c r="I1669" s="61">
        <f>SUMIFS(StockInData[Quantity],StockInData[Product ID],ProductMaster!$B1669)-SUMIFS(StockOutData[Quantity],StockOutData[Product ID],ProductMaster!$B1669)</f>
        <v>0</v>
      </c>
      <c r="J1669" s="63">
        <f>SUMIFS(StockInData[Value],StockInData[Product ID],ProductMaster!$B1669)-SUMIFS(StockOutData[Value],StockOutData[Product ID],ProductMaster!$B1669)</f>
        <v>0</v>
      </c>
    </row>
    <row r="1670" spans="1:10" hidden="1" x14ac:dyDescent="0.25">
      <c r="A1670" s="82">
        <v>1669</v>
      </c>
      <c r="B1670" s="83" t="s">
        <v>3387</v>
      </c>
      <c r="C1670" s="85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3" t="s">
        <v>3389</v>
      </c>
      <c r="C1671" s="85" t="s">
        <v>3390</v>
      </c>
      <c r="D1671" s="47"/>
      <c r="E1671" s="47"/>
      <c r="F1671" s="48"/>
      <c r="G1671" s="62" t="str">
        <f>IFERROR(INDEX(StockInData[Expiry],MATCH(ProductMaster[[#This Row],[Product ID]],StockInData[Product ID],0)),"")</f>
        <v/>
      </c>
      <c r="H1671" s="47"/>
      <c r="I1671" s="61">
        <f>SUMIFS(StockInData[Quantity],StockInData[Product ID],ProductMaster!$B1671)-SUMIFS(StockOutData[Quantity],StockOutData[Product ID],ProductMaster!$B1671)</f>
        <v>0</v>
      </c>
      <c r="J1671" s="63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82">
        <v>1671</v>
      </c>
      <c r="B1672" s="83" t="s">
        <v>3391</v>
      </c>
      <c r="C1672" s="85" t="s">
        <v>3392</v>
      </c>
      <c r="D1672" s="47"/>
      <c r="E1672" s="47"/>
      <c r="F1672" s="48"/>
      <c r="G1672" s="62" t="str">
        <f>IFERROR(INDEX(StockInData[Expiry],MATCH(ProductMaster[[#This Row],[Product ID]],StockInData[Product ID],0)),"")</f>
        <v/>
      </c>
      <c r="H1672" s="47"/>
      <c r="I1672" s="61">
        <f>SUMIFS(StockInData[Quantity],StockInData[Product ID],ProductMaster!$B1672)-SUMIFS(StockOutData[Quantity],StockOutData[Product ID],ProductMaster!$B1672)</f>
        <v>0</v>
      </c>
      <c r="J1672" s="63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3" t="s">
        <v>3393</v>
      </c>
      <c r="C1673" s="85" t="s">
        <v>3394</v>
      </c>
      <c r="D1673" s="47"/>
      <c r="E1673" s="47"/>
      <c r="F1673" s="48"/>
      <c r="G1673" s="62" t="str">
        <f>IFERROR(INDEX(StockInData[Expiry],MATCH(ProductMaster[[#This Row],[Product ID]],StockInData[Product ID],0)),"")</f>
        <v/>
      </c>
      <c r="H1673" s="47"/>
      <c r="I1673" s="61">
        <f>SUMIFS(StockInData[Quantity],StockInData[Product ID],ProductMaster!$B1673)-SUMIFS(StockOutData[Quantity],StockOutData[Product ID],ProductMaster!$B1673)</f>
        <v>0</v>
      </c>
      <c r="J1673" s="63">
        <f>SUMIFS(StockInData[Value],StockInData[Product ID],ProductMaster!$B1673)-SUMIFS(StockOutData[Value],StockOutData[Product ID],ProductMaster!$B1673)</f>
        <v>0</v>
      </c>
    </row>
    <row r="1674" spans="1:10" hidden="1" x14ac:dyDescent="0.25">
      <c r="A1674" s="82">
        <v>1673</v>
      </c>
      <c r="B1674" s="83" t="s">
        <v>3395</v>
      </c>
      <c r="C1674" s="85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3" t="s">
        <v>3397</v>
      </c>
      <c r="C1675" s="85" t="s">
        <v>3398</v>
      </c>
      <c r="D1675" s="47"/>
      <c r="E1675" s="47"/>
      <c r="F1675" s="48"/>
      <c r="G1675" s="62" t="str">
        <f>IFERROR(INDEX(StockInData[Expiry],MATCH(ProductMaster[[#This Row],[Product ID]],StockInData[Product ID],0)),"")</f>
        <v/>
      </c>
      <c r="H1675" s="47"/>
      <c r="I1675" s="61">
        <f>SUMIFS(StockInData[Quantity],StockInData[Product ID],ProductMaster!$B1675)-SUMIFS(StockOutData[Quantity],StockOutData[Product ID],ProductMaster!$B1675)</f>
        <v>0</v>
      </c>
      <c r="J1675" s="63">
        <f>SUMIFS(StockInData[Value],StockInData[Product ID],ProductMaster!$B1675)-SUMIFS(StockOutData[Value],StockOutData[Product ID],ProductMaster!$B1675)</f>
        <v>0</v>
      </c>
    </row>
    <row r="1676" spans="1:10" hidden="1" x14ac:dyDescent="0.25">
      <c r="A1676" s="82">
        <v>1675</v>
      </c>
      <c r="B1676" s="83" t="s">
        <v>3399</v>
      </c>
      <c r="C1676" s="85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3" t="s">
        <v>3401</v>
      </c>
      <c r="C1677" s="85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2">
        <v>1677</v>
      </c>
      <c r="B1678" s="83" t="s">
        <v>3403</v>
      </c>
      <c r="C1678" s="85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3" t="s">
        <v>3405</v>
      </c>
      <c r="C1679" s="85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2">
        <v>1679</v>
      </c>
      <c r="B1680" s="83" t="s">
        <v>3407</v>
      </c>
      <c r="C1680" s="85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3" t="s">
        <v>3409</v>
      </c>
      <c r="C1681" s="85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2">
        <v>1681</v>
      </c>
      <c r="B1682" s="83" t="s">
        <v>3411</v>
      </c>
      <c r="C1682" s="85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3" t="s">
        <v>3413</v>
      </c>
      <c r="C1683" s="85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2">
        <v>1683</v>
      </c>
      <c r="B1684" s="83" t="s">
        <v>3415</v>
      </c>
      <c r="C1684" s="85" t="s">
        <v>3416</v>
      </c>
      <c r="D1684" s="47"/>
      <c r="E1684" s="47"/>
      <c r="F1684" s="48"/>
      <c r="G1684" s="62" t="str">
        <f>IFERROR(INDEX(StockInData[Expiry],MATCH(ProductMaster[[#This Row],[Product ID]],StockInData[Product ID],0)),"")</f>
        <v/>
      </c>
      <c r="H1684" s="47"/>
      <c r="I1684" s="61">
        <f>SUMIFS(StockInData[Quantity],StockInData[Product ID],ProductMaster!$B1684)-SUMIFS(StockOutData[Quantity],StockOutData[Product ID],ProductMaster!$B1684)</f>
        <v>0</v>
      </c>
      <c r="J1684" s="63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3" t="s">
        <v>3417</v>
      </c>
      <c r="C1685" s="85" t="s">
        <v>3418</v>
      </c>
      <c r="D1685" s="47"/>
      <c r="E1685" s="47"/>
      <c r="F1685" s="48"/>
      <c r="G1685" s="62" t="str">
        <f>IFERROR(INDEX(StockInData[Expiry],MATCH(ProductMaster[[#This Row],[Product ID]],StockInData[Product ID],0)),"")</f>
        <v/>
      </c>
      <c r="H1685" s="47"/>
      <c r="I1685" s="61">
        <f>SUMIFS(StockInData[Quantity],StockInData[Product ID],ProductMaster!$B1685)-SUMIFS(StockOutData[Quantity],StockOutData[Product ID],ProductMaster!$B1685)</f>
        <v>0</v>
      </c>
      <c r="J1685" s="63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82">
        <v>1685</v>
      </c>
      <c r="B1686" s="83" t="s">
        <v>3419</v>
      </c>
      <c r="C1686" s="85" t="s">
        <v>3420</v>
      </c>
      <c r="D1686" s="47"/>
      <c r="E1686" s="47"/>
      <c r="F1686" s="48"/>
      <c r="G1686" s="62" t="str">
        <f>IFERROR(INDEX(StockInData[Expiry],MATCH(ProductMaster[[#This Row],[Product ID]],StockInData[Product ID],0)),"")</f>
        <v/>
      </c>
      <c r="H1686" s="47"/>
      <c r="I1686" s="61">
        <f>SUMIFS(StockInData[Quantity],StockInData[Product ID],ProductMaster!$B1686)-SUMIFS(StockOutData[Quantity],StockOutData[Product ID],ProductMaster!$B1686)</f>
        <v>0</v>
      </c>
      <c r="J1686" s="63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3" t="s">
        <v>3421</v>
      </c>
      <c r="C1687" s="85" t="s">
        <v>3422</v>
      </c>
      <c r="D1687" s="47"/>
      <c r="E1687" s="47"/>
      <c r="F1687" s="48"/>
      <c r="G1687" s="62" t="str">
        <f>IFERROR(INDEX(StockInData[Expiry],MATCH(ProductMaster[[#This Row],[Product ID]],StockInData[Product ID],0)),"")</f>
        <v/>
      </c>
      <c r="H1687" s="47"/>
      <c r="I1687" s="61">
        <f>SUMIFS(StockInData[Quantity],StockInData[Product ID],ProductMaster!$B1687)-SUMIFS(StockOutData[Quantity],StockOutData[Product ID],ProductMaster!$B1687)</f>
        <v>0</v>
      </c>
      <c r="J1687" s="63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82">
        <v>1687</v>
      </c>
      <c r="B1688" s="83" t="s">
        <v>3423</v>
      </c>
      <c r="C1688" s="85" t="s">
        <v>3424</v>
      </c>
      <c r="D1688" s="47"/>
      <c r="E1688" s="47"/>
      <c r="F1688" s="48"/>
      <c r="G1688" s="62" t="str">
        <f>IFERROR(INDEX(StockInData[Expiry],MATCH(ProductMaster[[#This Row],[Product ID]],StockInData[Product ID],0)),"")</f>
        <v/>
      </c>
      <c r="H1688" s="47"/>
      <c r="I1688" s="61">
        <f>SUMIFS(StockInData[Quantity],StockInData[Product ID],ProductMaster!$B1688)-SUMIFS(StockOutData[Quantity],StockOutData[Product ID],ProductMaster!$B1688)</f>
        <v>0</v>
      </c>
      <c r="J1688" s="63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3" t="s">
        <v>3425</v>
      </c>
      <c r="C1689" s="85" t="s">
        <v>3426</v>
      </c>
      <c r="D1689" s="47"/>
      <c r="E1689" s="47"/>
      <c r="F1689" s="48"/>
      <c r="G1689" s="62" t="str">
        <f>IFERROR(INDEX(StockInData[Expiry],MATCH(ProductMaster[[#This Row],[Product ID]],StockInData[Product ID],0)),"")</f>
        <v/>
      </c>
      <c r="H1689" s="47"/>
      <c r="I1689" s="61">
        <f>SUMIFS(StockInData[Quantity],StockInData[Product ID],ProductMaster!$B1689)-SUMIFS(StockOutData[Quantity],StockOutData[Product ID],ProductMaster!$B1689)</f>
        <v>0</v>
      </c>
      <c r="J1689" s="63">
        <f>SUMIFS(StockInData[Value],StockInData[Product ID],ProductMaster!$B1689)-SUMIFS(StockOutData[Value],StockOutData[Product ID],ProductMaster!$B1689)</f>
        <v>0</v>
      </c>
    </row>
    <row r="1690" spans="1:10" hidden="1" x14ac:dyDescent="0.25">
      <c r="A1690" s="82">
        <v>1689</v>
      </c>
      <c r="B1690" s="83" t="s">
        <v>3427</v>
      </c>
      <c r="C1690" s="85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3" t="s">
        <v>3429</v>
      </c>
      <c r="C1691" s="85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2">
        <v>1691</v>
      </c>
      <c r="B1692" s="83" t="s">
        <v>3431</v>
      </c>
      <c r="C1692" s="85" t="s">
        <v>3432</v>
      </c>
      <c r="D1692" s="47"/>
      <c r="E1692" s="47"/>
      <c r="F1692" s="48"/>
      <c r="G1692" s="62" t="str">
        <f>IFERROR(INDEX(StockInData[Expiry],MATCH(ProductMaster[[#This Row],[Product ID]],StockInData[Product ID],0)),"")</f>
        <v/>
      </c>
      <c r="H1692" s="47"/>
      <c r="I1692" s="61">
        <f>SUMIFS(StockInData[Quantity],StockInData[Product ID],ProductMaster!$B1692)-SUMIFS(StockOutData[Quantity],StockOutData[Product ID],ProductMaster!$B1692)</f>
        <v>0</v>
      </c>
      <c r="J1692" s="63">
        <f>SUMIFS(StockInData[Value],StockInData[Product ID],ProductMaster!$B1692)-SUMIFS(StockOutData[Value],StockOutData[Product ID],ProductMaster!$B1692)</f>
        <v>0</v>
      </c>
    </row>
    <row r="1693" spans="1:10" hidden="1" x14ac:dyDescent="0.25">
      <c r="A1693" s="60">
        <v>1692</v>
      </c>
      <c r="B1693" s="83" t="s">
        <v>3433</v>
      </c>
      <c r="C1693" s="85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2">
        <v>1693</v>
      </c>
      <c r="B1694" s="83" t="s">
        <v>3435</v>
      </c>
      <c r="C1694" s="85" t="s">
        <v>3436</v>
      </c>
      <c r="D1694" s="47"/>
      <c r="E1694" s="47"/>
      <c r="F1694" s="48"/>
      <c r="G1694" s="62" t="str">
        <f>IFERROR(INDEX(StockInData[Expiry],MATCH(ProductMaster[[#This Row],[Product ID]],StockInData[Product ID],0)),"")</f>
        <v/>
      </c>
      <c r="H1694" s="47"/>
      <c r="I1694" s="61">
        <f>SUMIFS(StockInData[Quantity],StockInData[Product ID],ProductMaster!$B1694)-SUMIFS(StockOutData[Quantity],StockOutData[Product ID],ProductMaster!$B1694)</f>
        <v>0</v>
      </c>
      <c r="J1694" s="63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3" t="s">
        <v>3437</v>
      </c>
      <c r="C1695" s="85" t="s">
        <v>3438</v>
      </c>
      <c r="D1695" s="47"/>
      <c r="E1695" s="47"/>
      <c r="F1695" s="48"/>
      <c r="G1695" s="62" t="str">
        <f>IFERROR(INDEX(StockInData[Expiry],MATCH(ProductMaster[[#This Row],[Product ID]],StockInData[Product ID],0)),"")</f>
        <v/>
      </c>
      <c r="H1695" s="47"/>
      <c r="I1695" s="61">
        <f>SUMIFS(StockInData[Quantity],StockInData[Product ID],ProductMaster!$B1695)-SUMIFS(StockOutData[Quantity],StockOutData[Product ID],ProductMaster!$B1695)</f>
        <v>0</v>
      </c>
      <c r="J1695" s="63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82">
        <v>1695</v>
      </c>
      <c r="B1696" s="83" t="s">
        <v>3439</v>
      </c>
      <c r="C1696" s="85" t="s">
        <v>3440</v>
      </c>
      <c r="D1696" s="47"/>
      <c r="E1696" s="47"/>
      <c r="F1696" s="48"/>
      <c r="G1696" s="62" t="str">
        <f>IFERROR(INDEX(StockInData[Expiry],MATCH(ProductMaster[[#This Row],[Product ID]],StockInData[Product ID],0)),"")</f>
        <v/>
      </c>
      <c r="H1696" s="47"/>
      <c r="I1696" s="61">
        <f>SUMIFS(StockInData[Quantity],StockInData[Product ID],ProductMaster!$B1696)-SUMIFS(StockOutData[Quantity],StockOutData[Product ID],ProductMaster!$B1696)</f>
        <v>0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3" t="s">
        <v>3441</v>
      </c>
      <c r="C1697" s="85" t="s">
        <v>3442</v>
      </c>
      <c r="D1697" s="47"/>
      <c r="E1697" s="47"/>
      <c r="F1697" s="48"/>
      <c r="G1697" s="62" t="str">
        <f>IFERROR(INDEX(StockInData[Expiry],MATCH(ProductMaster[[#This Row],[Product ID]],StockInData[Product ID],0)),"")</f>
        <v/>
      </c>
      <c r="H1697" s="47"/>
      <c r="I1697" s="61">
        <f>SUMIFS(StockInData[Quantity],StockInData[Product ID],ProductMaster!$B1697)-SUMIFS(StockOutData[Quantity],StockOutData[Product ID],ProductMaster!$B1697)</f>
        <v>0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2">
        <v>1697</v>
      </c>
      <c r="B1698" s="83" t="s">
        <v>3443</v>
      </c>
      <c r="C1698" s="85" t="s">
        <v>3444</v>
      </c>
      <c r="D1698" s="47"/>
      <c r="E1698" s="47"/>
      <c r="F1698" s="48"/>
      <c r="G1698" s="62" t="str">
        <f>IFERROR(INDEX(StockInData[Expiry],MATCH(ProductMaster[[#This Row],[Product ID]],StockInData[Product ID],0)),"")</f>
        <v/>
      </c>
      <c r="H1698" s="47"/>
      <c r="I1698" s="61">
        <f>SUMIFS(StockInData[Quantity],StockInData[Product ID],ProductMaster!$B1698)-SUMIFS(StockOutData[Quantity],StockOutData[Product ID],ProductMaster!$B1698)</f>
        <v>0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3" t="s">
        <v>3445</v>
      </c>
      <c r="C1699" s="85" t="s">
        <v>3446</v>
      </c>
      <c r="D1699" s="47"/>
      <c r="E1699" s="47"/>
      <c r="F1699" s="48"/>
      <c r="G1699" s="62" t="str">
        <f>IFERROR(INDEX(StockInData[Expiry],MATCH(ProductMaster[[#This Row],[Product ID]],StockInData[Product ID],0)),"")</f>
        <v/>
      </c>
      <c r="H1699" s="47"/>
      <c r="I1699" s="61">
        <f>SUMIFS(StockInData[Quantity],StockInData[Product ID],ProductMaster!$B1699)-SUMIFS(StockOutData[Quantity],StockOutData[Product ID],ProductMaster!$B1699)</f>
        <v>0</v>
      </c>
      <c r="J1699" s="63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82">
        <v>1699</v>
      </c>
      <c r="B1700" s="83" t="s">
        <v>3447</v>
      </c>
      <c r="C1700" s="85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3" t="s">
        <v>3449</v>
      </c>
      <c r="C1701" s="85" t="s">
        <v>3450</v>
      </c>
      <c r="D1701" s="47"/>
      <c r="E1701" s="47"/>
      <c r="F1701" s="48"/>
      <c r="G1701" s="62" t="str">
        <f>IFERROR(INDEX(StockInData[Expiry],MATCH(ProductMaster[[#This Row],[Product ID]],StockInData[Product ID],0)),"")</f>
        <v/>
      </c>
      <c r="H1701" s="47"/>
      <c r="I1701" s="61">
        <f>SUMIFS(StockInData[Quantity],StockInData[Product ID],ProductMaster!$B1701)-SUMIFS(StockOutData[Quantity],StockOutData[Product ID],ProductMaster!$B1701)</f>
        <v>0</v>
      </c>
      <c r="J1701" s="63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82">
        <v>1701</v>
      </c>
      <c r="B1702" s="83" t="s">
        <v>3451</v>
      </c>
      <c r="C1702" s="85" t="s">
        <v>3452</v>
      </c>
      <c r="D1702" s="47"/>
      <c r="E1702" s="47"/>
      <c r="F1702" s="48"/>
      <c r="G1702" s="62" t="str">
        <f>IFERROR(INDEX(StockInData[Expiry],MATCH(ProductMaster[[#This Row],[Product ID]],StockInData[Product ID],0)),"")</f>
        <v/>
      </c>
      <c r="H1702" s="47"/>
      <c r="I1702" s="61">
        <f>SUMIFS(StockInData[Quantity],StockInData[Product ID],ProductMaster!$B1702)-SUMIFS(StockOutData[Quantity],StockOutData[Product ID],ProductMaster!$B1702)</f>
        <v>0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3" t="s">
        <v>3453</v>
      </c>
      <c r="C1703" s="85" t="s">
        <v>3454</v>
      </c>
      <c r="D1703" s="47"/>
      <c r="E1703" s="47"/>
      <c r="F1703" s="48"/>
      <c r="G1703" s="62" t="str">
        <f>IFERROR(INDEX(StockInData[Expiry],MATCH(ProductMaster[[#This Row],[Product ID]],StockInData[Product ID],0)),"")</f>
        <v/>
      </c>
      <c r="H1703" s="47"/>
      <c r="I1703" s="61">
        <f>SUMIFS(StockInData[Quantity],StockInData[Product ID],ProductMaster!$B1703)-SUMIFS(StockOutData[Quantity],StockOutData[Product ID],ProductMaster!$B1703)</f>
        <v>0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2">
        <v>1703</v>
      </c>
      <c r="B1704" s="83" t="s">
        <v>3455</v>
      </c>
      <c r="C1704" s="85" t="s">
        <v>3456</v>
      </c>
      <c r="D1704" s="47"/>
      <c r="E1704" s="47"/>
      <c r="F1704" s="48"/>
      <c r="G1704" s="62" t="str">
        <f>IFERROR(INDEX(StockInData[Expiry],MATCH(ProductMaster[[#This Row],[Product ID]],StockInData[Product ID],0)),"")</f>
        <v/>
      </c>
      <c r="H1704" s="47"/>
      <c r="I1704" s="61">
        <f>SUMIFS(StockInData[Quantity],StockInData[Product ID],ProductMaster!$B1704)-SUMIFS(StockOutData[Quantity],StockOutData[Product ID],ProductMaster!$B1704)</f>
        <v>0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3" t="s">
        <v>3457</v>
      </c>
      <c r="C1705" s="85" t="s">
        <v>3458</v>
      </c>
      <c r="D1705" s="47"/>
      <c r="E1705" s="47"/>
      <c r="F1705" s="48"/>
      <c r="G1705" s="62" t="str">
        <f>IFERROR(INDEX(StockInData[Expiry],MATCH(ProductMaster[[#This Row],[Product ID]],StockInData[Product ID],0)),"")</f>
        <v/>
      </c>
      <c r="H1705" s="47"/>
      <c r="I1705" s="61">
        <f>SUMIFS(StockInData[Quantity],StockInData[Product ID],ProductMaster!$B1705)-SUMIFS(StockOutData[Quantity],StockOutData[Product ID],ProductMaster!$B1705)</f>
        <v>0</v>
      </c>
      <c r="J1705" s="63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82">
        <v>1705</v>
      </c>
      <c r="B1706" s="83" t="s">
        <v>3459</v>
      </c>
      <c r="C1706" s="85" t="s">
        <v>3460</v>
      </c>
      <c r="D1706" s="47"/>
      <c r="E1706" s="47"/>
      <c r="F1706" s="48"/>
      <c r="G1706" s="62" t="str">
        <f>IFERROR(INDEX(StockInData[Expiry],MATCH(ProductMaster[[#This Row],[Product ID]],StockInData[Product ID],0)),"")</f>
        <v/>
      </c>
      <c r="H1706" s="47"/>
      <c r="I1706" s="61">
        <f>SUMIFS(StockInData[Quantity],StockInData[Product ID],ProductMaster!$B1706)-SUMIFS(StockOutData[Quantity],StockOutData[Product ID],ProductMaster!$B1706)</f>
        <v>0</v>
      </c>
      <c r="J1706" s="63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3" t="s">
        <v>3461</v>
      </c>
      <c r="C1707" s="85" t="s">
        <v>3462</v>
      </c>
      <c r="D1707" s="47"/>
      <c r="E1707" s="47"/>
      <c r="F1707" s="48"/>
      <c r="G1707" s="62" t="str">
        <f>IFERROR(INDEX(StockInData[Expiry],MATCH(ProductMaster[[#This Row],[Product ID]],StockInData[Product ID],0)),"")</f>
        <v/>
      </c>
      <c r="H1707" s="47"/>
      <c r="I1707" s="61">
        <f>SUMIFS(StockInData[Quantity],StockInData[Product ID],ProductMaster!$B1707)-SUMIFS(StockOutData[Quantity],StockOutData[Product ID],ProductMaster!$B1707)</f>
        <v>0</v>
      </c>
      <c r="J1707" s="63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82">
        <v>1707</v>
      </c>
      <c r="B1708" s="83" t="s">
        <v>3463</v>
      </c>
      <c r="C1708" s="85" t="s">
        <v>3464</v>
      </c>
      <c r="D1708" s="47"/>
      <c r="E1708" s="47"/>
      <c r="F1708" s="48"/>
      <c r="G1708" s="62" t="str">
        <f>IFERROR(INDEX(StockInData[Expiry],MATCH(ProductMaster[[#This Row],[Product ID]],StockInData[Product ID],0)),"")</f>
        <v/>
      </c>
      <c r="H1708" s="47"/>
      <c r="I1708" s="61">
        <f>SUMIFS(StockInData[Quantity],StockInData[Product ID],ProductMaster!$B1708)-SUMIFS(StockOutData[Quantity],StockOutData[Product ID],ProductMaster!$B1708)</f>
        <v>0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3" t="s">
        <v>3465</v>
      </c>
      <c r="C1709" s="85" t="s">
        <v>3466</v>
      </c>
      <c r="D1709" s="47"/>
      <c r="E1709" s="47"/>
      <c r="F1709" s="48"/>
      <c r="G1709" s="62" t="str">
        <f>IFERROR(INDEX(StockInData[Expiry],MATCH(ProductMaster[[#This Row],[Product ID]],StockInData[Product ID],0)),"")</f>
        <v/>
      </c>
      <c r="H1709" s="47"/>
      <c r="I1709" s="61">
        <f>SUMIFS(StockInData[Quantity],StockInData[Product ID],ProductMaster!$B1709)-SUMIFS(StockOutData[Quantity],StockOutData[Product ID],ProductMaster!$B1709)</f>
        <v>0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2">
        <v>1709</v>
      </c>
      <c r="B1710" s="83" t="s">
        <v>3467</v>
      </c>
      <c r="C1710" s="85" t="s">
        <v>3468</v>
      </c>
      <c r="D1710" s="47"/>
      <c r="E1710" s="47"/>
      <c r="F1710" s="48"/>
      <c r="G1710" s="62" t="str">
        <f>IFERROR(INDEX(StockInData[Expiry],MATCH(ProductMaster[[#This Row],[Product ID]],StockInData[Product ID],0)),"")</f>
        <v/>
      </c>
      <c r="H1710" s="47"/>
      <c r="I1710" s="61">
        <f>SUMIFS(StockInData[Quantity],StockInData[Product ID],ProductMaster!$B1710)-SUMIFS(StockOutData[Quantity],StockOutData[Product ID],ProductMaster!$B1710)</f>
        <v>0</v>
      </c>
      <c r="J1710" s="63">
        <f>SUMIFS(StockInData[Value],StockInData[Product ID],ProductMaster!$B1710)-SUMIFS(StockOutData[Value],StockOutData[Product ID],ProductMaster!$B1710)</f>
        <v>0</v>
      </c>
    </row>
    <row r="1711" spans="1:10" hidden="1" x14ac:dyDescent="0.25">
      <c r="A1711" s="60">
        <v>1710</v>
      </c>
      <c r="B1711" s="83" t="s">
        <v>3469</v>
      </c>
      <c r="C1711" s="85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2">
        <v>1711</v>
      </c>
      <c r="B1712" s="83" t="s">
        <v>3471</v>
      </c>
      <c r="C1712" s="85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3" t="s">
        <v>3473</v>
      </c>
      <c r="C1713" s="85" t="s">
        <v>3474</v>
      </c>
      <c r="D1713" s="47"/>
      <c r="E1713" s="47"/>
      <c r="F1713" s="48"/>
      <c r="G1713" s="62" t="str">
        <f>IFERROR(INDEX(StockInData[Expiry],MATCH(ProductMaster[[#This Row],[Product ID]],StockInData[Product ID],0)),"")</f>
        <v/>
      </c>
      <c r="H1713" s="47"/>
      <c r="I1713" s="61">
        <f>SUMIFS(StockInData[Quantity],StockInData[Product ID],ProductMaster!$B1713)-SUMIFS(StockOutData[Quantity],StockOutData[Product ID],ProductMaster!$B1713)</f>
        <v>0</v>
      </c>
      <c r="J1713" s="63">
        <f>SUMIFS(StockInData[Value],StockInData[Product ID],ProductMaster!$B1713)-SUMIFS(StockOutData[Value],StockOutData[Product ID],ProductMaster!$B1713)</f>
        <v>0</v>
      </c>
    </row>
    <row r="1714" spans="1:10" hidden="1" x14ac:dyDescent="0.25">
      <c r="A1714" s="82">
        <v>1713</v>
      </c>
      <c r="B1714" s="83" t="s">
        <v>3475</v>
      </c>
      <c r="C1714" s="85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3" t="s">
        <v>3477</v>
      </c>
      <c r="C1715" s="85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2">
        <v>1715</v>
      </c>
      <c r="B1716" s="83" t="s">
        <v>3479</v>
      </c>
      <c r="C1716" s="85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3" t="s">
        <v>3481</v>
      </c>
      <c r="C1717" s="85" t="s">
        <v>3482</v>
      </c>
      <c r="D1717" s="47"/>
      <c r="E1717" s="47"/>
      <c r="F1717" s="48"/>
      <c r="G1717" s="62" t="str">
        <f>IFERROR(INDEX(StockInData[Expiry],MATCH(ProductMaster[[#This Row],[Product ID]],StockInData[Product ID],0)),"")</f>
        <v/>
      </c>
      <c r="H1717" s="47"/>
      <c r="I1717" s="61">
        <f>SUMIFS(StockInData[Quantity],StockInData[Product ID],ProductMaster!$B1717)-SUMIFS(StockOutData[Quantity],StockOutData[Product ID],ProductMaster!$B1717)</f>
        <v>0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2">
        <v>1717</v>
      </c>
      <c r="B1718" s="83" t="s">
        <v>3483</v>
      </c>
      <c r="C1718" s="85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3" t="s">
        <v>3485</v>
      </c>
      <c r="C1719" s="85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2">
        <v>1719</v>
      </c>
      <c r="B1720" s="83" t="s">
        <v>3487</v>
      </c>
      <c r="C1720" s="85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3" t="s">
        <v>3489</v>
      </c>
      <c r="C1721" s="85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2">
        <v>1721</v>
      </c>
      <c r="B1722" s="83" t="s">
        <v>3491</v>
      </c>
      <c r="C1722" s="85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3" t="s">
        <v>3493</v>
      </c>
      <c r="C1723" s="85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2">
        <v>1723</v>
      </c>
      <c r="B1724" s="83" t="s">
        <v>3495</v>
      </c>
      <c r="C1724" s="85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3" t="s">
        <v>3497</v>
      </c>
      <c r="C1725" s="85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2">
        <v>1725</v>
      </c>
      <c r="B1726" s="83" t="s">
        <v>3499</v>
      </c>
      <c r="C1726" s="85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3" t="s">
        <v>3501</v>
      </c>
      <c r="C1727" s="85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2">
        <v>1727</v>
      </c>
      <c r="B1728" s="83" t="s">
        <v>3503</v>
      </c>
      <c r="C1728" s="85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3" t="s">
        <v>3505</v>
      </c>
      <c r="C1729" s="85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2">
        <v>1729</v>
      </c>
      <c r="B1730" s="83" t="s">
        <v>3507</v>
      </c>
      <c r="C1730" s="85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3" t="s">
        <v>3509</v>
      </c>
      <c r="C1731" s="85" t="s">
        <v>3510</v>
      </c>
      <c r="D1731" s="47"/>
      <c r="E1731" s="47"/>
      <c r="F1731" s="48"/>
      <c r="G1731" s="62" t="str">
        <f>IFERROR(INDEX(StockInData[Expiry],MATCH(ProductMaster[[#This Row],[Product ID]],StockInData[Product ID],0)),"")</f>
        <v/>
      </c>
      <c r="H1731" s="47"/>
      <c r="I1731" s="61">
        <f>SUMIFS(StockInData[Quantity],StockInData[Product ID],ProductMaster!$B1731)-SUMIFS(StockOutData[Quantity],StockOutData[Product ID],ProductMaster!$B1731)</f>
        <v>0</v>
      </c>
      <c r="J1731" s="63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82">
        <v>1731</v>
      </c>
      <c r="B1732" s="83" t="s">
        <v>3511</v>
      </c>
      <c r="C1732" s="85" t="s">
        <v>3512</v>
      </c>
      <c r="D1732" s="47"/>
      <c r="E1732" s="47"/>
      <c r="F1732" s="48"/>
      <c r="G1732" s="62" t="str">
        <f>IFERROR(INDEX(StockInData[Expiry],MATCH(ProductMaster[[#This Row],[Product ID]],StockInData[Product ID],0)),"")</f>
        <v/>
      </c>
      <c r="H1732" s="47"/>
      <c r="I1732" s="61">
        <f>SUMIFS(StockInData[Quantity],StockInData[Product ID],ProductMaster!$B1732)-SUMIFS(StockOutData[Quantity],StockOutData[Product ID],ProductMaster!$B1732)</f>
        <v>0</v>
      </c>
      <c r="J1732" s="63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3" t="s">
        <v>3513</v>
      </c>
      <c r="C1733" s="85" t="s">
        <v>3514</v>
      </c>
      <c r="D1733" s="47"/>
      <c r="E1733" s="47"/>
      <c r="F1733" s="48"/>
      <c r="G1733" s="62" t="str">
        <f>IFERROR(INDEX(StockInData[Expiry],MATCH(ProductMaster[[#This Row],[Product ID]],StockInData[Product ID],0)),"")</f>
        <v/>
      </c>
      <c r="H1733" s="47"/>
      <c r="I1733" s="61">
        <f>SUMIFS(StockInData[Quantity],StockInData[Product ID],ProductMaster!$B1733)-SUMIFS(StockOutData[Quantity],StockOutData[Product ID],ProductMaster!$B1733)</f>
        <v>0</v>
      </c>
      <c r="J1733" s="63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82">
        <v>1733</v>
      </c>
      <c r="B1734" s="83" t="s">
        <v>3515</v>
      </c>
      <c r="C1734" s="85" t="s">
        <v>3516</v>
      </c>
      <c r="D1734" s="47"/>
      <c r="E1734" s="47"/>
      <c r="F1734" s="48"/>
      <c r="G1734" s="62" t="str">
        <f>IFERROR(INDEX(StockInData[Expiry],MATCH(ProductMaster[[#This Row],[Product ID]],StockInData[Product ID],0)),"")</f>
        <v/>
      </c>
      <c r="H1734" s="47"/>
      <c r="I1734" s="61">
        <f>SUMIFS(StockInData[Quantity],StockInData[Product ID],ProductMaster!$B1734)-SUMIFS(StockOutData[Quantity],StockOutData[Product ID],ProductMaster!$B1734)</f>
        <v>0</v>
      </c>
      <c r="J1734" s="63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3" t="s">
        <v>3517</v>
      </c>
      <c r="C1735" s="85" t="s">
        <v>3518</v>
      </c>
      <c r="D1735" s="47"/>
      <c r="E1735" s="47"/>
      <c r="F1735" s="48"/>
      <c r="G1735" s="62" t="str">
        <f>IFERROR(INDEX(StockInData[Expiry],MATCH(ProductMaster[[#This Row],[Product ID]],StockInData[Product ID],0)),"")</f>
        <v/>
      </c>
      <c r="H1735" s="47"/>
      <c r="I1735" s="61">
        <f>SUMIFS(StockInData[Quantity],StockInData[Product ID],ProductMaster!$B1735)-SUMIFS(StockOutData[Quantity],StockOutData[Product ID],ProductMaster!$B1735)</f>
        <v>0</v>
      </c>
      <c r="J1735" s="63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82">
        <v>1735</v>
      </c>
      <c r="B1736" s="83" t="s">
        <v>3519</v>
      </c>
      <c r="C1736" s="85" t="s">
        <v>3520</v>
      </c>
      <c r="D1736" s="47"/>
      <c r="E1736" s="47"/>
      <c r="F1736" s="48"/>
      <c r="G1736" s="62" t="str">
        <f>IFERROR(INDEX(StockInData[Expiry],MATCH(ProductMaster[[#This Row],[Product ID]],StockInData[Product ID],0)),"")</f>
        <v/>
      </c>
      <c r="H1736" s="47"/>
      <c r="I1736" s="61">
        <f>SUMIFS(StockInData[Quantity],StockInData[Product ID],ProductMaster!$B1736)-SUMIFS(StockOutData[Quantity],StockOutData[Product ID],ProductMaster!$B1736)</f>
        <v>0</v>
      </c>
      <c r="J1736" s="63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3" t="s">
        <v>3521</v>
      </c>
      <c r="C1737" s="85" t="s">
        <v>3522</v>
      </c>
      <c r="D1737" s="47"/>
      <c r="E1737" s="47"/>
      <c r="F1737" s="48"/>
      <c r="G1737" s="62" t="str">
        <f>IFERROR(INDEX(StockInData[Expiry],MATCH(ProductMaster[[#This Row],[Product ID]],StockInData[Product ID],0)),"")</f>
        <v/>
      </c>
      <c r="H1737" s="47"/>
      <c r="I1737" s="61">
        <f>SUMIFS(StockInData[Quantity],StockInData[Product ID],ProductMaster!$B1737)-SUMIFS(StockOutData[Quantity],StockOutData[Product ID],ProductMaster!$B1737)</f>
        <v>0</v>
      </c>
      <c r="J1737" s="63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82">
        <v>1737</v>
      </c>
      <c r="B1738" s="83" t="s">
        <v>3523</v>
      </c>
      <c r="C1738" s="85" t="s">
        <v>3524</v>
      </c>
      <c r="D1738" s="47"/>
      <c r="E1738" s="47"/>
      <c r="F1738" s="48"/>
      <c r="G1738" s="62" t="str">
        <f>IFERROR(INDEX(StockInData[Expiry],MATCH(ProductMaster[[#This Row],[Product ID]],StockInData[Product ID],0)),"")</f>
        <v/>
      </c>
      <c r="H1738" s="47"/>
      <c r="I1738" s="61">
        <f>SUMIFS(StockInData[Quantity],StockInData[Product ID],ProductMaster!$B1738)-SUMIFS(StockOutData[Quantity],StockOutData[Product ID],ProductMaster!$B1738)</f>
        <v>0</v>
      </c>
      <c r="J1738" s="63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3" t="s">
        <v>3525</v>
      </c>
      <c r="C1739" s="85" t="s">
        <v>3526</v>
      </c>
      <c r="D1739" s="47"/>
      <c r="E1739" s="47"/>
      <c r="F1739" s="48"/>
      <c r="G1739" s="62" t="str">
        <f>IFERROR(INDEX(StockInData[Expiry],MATCH(ProductMaster[[#This Row],[Product ID]],StockInData[Product ID],0)),"")</f>
        <v/>
      </c>
      <c r="H1739" s="47"/>
      <c r="I1739" s="61">
        <f>SUMIFS(StockInData[Quantity],StockInData[Product ID],ProductMaster!$B1739)-SUMIFS(StockOutData[Quantity],StockOutData[Product ID],ProductMaster!$B1739)</f>
        <v>0</v>
      </c>
      <c r="J1739" s="63">
        <f>SUMIFS(StockInData[Value],StockInData[Product ID],ProductMaster!$B1739)-SUMIFS(StockOutData[Value],StockOutData[Product ID],ProductMaster!$B1739)</f>
        <v>0</v>
      </c>
    </row>
    <row r="1740" spans="1:10" hidden="1" x14ac:dyDescent="0.25">
      <c r="A1740" s="82">
        <v>1739</v>
      </c>
      <c r="B1740" s="83" t="s">
        <v>3527</v>
      </c>
      <c r="C1740" s="85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3" t="s">
        <v>3529</v>
      </c>
      <c r="C1741" s="85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2">
        <v>1741</v>
      </c>
      <c r="B1742" s="83" t="s">
        <v>3531</v>
      </c>
      <c r="C1742" s="85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3" t="s">
        <v>3533</v>
      </c>
      <c r="C1743" s="85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2">
        <v>1743</v>
      </c>
      <c r="B1744" s="83" t="s">
        <v>3535</v>
      </c>
      <c r="C1744" s="85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3" t="s">
        <v>3537</v>
      </c>
      <c r="C1745" s="85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2">
        <v>1745</v>
      </c>
      <c r="B1746" s="83" t="s">
        <v>3539</v>
      </c>
      <c r="C1746" s="85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3" t="s">
        <v>3541</v>
      </c>
      <c r="C1747" s="85" t="s">
        <v>3542</v>
      </c>
      <c r="D1747" s="47"/>
      <c r="E1747" s="47"/>
      <c r="F1747" s="48"/>
      <c r="G1747" s="62" t="str">
        <f>IFERROR(INDEX(StockInData[Expiry],MATCH(ProductMaster[[#This Row],[Product ID]],StockInData[Product ID],0)),"")</f>
        <v/>
      </c>
      <c r="H1747" s="47"/>
      <c r="I1747" s="61">
        <f>SUMIFS(StockInData[Quantity],StockInData[Product ID],ProductMaster!$B1747)-SUMIFS(StockOutData[Quantity],StockOutData[Product ID],ProductMaster!$B1747)</f>
        <v>0</v>
      </c>
      <c r="J1747" s="63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82">
        <v>1747</v>
      </c>
      <c r="B1748" s="83" t="s">
        <v>3543</v>
      </c>
      <c r="C1748" s="85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0</v>
      </c>
      <c r="J1748" s="63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3" t="s">
        <v>3545</v>
      </c>
      <c r="C1749" s="85" t="s">
        <v>3546</v>
      </c>
      <c r="D1749" s="47"/>
      <c r="E1749" s="47"/>
      <c r="F1749" s="48"/>
      <c r="G1749" s="62" t="str">
        <f>IFERROR(INDEX(StockInData[Expiry],MATCH(ProductMaster[[#This Row],[Product ID]],StockInData[Product ID],0)),"")</f>
        <v/>
      </c>
      <c r="H1749" s="47"/>
      <c r="I1749" s="61">
        <f>SUMIFS(StockInData[Quantity],StockInData[Product ID],ProductMaster!$B1749)-SUMIFS(StockOutData[Quantity],StockOutData[Product ID],ProductMaster!$B1749)</f>
        <v>0</v>
      </c>
      <c r="J1749" s="63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82">
        <v>1749</v>
      </c>
      <c r="B1750" s="83" t="s">
        <v>3547</v>
      </c>
      <c r="C1750" s="85" t="s">
        <v>3548</v>
      </c>
      <c r="D1750" s="47"/>
      <c r="E1750" s="47"/>
      <c r="F1750" s="48"/>
      <c r="G1750" s="62" t="str">
        <f>IFERROR(INDEX(StockInData[Expiry],MATCH(ProductMaster[[#This Row],[Product ID]],StockInData[Product ID],0)),"")</f>
        <v/>
      </c>
      <c r="H1750" s="47"/>
      <c r="I1750" s="61">
        <f>SUMIFS(StockInData[Quantity],StockInData[Product ID],ProductMaster!$B1750)-SUMIFS(StockOutData[Quantity],StockOutData[Product ID],ProductMaster!$B1750)</f>
        <v>0</v>
      </c>
      <c r="J1750" s="63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0">
        <v>1750</v>
      </c>
      <c r="B1751" s="83" t="s">
        <v>3549</v>
      </c>
      <c r="C1751" s="85" t="s">
        <v>3550</v>
      </c>
      <c r="D1751" s="47"/>
      <c r="E1751" s="47"/>
      <c r="F1751" s="48"/>
      <c r="G1751" s="62" t="str">
        <f>IFERROR(INDEX(StockInData[Expiry],MATCH(ProductMaster[[#This Row],[Product ID]],StockInData[Product ID],0)),"")</f>
        <v/>
      </c>
      <c r="H1751" s="47"/>
      <c r="I1751" s="61">
        <f>SUMIFS(StockInData[Quantity],StockInData[Product ID],ProductMaster!$B1751)-SUMIFS(StockOutData[Quantity],StockOutData[Product ID],ProductMaster!$B1751)</f>
        <v>0</v>
      </c>
      <c r="J1751" s="63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82">
        <v>1751</v>
      </c>
      <c r="B1752" s="83" t="s">
        <v>3551</v>
      </c>
      <c r="C1752" s="85" t="s">
        <v>3552</v>
      </c>
      <c r="D1752" s="47"/>
      <c r="E1752" s="47"/>
      <c r="F1752" s="48"/>
      <c r="G1752" s="62" t="str">
        <f>IFERROR(INDEX(StockInData[Expiry],MATCH(ProductMaster[[#This Row],[Product ID]],StockInData[Product ID],0)),"")</f>
        <v/>
      </c>
      <c r="H1752" s="47"/>
      <c r="I1752" s="61">
        <f>SUMIFS(StockInData[Quantity],StockInData[Product ID],ProductMaster!$B1752)-SUMIFS(StockOutData[Quantity],StockOutData[Product ID],ProductMaster!$B1752)</f>
        <v>0</v>
      </c>
      <c r="J1752" s="63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3" t="s">
        <v>3553</v>
      </c>
      <c r="C1753" s="85" t="s">
        <v>3554</v>
      </c>
      <c r="D1753" s="47"/>
      <c r="E1753" s="47"/>
      <c r="F1753" s="48"/>
      <c r="G1753" s="62" t="str">
        <f>IFERROR(INDEX(StockInData[Expiry],MATCH(ProductMaster[[#This Row],[Product ID]],StockInData[Product ID],0)),"")</f>
        <v/>
      </c>
      <c r="H1753" s="47"/>
      <c r="I1753" s="61">
        <f>SUMIFS(StockInData[Quantity],StockInData[Product ID],ProductMaster!$B1753)-SUMIFS(StockOutData[Quantity],StockOutData[Product ID],ProductMaster!$B1753)</f>
        <v>0</v>
      </c>
      <c r="J1753" s="63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82">
        <v>1753</v>
      </c>
      <c r="B1754" s="83" t="s">
        <v>3555</v>
      </c>
      <c r="C1754" s="85" t="s">
        <v>3556</v>
      </c>
      <c r="D1754" s="47"/>
      <c r="E1754" s="47"/>
      <c r="F1754" s="48"/>
      <c r="G1754" s="62" t="str">
        <f>IFERROR(INDEX(StockInData[Expiry],MATCH(ProductMaster[[#This Row],[Product ID]],StockInData[Product ID],0)),"")</f>
        <v/>
      </c>
      <c r="H1754" s="47"/>
      <c r="I1754" s="61">
        <f>SUMIFS(StockInData[Quantity],StockInData[Product ID],ProductMaster!$B1754)-SUMIFS(StockOutData[Quantity],StockOutData[Product ID],ProductMaster!$B1754)</f>
        <v>0</v>
      </c>
      <c r="J1754" s="63">
        <f>SUMIFS(StockInData[Value],StockInData[Product ID],ProductMaster!$B1754)-SUMIFS(StockOutData[Value],StockOutData[Product ID],ProductMaster!$B1754)</f>
        <v>0</v>
      </c>
    </row>
    <row r="1755" spans="1:10" hidden="1" x14ac:dyDescent="0.25">
      <c r="A1755" s="60">
        <v>1754</v>
      </c>
      <c r="B1755" s="83" t="s">
        <v>3557</v>
      </c>
      <c r="C1755" s="85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2">
        <v>1755</v>
      </c>
      <c r="B1756" s="83" t="s">
        <v>3559</v>
      </c>
      <c r="C1756" s="85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3" t="s">
        <v>3561</v>
      </c>
      <c r="C1757" s="85" t="s">
        <v>3562</v>
      </c>
      <c r="D1757" s="47"/>
      <c r="E1757" s="47"/>
      <c r="F1757" s="48"/>
      <c r="G1757" s="62" t="str">
        <f>IFERROR(INDEX(StockInData[Expiry],MATCH(ProductMaster[[#This Row],[Product ID]],StockInData[Product ID],0)),"")</f>
        <v/>
      </c>
      <c r="H1757" s="47"/>
      <c r="I1757" s="61">
        <f>SUMIFS(StockInData[Quantity],StockInData[Product ID],ProductMaster!$B1757)-SUMIFS(StockOutData[Quantity],StockOutData[Product ID],ProductMaster!$B1757)</f>
        <v>0</v>
      </c>
      <c r="J1757" s="63">
        <f>SUMIFS(StockInData[Value],StockInData[Product ID],ProductMaster!$B1757)-SUMIFS(StockOutData[Value],StockOutData[Product ID],ProductMaster!$B1757)</f>
        <v>0</v>
      </c>
    </row>
    <row r="1758" spans="1:10" hidden="1" x14ac:dyDescent="0.25">
      <c r="A1758" s="82">
        <v>1757</v>
      </c>
      <c r="B1758" s="83" t="s">
        <v>3563</v>
      </c>
      <c r="C1758" s="85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3" t="s">
        <v>3565</v>
      </c>
      <c r="C1759" s="85" t="s">
        <v>3566</v>
      </c>
      <c r="D1759" s="47"/>
      <c r="E1759" s="47"/>
      <c r="F1759" s="48"/>
      <c r="G1759" s="62" t="str">
        <f>IFERROR(INDEX(StockInData[Expiry],MATCH(ProductMaster[[#This Row],[Product ID]],StockInData[Product ID],0)),"")</f>
        <v/>
      </c>
      <c r="H1759" s="47"/>
      <c r="I1759" s="61">
        <f>SUMIFS(StockInData[Quantity],StockInData[Product ID],ProductMaster!$B1759)-SUMIFS(StockOutData[Quantity],StockOutData[Product ID],ProductMaster!$B1759)</f>
        <v>0</v>
      </c>
      <c r="J1759" s="63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82">
        <v>1759</v>
      </c>
      <c r="B1760" s="83" t="s">
        <v>3567</v>
      </c>
      <c r="C1760" s="85" t="s">
        <v>3568</v>
      </c>
      <c r="D1760" s="47"/>
      <c r="E1760" s="47"/>
      <c r="F1760" s="48"/>
      <c r="G1760" s="62" t="str">
        <f>IFERROR(INDEX(StockInData[Expiry],MATCH(ProductMaster[[#This Row],[Product ID]],StockInData[Product ID],0)),"")</f>
        <v/>
      </c>
      <c r="H1760" s="47"/>
      <c r="I1760" s="61">
        <f>SUMIFS(StockInData[Quantity],StockInData[Product ID],ProductMaster!$B1760)-SUMIFS(StockOutData[Quantity],StockOutData[Product ID],ProductMaster!$B1760)</f>
        <v>0</v>
      </c>
      <c r="J1760" s="63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3" t="s">
        <v>3569</v>
      </c>
      <c r="C1761" s="85" t="s">
        <v>3570</v>
      </c>
      <c r="D1761" s="47"/>
      <c r="E1761" s="47"/>
      <c r="F1761" s="48"/>
      <c r="G1761" s="62" t="str">
        <f>IFERROR(INDEX(StockInData[Expiry],MATCH(ProductMaster[[#This Row],[Product ID]],StockInData[Product ID],0)),"")</f>
        <v/>
      </c>
      <c r="H1761" s="47"/>
      <c r="I1761" s="61">
        <f>SUMIFS(StockInData[Quantity],StockInData[Product ID],ProductMaster!$B1761)-SUMIFS(StockOutData[Quantity],StockOutData[Product ID],ProductMaster!$B1761)</f>
        <v>0</v>
      </c>
      <c r="J1761" s="63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82">
        <v>1761</v>
      </c>
      <c r="B1762" s="83" t="s">
        <v>3571</v>
      </c>
      <c r="C1762" s="85" t="s">
        <v>3572</v>
      </c>
      <c r="D1762" s="47"/>
      <c r="E1762" s="47"/>
      <c r="F1762" s="48"/>
      <c r="G1762" s="62" t="str">
        <f>IFERROR(INDEX(StockInData[Expiry],MATCH(ProductMaster[[#This Row],[Product ID]],StockInData[Product ID],0)),"")</f>
        <v/>
      </c>
      <c r="H1762" s="47"/>
      <c r="I1762" s="61">
        <f>SUMIFS(StockInData[Quantity],StockInData[Product ID],ProductMaster!$B1762)-SUMIFS(StockOutData[Quantity],StockOutData[Product ID],ProductMaster!$B1762)</f>
        <v>0</v>
      </c>
      <c r="J1762" s="63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3" t="s">
        <v>3573</v>
      </c>
      <c r="C1763" s="85" t="s">
        <v>3574</v>
      </c>
      <c r="D1763" s="47"/>
      <c r="E1763" s="47"/>
      <c r="F1763" s="48"/>
      <c r="G1763" s="62" t="str">
        <f>IFERROR(INDEX(StockInData[Expiry],MATCH(ProductMaster[[#This Row],[Product ID]],StockInData[Product ID],0)),"")</f>
        <v/>
      </c>
      <c r="H1763" s="47"/>
      <c r="I1763" s="61">
        <f>SUMIFS(StockInData[Quantity],StockInData[Product ID],ProductMaster!$B1763)-SUMIFS(StockOutData[Quantity],StockOutData[Product ID],ProductMaster!$B1763)</f>
        <v>0</v>
      </c>
      <c r="J1763" s="63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82">
        <v>1763</v>
      </c>
      <c r="B1764" s="83" t="s">
        <v>3575</v>
      </c>
      <c r="C1764" s="85" t="s">
        <v>3576</v>
      </c>
      <c r="D1764" s="47"/>
      <c r="E1764" s="47"/>
      <c r="F1764" s="48"/>
      <c r="G1764" s="62" t="str">
        <f>IFERROR(INDEX(StockInData[Expiry],MATCH(ProductMaster[[#This Row],[Product ID]],StockInData[Product ID],0)),"")</f>
        <v/>
      </c>
      <c r="H1764" s="47"/>
      <c r="I1764" s="61">
        <f>SUMIFS(StockInData[Quantity],StockInData[Product ID],ProductMaster!$B1764)-SUMIFS(StockOutData[Quantity],StockOutData[Product ID],ProductMaster!$B1764)</f>
        <v>0</v>
      </c>
      <c r="J1764" s="63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3" t="s">
        <v>3577</v>
      </c>
      <c r="C1765" s="85" t="s">
        <v>3578</v>
      </c>
      <c r="D1765" s="47"/>
      <c r="E1765" s="47"/>
      <c r="F1765" s="48"/>
      <c r="G1765" s="62" t="str">
        <f>IFERROR(INDEX(StockInData[Expiry],MATCH(ProductMaster[[#This Row],[Product ID]],StockInData[Product ID],0)),"")</f>
        <v/>
      </c>
      <c r="H1765" s="47"/>
      <c r="I1765" s="61">
        <f>SUMIFS(StockInData[Quantity],StockInData[Product ID],ProductMaster!$B1765)-SUMIFS(StockOutData[Quantity],StockOutData[Product ID],ProductMaster!$B1765)</f>
        <v>0</v>
      </c>
      <c r="J1765" s="63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82">
        <v>1765</v>
      </c>
      <c r="B1766" s="83" t="s">
        <v>3579</v>
      </c>
      <c r="C1766" s="85" t="s">
        <v>3580</v>
      </c>
      <c r="D1766" s="47"/>
      <c r="E1766" s="47"/>
      <c r="F1766" s="48"/>
      <c r="G1766" s="62" t="str">
        <f>IFERROR(INDEX(StockInData[Expiry],MATCH(ProductMaster[[#This Row],[Product ID]],StockInData[Product ID],0)),"")</f>
        <v/>
      </c>
      <c r="H1766" s="47"/>
      <c r="I1766" s="61">
        <f>SUMIFS(StockInData[Quantity],StockInData[Product ID],ProductMaster!$B1766)-SUMIFS(StockOutData[Quantity],StockOutData[Product ID],ProductMaster!$B1766)</f>
        <v>0</v>
      </c>
      <c r="J1766" s="63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3" t="s">
        <v>3581</v>
      </c>
      <c r="C1767" s="85" t="s">
        <v>3582</v>
      </c>
      <c r="D1767" s="47"/>
      <c r="E1767" s="47"/>
      <c r="F1767" s="48"/>
      <c r="G1767" s="62" t="str">
        <f>IFERROR(INDEX(StockInData[Expiry],MATCH(ProductMaster[[#This Row],[Product ID]],StockInData[Product ID],0)),"")</f>
        <v/>
      </c>
      <c r="H1767" s="47"/>
      <c r="I1767" s="61">
        <f>SUMIFS(StockInData[Quantity],StockInData[Product ID],ProductMaster!$B1767)-SUMIFS(StockOutData[Quantity],StockOutData[Product ID],ProductMaster!$B1767)</f>
        <v>0</v>
      </c>
      <c r="J1767" s="63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82">
        <v>1767</v>
      </c>
      <c r="B1768" s="83" t="s">
        <v>3583</v>
      </c>
      <c r="C1768" s="85" t="s">
        <v>3584</v>
      </c>
      <c r="D1768" s="47"/>
      <c r="E1768" s="47"/>
      <c r="F1768" s="48"/>
      <c r="G1768" s="62" t="str">
        <f>IFERROR(INDEX(StockInData[Expiry],MATCH(ProductMaster[[#This Row],[Product ID]],StockInData[Product ID],0)),"")</f>
        <v/>
      </c>
      <c r="H1768" s="47"/>
      <c r="I1768" s="61">
        <f>SUMIFS(StockInData[Quantity],StockInData[Product ID],ProductMaster!$B1768)-SUMIFS(StockOutData[Quantity],StockOutData[Product ID],ProductMaster!$B1768)</f>
        <v>0</v>
      </c>
      <c r="J1768" s="63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3" t="s">
        <v>3585</v>
      </c>
      <c r="C1769" s="85" t="s">
        <v>3586</v>
      </c>
      <c r="D1769" s="47"/>
      <c r="E1769" s="47"/>
      <c r="F1769" s="48"/>
      <c r="G1769" s="62" t="str">
        <f>IFERROR(INDEX(StockInData[Expiry],MATCH(ProductMaster[[#This Row],[Product ID]],StockInData[Product ID],0)),"")</f>
        <v/>
      </c>
      <c r="H1769" s="47"/>
      <c r="I1769" s="61">
        <f>SUMIFS(StockInData[Quantity],StockInData[Product ID],ProductMaster!$B1769)-SUMIFS(StockOutData[Quantity],StockOutData[Product ID],ProductMaster!$B1769)</f>
        <v>0</v>
      </c>
      <c r="J1769" s="63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82">
        <v>1769</v>
      </c>
      <c r="B1770" s="83" t="s">
        <v>3587</v>
      </c>
      <c r="C1770" s="85" t="s">
        <v>3588</v>
      </c>
      <c r="D1770" s="47"/>
      <c r="E1770" s="47"/>
      <c r="F1770" s="48"/>
      <c r="G1770" s="62" t="str">
        <f>IFERROR(INDEX(StockInData[Expiry],MATCH(ProductMaster[[#This Row],[Product ID]],StockInData[Product ID],0)),"")</f>
        <v/>
      </c>
      <c r="H1770" s="47"/>
      <c r="I1770" s="61">
        <f>SUMIFS(StockInData[Quantity],StockInData[Product ID],ProductMaster!$B1770)-SUMIFS(StockOutData[Quantity],StockOutData[Product ID],ProductMaster!$B1770)</f>
        <v>0</v>
      </c>
      <c r="J1770" s="63">
        <f>SUMIFS(StockInData[Value],StockInData[Product ID],ProductMaster!$B1770)-SUMIFS(StockOutData[Value],StockOutData[Product ID],ProductMaster!$B1770)</f>
        <v>0</v>
      </c>
    </row>
    <row r="1771" spans="1:10" hidden="1" x14ac:dyDescent="0.25">
      <c r="A1771" s="60">
        <v>1770</v>
      </c>
      <c r="B1771" s="83" t="s">
        <v>3589</v>
      </c>
      <c r="C1771" s="85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82">
        <v>1771</v>
      </c>
      <c r="B1772" s="83" t="s">
        <v>3591</v>
      </c>
      <c r="C1772" s="85" t="s">
        <v>3592</v>
      </c>
      <c r="D1772" s="47"/>
      <c r="E1772" s="47"/>
      <c r="F1772" s="48"/>
      <c r="G1772" s="62" t="str">
        <f>IFERROR(INDEX(StockInData[Expiry],MATCH(ProductMaster[[#This Row],[Product ID]],StockInData[Product ID],0)),"")</f>
        <v/>
      </c>
      <c r="H1772" s="47"/>
      <c r="I1772" s="61">
        <f>SUMIFS(StockInData[Quantity],StockInData[Product ID],ProductMaster!$B1772)-SUMIFS(StockOutData[Quantity],StockOutData[Product ID],ProductMaster!$B1772)</f>
        <v>0</v>
      </c>
      <c r="J1772" s="63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3" t="s">
        <v>3593</v>
      </c>
      <c r="C1773" s="85" t="s">
        <v>3594</v>
      </c>
      <c r="D1773" s="47"/>
      <c r="E1773" s="47"/>
      <c r="F1773" s="48"/>
      <c r="G1773" s="62" t="str">
        <f>IFERROR(INDEX(StockInData[Expiry],MATCH(ProductMaster[[#This Row],[Product ID]],StockInData[Product ID],0)),"")</f>
        <v/>
      </c>
      <c r="H1773" s="47"/>
      <c r="I1773" s="61">
        <f>SUMIFS(StockInData[Quantity],StockInData[Product ID],ProductMaster!$B1773)-SUMIFS(StockOutData[Quantity],StockOutData[Product ID],ProductMaster!$B1773)</f>
        <v>0</v>
      </c>
      <c r="J1773" s="63">
        <f>SUMIFS(StockInData[Value],StockInData[Product ID],ProductMaster!$B1773)-SUMIFS(StockOutData[Value],StockOutData[Product ID],ProductMaster!$B1773)</f>
        <v>0</v>
      </c>
    </row>
    <row r="1774" spans="1:10" hidden="1" x14ac:dyDescent="0.25">
      <c r="A1774" s="82">
        <v>1773</v>
      </c>
      <c r="B1774" s="83" t="s">
        <v>3595</v>
      </c>
      <c r="C1774" s="85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3" t="s">
        <v>3597</v>
      </c>
      <c r="C1775" s="85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2">
        <v>1775</v>
      </c>
      <c r="B1776" s="83" t="s">
        <v>3599</v>
      </c>
      <c r="C1776" s="85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3" t="s">
        <v>3601</v>
      </c>
      <c r="C1777" s="85" t="s">
        <v>3602</v>
      </c>
      <c r="D1777" s="47"/>
      <c r="E1777" s="47"/>
      <c r="F1777" s="48"/>
      <c r="G1777" s="62" t="str">
        <f>IFERROR(INDEX(StockInData[Expiry],MATCH(ProductMaster[[#This Row],[Product ID]],StockInData[Product ID],0)),"")</f>
        <v/>
      </c>
      <c r="H1777" s="47"/>
      <c r="I1777" s="61">
        <f>SUMIFS(StockInData[Quantity],StockInData[Product ID],ProductMaster!$B1777)-SUMIFS(StockOutData[Quantity],StockOutData[Product ID],ProductMaster!$B1777)</f>
        <v>0</v>
      </c>
      <c r="J1777" s="63">
        <f>SUMIFS(StockInData[Value],StockInData[Product ID],ProductMaster!$B1777)-SUMIFS(StockOutData[Value],StockOutData[Product ID],ProductMaster!$B1777)</f>
        <v>0</v>
      </c>
    </row>
    <row r="1778" spans="1:10" hidden="1" x14ac:dyDescent="0.25">
      <c r="A1778" s="82">
        <v>1777</v>
      </c>
      <c r="B1778" s="83" t="s">
        <v>3603</v>
      </c>
      <c r="C1778" s="85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3" t="s">
        <v>3605</v>
      </c>
      <c r="C1779" s="85" t="s">
        <v>3606</v>
      </c>
      <c r="D1779" s="47"/>
      <c r="E1779" s="47"/>
      <c r="F1779" s="48"/>
      <c r="G1779" s="62" t="str">
        <f>IFERROR(INDEX(StockInData[Expiry],MATCH(ProductMaster[[#This Row],[Product ID]],StockInData[Product ID],0)),"")</f>
        <v/>
      </c>
      <c r="H1779" s="47"/>
      <c r="I1779" s="61">
        <f>SUMIFS(StockInData[Quantity],StockInData[Product ID],ProductMaster!$B1779)-SUMIFS(StockOutData[Quantity],StockOutData[Product ID],ProductMaster!$B1779)</f>
        <v>0</v>
      </c>
      <c r="J1779" s="63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82">
        <v>1779</v>
      </c>
      <c r="B1780" s="83" t="s">
        <v>3607</v>
      </c>
      <c r="C1780" s="85" t="s">
        <v>3608</v>
      </c>
      <c r="D1780" s="47"/>
      <c r="E1780" s="47"/>
      <c r="F1780" s="48"/>
      <c r="G1780" s="62" t="str">
        <f>IFERROR(INDEX(StockInData[Expiry],MATCH(ProductMaster[[#This Row],[Product ID]],StockInData[Product ID],0)),"")</f>
        <v/>
      </c>
      <c r="H1780" s="47"/>
      <c r="I1780" s="61">
        <f>SUMIFS(StockInData[Quantity],StockInData[Product ID],ProductMaster!$B1780)-SUMIFS(StockOutData[Quantity],StockOutData[Product ID],ProductMaster!$B1780)</f>
        <v>0</v>
      </c>
      <c r="J1780" s="63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3" t="s">
        <v>3609</v>
      </c>
      <c r="C1781" s="85" t="s">
        <v>3610</v>
      </c>
      <c r="D1781" s="47"/>
      <c r="E1781" s="47"/>
      <c r="F1781" s="48"/>
      <c r="G1781" s="62" t="str">
        <f>IFERROR(INDEX(StockInData[Expiry],MATCH(ProductMaster[[#This Row],[Product ID]],StockInData[Product ID],0)),"")</f>
        <v/>
      </c>
      <c r="H1781" s="47"/>
      <c r="I1781" s="61">
        <f>SUMIFS(StockInData[Quantity],StockInData[Product ID],ProductMaster!$B1781)-SUMIFS(StockOutData[Quantity],StockOutData[Product ID],ProductMaster!$B1781)</f>
        <v>0</v>
      </c>
      <c r="J1781" s="63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82">
        <v>1781</v>
      </c>
      <c r="B1782" s="83" t="s">
        <v>3611</v>
      </c>
      <c r="C1782" s="85" t="s">
        <v>3612</v>
      </c>
      <c r="D1782" s="47"/>
      <c r="E1782" s="47"/>
      <c r="F1782" s="48"/>
      <c r="G1782" s="62" t="str">
        <f>IFERROR(INDEX(StockInData[Expiry],MATCH(ProductMaster[[#This Row],[Product ID]],StockInData[Product ID],0)),"")</f>
        <v/>
      </c>
      <c r="H1782" s="47"/>
      <c r="I1782" s="61">
        <f>SUMIFS(StockInData[Quantity],StockInData[Product ID],ProductMaster!$B1782)-SUMIFS(StockOutData[Quantity],StockOutData[Product ID],ProductMaster!$B1782)</f>
        <v>0</v>
      </c>
      <c r="J1782" s="63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3" t="s">
        <v>3613</v>
      </c>
      <c r="C1783" s="85" t="s">
        <v>3614</v>
      </c>
      <c r="D1783" s="47"/>
      <c r="E1783" s="47"/>
      <c r="F1783" s="48"/>
      <c r="G1783" s="62" t="str">
        <f>IFERROR(INDEX(StockInData[Expiry],MATCH(ProductMaster[[#This Row],[Product ID]],StockInData[Product ID],0)),"")</f>
        <v/>
      </c>
      <c r="H1783" s="47"/>
      <c r="I1783" s="61">
        <f>SUMIFS(StockInData[Quantity],StockInData[Product ID],ProductMaster!$B1783)-SUMIFS(StockOutData[Quantity],StockOutData[Product ID],ProductMaster!$B1783)</f>
        <v>0</v>
      </c>
      <c r="J1783" s="63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82">
        <v>1783</v>
      </c>
      <c r="B1784" s="83" t="s">
        <v>3615</v>
      </c>
      <c r="C1784" s="85" t="s">
        <v>3616</v>
      </c>
      <c r="D1784" s="47"/>
      <c r="E1784" s="47"/>
      <c r="F1784" s="48"/>
      <c r="G1784" s="62" t="str">
        <f>IFERROR(INDEX(StockInData[Expiry],MATCH(ProductMaster[[#This Row],[Product ID]],StockInData[Product ID],0)),"")</f>
        <v/>
      </c>
      <c r="H1784" s="47"/>
      <c r="I1784" s="61">
        <f>SUMIFS(StockInData[Quantity],StockInData[Product ID],ProductMaster!$B1784)-SUMIFS(StockOutData[Quantity],StockOutData[Product ID],ProductMaster!$B1784)</f>
        <v>0</v>
      </c>
      <c r="J1784" s="63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3" t="s">
        <v>3617</v>
      </c>
      <c r="C1785" s="85" t="s">
        <v>3618</v>
      </c>
      <c r="D1785" s="47"/>
      <c r="E1785" s="47"/>
      <c r="F1785" s="48"/>
      <c r="G1785" s="62" t="str">
        <f>IFERROR(INDEX(StockInData[Expiry],MATCH(ProductMaster[[#This Row],[Product ID]],StockInData[Product ID],0)),"")</f>
        <v/>
      </c>
      <c r="H1785" s="47"/>
      <c r="I1785" s="61">
        <f>SUMIFS(StockInData[Quantity],StockInData[Product ID],ProductMaster!$B1785)-SUMIFS(StockOutData[Quantity],StockOutData[Product ID],ProductMaster!$B1785)</f>
        <v>0</v>
      </c>
      <c r="J1785" s="63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82">
        <v>1785</v>
      </c>
      <c r="B1786" s="83" t="s">
        <v>3619</v>
      </c>
      <c r="C1786" s="85" t="s">
        <v>3620</v>
      </c>
      <c r="D1786" s="47"/>
      <c r="E1786" s="47"/>
      <c r="F1786" s="48"/>
      <c r="G1786" s="62" t="str">
        <f>IFERROR(INDEX(StockInData[Expiry],MATCH(ProductMaster[[#This Row],[Product ID]],StockInData[Product ID],0)),"")</f>
        <v/>
      </c>
      <c r="H1786" s="47"/>
      <c r="I1786" s="61">
        <f>SUMIFS(StockInData[Quantity],StockInData[Product ID],ProductMaster!$B1786)-SUMIFS(StockOutData[Quantity],StockOutData[Product ID],ProductMaster!$B1786)</f>
        <v>0</v>
      </c>
      <c r="J1786" s="63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3" t="s">
        <v>3621</v>
      </c>
      <c r="C1787" s="85" t="s">
        <v>3622</v>
      </c>
      <c r="D1787" s="47"/>
      <c r="E1787" s="47"/>
      <c r="F1787" s="48"/>
      <c r="G1787" s="62" t="str">
        <f>IFERROR(INDEX(StockInData[Expiry],MATCH(ProductMaster[[#This Row],[Product ID]],StockInData[Product ID],0)),"")</f>
        <v/>
      </c>
      <c r="H1787" s="47"/>
      <c r="I1787" s="61">
        <f>SUMIFS(StockInData[Quantity],StockInData[Product ID],ProductMaster!$B1787)-SUMIFS(StockOutData[Quantity],StockOutData[Product ID],ProductMaster!$B1787)</f>
        <v>0</v>
      </c>
      <c r="J1787" s="63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82">
        <v>1787</v>
      </c>
      <c r="B1788" s="83" t="s">
        <v>3623</v>
      </c>
      <c r="C1788" s="85" t="s">
        <v>3624</v>
      </c>
      <c r="D1788" s="47"/>
      <c r="E1788" s="47"/>
      <c r="F1788" s="48"/>
      <c r="G1788" s="62" t="str">
        <f>IFERROR(INDEX(StockInData[Expiry],MATCH(ProductMaster[[#This Row],[Product ID]],StockInData[Product ID],0)),"")</f>
        <v/>
      </c>
      <c r="H1788" s="47"/>
      <c r="I1788" s="61">
        <f>SUMIFS(StockInData[Quantity],StockInData[Product ID],ProductMaster!$B1788)-SUMIFS(StockOutData[Quantity],StockOutData[Product ID],ProductMaster!$B1788)</f>
        <v>0</v>
      </c>
      <c r="J1788" s="63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3" t="s">
        <v>3625</v>
      </c>
      <c r="C1789" s="85" t="s">
        <v>3626</v>
      </c>
      <c r="D1789" s="47"/>
      <c r="E1789" s="47"/>
      <c r="F1789" s="48"/>
      <c r="G1789" s="62" t="str">
        <f>IFERROR(INDEX(StockInData[Expiry],MATCH(ProductMaster[[#This Row],[Product ID]],StockInData[Product ID],0)),"")</f>
        <v/>
      </c>
      <c r="H1789" s="47"/>
      <c r="I1789" s="61">
        <f>SUMIFS(StockInData[Quantity],StockInData[Product ID],ProductMaster!$B1789)-SUMIFS(StockOutData[Quantity],StockOutData[Product ID],ProductMaster!$B1789)</f>
        <v>0</v>
      </c>
      <c r="J1789" s="63">
        <f>SUMIFS(StockInData[Value],StockInData[Product ID],ProductMaster!$B1789)-SUMIFS(StockOutData[Value],StockOutData[Product ID],ProductMaster!$B1789)</f>
        <v>0</v>
      </c>
    </row>
    <row r="1790" spans="1:10" hidden="1" x14ac:dyDescent="0.25">
      <c r="A1790" s="82">
        <v>1789</v>
      </c>
      <c r="B1790" s="83" t="s">
        <v>3627</v>
      </c>
      <c r="C1790" s="85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3" t="s">
        <v>3629</v>
      </c>
      <c r="C1791" s="85" t="s">
        <v>3630</v>
      </c>
      <c r="D1791" s="47"/>
      <c r="E1791" s="47"/>
      <c r="F1791" s="48"/>
      <c r="G1791" s="62" t="str">
        <f>IFERROR(INDEX(StockInData[Expiry],MATCH(ProductMaster[[#This Row],[Product ID]],StockInData[Product ID],0)),"")</f>
        <v/>
      </c>
      <c r="H1791" s="47"/>
      <c r="I1791" s="61">
        <f>SUMIFS(StockInData[Quantity],StockInData[Product ID],ProductMaster!$B1791)-SUMIFS(StockOutData[Quantity],StockOutData[Product ID],ProductMaster!$B1791)</f>
        <v>0</v>
      </c>
      <c r="J1791" s="63">
        <f>SUMIFS(StockInData[Value],StockInData[Product ID],ProductMaster!$B1791)-SUMIFS(StockOutData[Value],StockOutData[Product ID],ProductMaster!$B1791)</f>
        <v>0</v>
      </c>
    </row>
    <row r="1792" spans="1:10" hidden="1" x14ac:dyDescent="0.25">
      <c r="A1792" s="82">
        <v>1791</v>
      </c>
      <c r="B1792" s="83" t="s">
        <v>3631</v>
      </c>
      <c r="C1792" s="85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3" t="s">
        <v>3633</v>
      </c>
      <c r="C1793" s="85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2">
        <v>1793</v>
      </c>
      <c r="B1794" s="83" t="s">
        <v>3635</v>
      </c>
      <c r="C1794" s="85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3" t="s">
        <v>3637</v>
      </c>
      <c r="C1795" s="85" t="s">
        <v>3638</v>
      </c>
      <c r="D1795" s="47"/>
      <c r="E1795" s="47"/>
      <c r="F1795" s="48"/>
      <c r="G1795" s="62" t="str">
        <f>IFERROR(INDEX(StockInData[Expiry],MATCH(ProductMaster[[#This Row],[Product ID]],StockInData[Product ID],0)),"")</f>
        <v/>
      </c>
      <c r="H1795" s="47"/>
      <c r="I1795" s="61">
        <f>SUMIFS(StockInData[Quantity],StockInData[Product ID],ProductMaster!$B1795)-SUMIFS(StockOutData[Quantity],StockOutData[Product ID],ProductMaster!$B1795)</f>
        <v>0</v>
      </c>
      <c r="J1795" s="63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82">
        <v>1795</v>
      </c>
      <c r="B1796" s="83" t="s">
        <v>3639</v>
      </c>
      <c r="C1796" s="85" t="s">
        <v>3640</v>
      </c>
      <c r="D1796" s="47"/>
      <c r="E1796" s="47"/>
      <c r="F1796" s="48"/>
      <c r="G1796" s="62" t="str">
        <f>IFERROR(INDEX(StockInData[Expiry],MATCH(ProductMaster[[#This Row],[Product ID]],StockInData[Product ID],0)),"")</f>
        <v/>
      </c>
      <c r="H1796" s="47"/>
      <c r="I1796" s="61">
        <f>SUMIFS(StockInData[Quantity],StockInData[Product ID],ProductMaster!$B1796)-SUMIFS(StockOutData[Quantity],StockOutData[Product ID],ProductMaster!$B1796)</f>
        <v>0</v>
      </c>
      <c r="J1796" s="63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3" t="s">
        <v>3641</v>
      </c>
      <c r="C1797" s="85" t="s">
        <v>3642</v>
      </c>
      <c r="D1797" s="47"/>
      <c r="E1797" s="47"/>
      <c r="F1797" s="48"/>
      <c r="G1797" s="62" t="str">
        <f>IFERROR(INDEX(StockInData[Expiry],MATCH(ProductMaster[[#This Row],[Product ID]],StockInData[Product ID],0)),"")</f>
        <v/>
      </c>
      <c r="H1797" s="47"/>
      <c r="I1797" s="61">
        <f>SUMIFS(StockInData[Quantity],StockInData[Product ID],ProductMaster!$B1797)-SUMIFS(StockOutData[Quantity],StockOutData[Product ID],ProductMaster!$B1797)</f>
        <v>0</v>
      </c>
      <c r="J1797" s="63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82">
        <v>1797</v>
      </c>
      <c r="B1798" s="83" t="s">
        <v>3643</v>
      </c>
      <c r="C1798" s="85" t="s">
        <v>3644</v>
      </c>
      <c r="D1798" s="47"/>
      <c r="E1798" s="47"/>
      <c r="F1798" s="48"/>
      <c r="G1798" s="62" t="str">
        <f>IFERROR(INDEX(StockInData[Expiry],MATCH(ProductMaster[[#This Row],[Product ID]],StockInData[Product ID],0)),"")</f>
        <v/>
      </c>
      <c r="H1798" s="47"/>
      <c r="I1798" s="61">
        <f>SUMIFS(StockInData[Quantity],StockInData[Product ID],ProductMaster!$B1798)-SUMIFS(StockOutData[Quantity],StockOutData[Product ID],ProductMaster!$B1798)</f>
        <v>0</v>
      </c>
      <c r="J1798" s="63">
        <f>SUMIFS(StockInData[Value],StockInData[Product ID],ProductMaster!$B1798)-SUMIFS(StockOutData[Value],StockOutData[Product ID],ProductMaster!$B1798)</f>
        <v>0</v>
      </c>
    </row>
    <row r="1799" spans="1:10" hidden="1" x14ac:dyDescent="0.25">
      <c r="A1799" s="60">
        <v>1798</v>
      </c>
      <c r="B1799" s="83" t="s">
        <v>3645</v>
      </c>
      <c r="C1799" s="85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82">
        <v>1799</v>
      </c>
      <c r="B1800" s="83" t="s">
        <v>3647</v>
      </c>
      <c r="C1800" s="85" t="s">
        <v>3648</v>
      </c>
      <c r="D1800" s="47"/>
      <c r="E1800" s="47"/>
      <c r="F1800" s="48"/>
      <c r="G1800" s="62" t="str">
        <f>IFERROR(INDEX(StockInData[Expiry],MATCH(ProductMaster[[#This Row],[Product ID]],StockInData[Product ID],0)),"")</f>
        <v/>
      </c>
      <c r="H1800" s="47"/>
      <c r="I1800" s="61">
        <f>SUMIFS(StockInData[Quantity],StockInData[Product ID],ProductMaster!$B1800)-SUMIFS(StockOutData[Quantity],StockOutData[Product ID],ProductMaster!$B1800)</f>
        <v>0</v>
      </c>
      <c r="J1800" s="63">
        <f>SUMIFS(StockInData[Value],StockInData[Product ID],ProductMaster!$B1800)-SUMIFS(StockOutData[Value],StockOutData[Product ID],ProductMaster!$B1800)</f>
        <v>0</v>
      </c>
    </row>
    <row r="1801" spans="1:10" hidden="1" x14ac:dyDescent="0.25">
      <c r="A1801" s="60">
        <v>1800</v>
      </c>
      <c r="B1801" s="83" t="s">
        <v>3649</v>
      </c>
      <c r="C1801" s="85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2">
        <v>1801</v>
      </c>
      <c r="B1802" s="83" t="s">
        <v>3651</v>
      </c>
      <c r="C1802" s="85" t="s">
        <v>3652</v>
      </c>
      <c r="D1802" s="47"/>
      <c r="E1802" s="47"/>
      <c r="F1802" s="48"/>
      <c r="G1802" s="62" t="str">
        <f>IFERROR(INDEX(StockInData[Expiry],MATCH(ProductMaster[[#This Row],[Product ID]],StockInData[Product ID],0)),"")</f>
        <v/>
      </c>
      <c r="H1802" s="47"/>
      <c r="I1802" s="61">
        <f>SUMIFS(StockInData[Quantity],StockInData[Product ID],ProductMaster!$B1802)-SUMIFS(StockOutData[Quantity],StockOutData[Product ID],ProductMaster!$B1802)</f>
        <v>0</v>
      </c>
      <c r="J1802" s="63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3" t="s">
        <v>3653</v>
      </c>
      <c r="C1803" s="85" t="s">
        <v>3654</v>
      </c>
      <c r="D1803" s="47"/>
      <c r="E1803" s="47"/>
      <c r="F1803" s="48"/>
      <c r="G1803" s="62" t="str">
        <f>IFERROR(INDEX(StockInData[Expiry],MATCH(ProductMaster[[#This Row],[Product ID]],StockInData[Product ID],0)),"")</f>
        <v/>
      </c>
      <c r="H1803" s="47"/>
      <c r="I1803" s="61">
        <f>SUMIFS(StockInData[Quantity],StockInData[Product ID],ProductMaster!$B1803)-SUMIFS(StockOutData[Quantity],StockOutData[Product ID],ProductMaster!$B1803)</f>
        <v>0</v>
      </c>
      <c r="J1803" s="63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82">
        <v>1803</v>
      </c>
      <c r="B1804" s="83" t="s">
        <v>3655</v>
      </c>
      <c r="C1804" s="85" t="s">
        <v>3656</v>
      </c>
      <c r="D1804" s="47"/>
      <c r="E1804" s="47"/>
      <c r="F1804" s="48"/>
      <c r="G1804" s="62" t="str">
        <f>IFERROR(INDEX(StockInData[Expiry],MATCH(ProductMaster[[#This Row],[Product ID]],StockInData[Product ID],0)),"")</f>
        <v/>
      </c>
      <c r="H1804" s="47"/>
      <c r="I1804" s="61">
        <f>SUMIFS(StockInData[Quantity],StockInData[Product ID],ProductMaster!$B1804)-SUMIFS(StockOutData[Quantity],StockOutData[Product ID],ProductMaster!$B1804)</f>
        <v>0</v>
      </c>
      <c r="J1804" s="63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3" t="s">
        <v>3657</v>
      </c>
      <c r="C1805" s="85" t="s">
        <v>3658</v>
      </c>
      <c r="D1805" s="47"/>
      <c r="E1805" s="47"/>
      <c r="F1805" s="48"/>
      <c r="G1805" s="62" t="str">
        <f>IFERROR(INDEX(StockInData[Expiry],MATCH(ProductMaster[[#This Row],[Product ID]],StockInData[Product ID],0)),"")</f>
        <v/>
      </c>
      <c r="H1805" s="47"/>
      <c r="I1805" s="61">
        <f>SUMIFS(StockInData[Quantity],StockInData[Product ID],ProductMaster!$B1805)-SUMIFS(StockOutData[Quantity],StockOutData[Product ID],ProductMaster!$B1805)</f>
        <v>0</v>
      </c>
      <c r="J1805" s="63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82">
        <v>1805</v>
      </c>
      <c r="B1806" s="83" t="s">
        <v>3659</v>
      </c>
      <c r="C1806" s="85" t="s">
        <v>3660</v>
      </c>
      <c r="D1806" s="47"/>
      <c r="E1806" s="47"/>
      <c r="F1806" s="48"/>
      <c r="G1806" s="62" t="str">
        <f>IFERROR(INDEX(StockInData[Expiry],MATCH(ProductMaster[[#This Row],[Product ID]],StockInData[Product ID],0)),"")</f>
        <v/>
      </c>
      <c r="H1806" s="47"/>
      <c r="I1806" s="61">
        <f>SUMIFS(StockInData[Quantity],StockInData[Product ID],ProductMaster!$B1806)-SUMIFS(StockOutData[Quantity],StockOutData[Product ID],ProductMaster!$B1806)</f>
        <v>0</v>
      </c>
      <c r="J1806" s="63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0">
        <v>1806</v>
      </c>
      <c r="B1807" s="83" t="s">
        <v>3661</v>
      </c>
      <c r="C1807" s="85" t="s">
        <v>3662</v>
      </c>
      <c r="D1807" s="47"/>
      <c r="E1807" s="47"/>
      <c r="F1807" s="48"/>
      <c r="G1807" s="62" t="str">
        <f>IFERROR(INDEX(StockInData[Expiry],MATCH(ProductMaster[[#This Row],[Product ID]],StockInData[Product ID],0)),"")</f>
        <v/>
      </c>
      <c r="H1807" s="47"/>
      <c r="I1807" s="61">
        <f>SUMIFS(StockInData[Quantity],StockInData[Product ID],ProductMaster!$B1807)-SUMIFS(StockOutData[Quantity],StockOutData[Product ID],ProductMaster!$B1807)</f>
        <v>0</v>
      </c>
      <c r="J1807" s="63">
        <f>SUMIFS(StockInData[Value],StockInData[Product ID],ProductMaster!$B1807)-SUMIFS(StockOutData[Value],StockOutData[Product ID],ProductMaster!$B1807)</f>
        <v>0</v>
      </c>
    </row>
    <row r="1808" spans="1:10" hidden="1" x14ac:dyDescent="0.25">
      <c r="A1808" s="82">
        <v>1807</v>
      </c>
      <c r="B1808" s="83" t="s">
        <v>3663</v>
      </c>
      <c r="C1808" s="85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3" t="s">
        <v>3665</v>
      </c>
      <c r="C1809" s="85" t="s">
        <v>3666</v>
      </c>
      <c r="D1809" s="47"/>
      <c r="E1809" s="47"/>
      <c r="F1809" s="48"/>
      <c r="G1809" s="62" t="str">
        <f>IFERROR(INDEX(StockInData[Expiry],MATCH(ProductMaster[[#This Row],[Product ID]],StockInData[Product ID],0)),"")</f>
        <v/>
      </c>
      <c r="H1809" s="47"/>
      <c r="I1809" s="61">
        <f>SUMIFS(StockInData[Quantity],StockInData[Product ID],ProductMaster!$B1809)-SUMIFS(StockOutData[Quantity],StockOutData[Product ID],ProductMaster!$B1809)</f>
        <v>0</v>
      </c>
      <c r="J1809" s="63">
        <f>SUMIFS(StockInData[Value],StockInData[Product ID],ProductMaster!$B1809)-SUMIFS(StockOutData[Value],StockOutData[Product ID],ProductMaster!$B1809)</f>
        <v>0</v>
      </c>
    </row>
    <row r="1810" spans="1:10" hidden="1" x14ac:dyDescent="0.25">
      <c r="A1810" s="82">
        <v>1809</v>
      </c>
      <c r="B1810" s="83" t="s">
        <v>3667</v>
      </c>
      <c r="C1810" s="85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3" t="s">
        <v>3669</v>
      </c>
      <c r="C1811" s="85" t="s">
        <v>3670</v>
      </c>
      <c r="D1811" s="47"/>
      <c r="E1811" s="47"/>
      <c r="F1811" s="48"/>
      <c r="G1811" s="62" t="str">
        <f>IFERROR(INDEX(StockInData[Expiry],MATCH(ProductMaster[[#This Row],[Product ID]],StockInData[Product ID],0)),"")</f>
        <v/>
      </c>
      <c r="H1811" s="47"/>
      <c r="I1811" s="61">
        <f>SUMIFS(StockInData[Quantity],StockInData[Product ID],ProductMaster!$B1811)-SUMIFS(StockOutData[Quantity],StockOutData[Product ID],ProductMaster!$B1811)</f>
        <v>0</v>
      </c>
      <c r="J1811" s="63">
        <f>SUMIFS(StockInData[Value],StockInData[Product ID],ProductMaster!$B1811)-SUMIFS(StockOutData[Value],StockOutData[Product ID],ProductMaster!$B1811)</f>
        <v>0</v>
      </c>
    </row>
    <row r="1812" spans="1:10" hidden="1" x14ac:dyDescent="0.25">
      <c r="A1812" s="82">
        <v>1811</v>
      </c>
      <c r="B1812" s="83" t="s">
        <v>3671</v>
      </c>
      <c r="C1812" s="85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3" t="s">
        <v>3673</v>
      </c>
      <c r="C1813" s="85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2">
        <v>1813</v>
      </c>
      <c r="B1814" s="83" t="s">
        <v>3675</v>
      </c>
      <c r="C1814" s="85" t="s">
        <v>3676</v>
      </c>
      <c r="D1814" s="47"/>
      <c r="E1814" s="47"/>
      <c r="F1814" s="48"/>
      <c r="G1814" s="62" t="str">
        <f>IFERROR(INDEX(StockInData[Expiry],MATCH(ProductMaster[[#This Row],[Product ID]],StockInData[Product ID],0)),"")</f>
        <v/>
      </c>
      <c r="H1814" s="47"/>
      <c r="I1814" s="61">
        <f>SUMIFS(StockInData[Quantity],StockInData[Product ID],ProductMaster!$B1814)-SUMIFS(StockOutData[Quantity],StockOutData[Product ID],ProductMaster!$B1814)</f>
        <v>0</v>
      </c>
      <c r="J1814" s="63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3" t="s">
        <v>3677</v>
      </c>
      <c r="C1815" s="85" t="s">
        <v>3678</v>
      </c>
      <c r="D1815" s="47"/>
      <c r="E1815" s="47"/>
      <c r="F1815" s="48"/>
      <c r="G1815" s="62" t="str">
        <f>IFERROR(INDEX(StockInData[Expiry],MATCH(ProductMaster[[#This Row],[Product ID]],StockInData[Product ID],0)),"")</f>
        <v/>
      </c>
      <c r="H1815" s="47"/>
      <c r="I1815" s="61">
        <f>SUMIFS(StockInData[Quantity],StockInData[Product ID],ProductMaster!$B1815)-SUMIFS(StockOutData[Quantity],StockOutData[Product ID],ProductMaster!$B1815)</f>
        <v>0</v>
      </c>
      <c r="J1815" s="63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82">
        <v>1815</v>
      </c>
      <c r="B1816" s="83" t="s">
        <v>3679</v>
      </c>
      <c r="C1816" s="85" t="s">
        <v>3680</v>
      </c>
      <c r="D1816" s="47"/>
      <c r="E1816" s="47"/>
      <c r="F1816" s="48"/>
      <c r="G1816" s="62" t="str">
        <f>IFERROR(INDEX(StockInData[Expiry],MATCH(ProductMaster[[#This Row],[Product ID]],StockInData[Product ID],0)),"")</f>
        <v/>
      </c>
      <c r="H1816" s="47"/>
      <c r="I1816" s="61">
        <f>SUMIFS(StockInData[Quantity],StockInData[Product ID],ProductMaster!$B1816)-SUMIFS(StockOutData[Quantity],StockOutData[Product ID],ProductMaster!$B1816)</f>
        <v>0</v>
      </c>
      <c r="J1816" s="63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3" t="s">
        <v>3681</v>
      </c>
      <c r="C1817" s="85" t="s">
        <v>3682</v>
      </c>
      <c r="D1817" s="47"/>
      <c r="E1817" s="47"/>
      <c r="F1817" s="48"/>
      <c r="G1817" s="62" t="str">
        <f>IFERROR(INDEX(StockInData[Expiry],MATCH(ProductMaster[[#This Row],[Product ID]],StockInData[Product ID],0)),"")</f>
        <v/>
      </c>
      <c r="H1817" s="47"/>
      <c r="I1817" s="61">
        <f>SUMIFS(StockInData[Quantity],StockInData[Product ID],ProductMaster!$B1817)-SUMIFS(StockOutData[Quantity],StockOutData[Product ID],ProductMaster!$B1817)</f>
        <v>0</v>
      </c>
      <c r="J1817" s="63">
        <f>SUMIFS(StockInData[Value],StockInData[Product ID],ProductMaster!$B1817)-SUMIFS(StockOutData[Value],StockOutData[Product ID],ProductMaster!$B1817)</f>
        <v>0</v>
      </c>
    </row>
    <row r="1818" spans="1:10" hidden="1" x14ac:dyDescent="0.25">
      <c r="A1818" s="82">
        <v>1817</v>
      </c>
      <c r="B1818" s="83" t="s">
        <v>3683</v>
      </c>
      <c r="C1818" s="85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3" t="s">
        <v>3685</v>
      </c>
      <c r="C1819" s="85" t="s">
        <v>3686</v>
      </c>
      <c r="D1819" s="47"/>
      <c r="E1819" s="47"/>
      <c r="F1819" s="48"/>
      <c r="G1819" s="62" t="str">
        <f>IFERROR(INDEX(StockInData[Expiry],MATCH(ProductMaster[[#This Row],[Product ID]],StockInData[Product ID],0)),"")</f>
        <v/>
      </c>
      <c r="H1819" s="47"/>
      <c r="I1819" s="61">
        <f>SUMIFS(StockInData[Quantity],StockInData[Product ID],ProductMaster!$B1819)-SUMIFS(StockOutData[Quantity],StockOutData[Product ID],ProductMaster!$B1819)</f>
        <v>0</v>
      </c>
      <c r="J1819" s="63">
        <f>SUMIFS(StockInData[Value],StockInData[Product ID],ProductMaster!$B1819)-SUMIFS(StockOutData[Value],StockOutData[Product ID],ProductMaster!$B1819)</f>
        <v>0</v>
      </c>
    </row>
    <row r="1820" spans="1:10" hidden="1" x14ac:dyDescent="0.25">
      <c r="A1820" s="82">
        <v>1819</v>
      </c>
      <c r="B1820" s="83" t="s">
        <v>3687</v>
      </c>
      <c r="C1820" s="85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3" t="s">
        <v>3689</v>
      </c>
      <c r="C1821" s="85" t="s">
        <v>3690</v>
      </c>
      <c r="D1821" s="47"/>
      <c r="E1821" s="47"/>
      <c r="F1821" s="48"/>
      <c r="G1821" s="62" t="str">
        <f>IFERROR(INDEX(StockInData[Expiry],MATCH(ProductMaster[[#This Row],[Product ID]],StockInData[Product ID],0)),"")</f>
        <v/>
      </c>
      <c r="H1821" s="47"/>
      <c r="I1821" s="61">
        <f>SUMIFS(StockInData[Quantity],StockInData[Product ID],ProductMaster!$B1821)-SUMIFS(StockOutData[Quantity],StockOutData[Product ID],ProductMaster!$B1821)</f>
        <v>0</v>
      </c>
      <c r="J1821" s="63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82">
        <v>1821</v>
      </c>
      <c r="B1822" s="83" t="s">
        <v>3691</v>
      </c>
      <c r="C1822" s="85" t="s">
        <v>3692</v>
      </c>
      <c r="D1822" s="47"/>
      <c r="E1822" s="47"/>
      <c r="F1822" s="48"/>
      <c r="G1822" s="62" t="str">
        <f>IFERROR(INDEX(StockInData[Expiry],MATCH(ProductMaster[[#This Row],[Product ID]],StockInData[Product ID],0)),"")</f>
        <v/>
      </c>
      <c r="H1822" s="47"/>
      <c r="I1822" s="61">
        <f>SUMIFS(StockInData[Quantity],StockInData[Product ID],ProductMaster!$B1822)-SUMIFS(StockOutData[Quantity],StockOutData[Product ID],ProductMaster!$B1822)</f>
        <v>0</v>
      </c>
      <c r="J1822" s="63">
        <f>SUMIFS(StockInData[Value],StockInData[Product ID],ProductMaster!$B1822)-SUMIFS(StockOutData[Value],StockOutData[Product ID],ProductMaster!$B1822)</f>
        <v>0</v>
      </c>
    </row>
    <row r="1823" spans="1:10" hidden="1" x14ac:dyDescent="0.25">
      <c r="A1823" s="60">
        <v>1822</v>
      </c>
      <c r="B1823" s="83" t="s">
        <v>3693</v>
      </c>
      <c r="C1823" s="85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2">
        <v>1823</v>
      </c>
      <c r="B1824" s="83" t="s">
        <v>3695</v>
      </c>
      <c r="C1824" s="85" t="s">
        <v>3696</v>
      </c>
      <c r="D1824" s="47"/>
      <c r="E1824" s="47"/>
      <c r="F1824" s="48"/>
      <c r="G1824" s="62" t="str">
        <f>IFERROR(INDEX(StockInData[Expiry],MATCH(ProductMaster[[#This Row],[Product ID]],StockInData[Product ID],0)),"")</f>
        <v/>
      </c>
      <c r="H1824" s="47"/>
      <c r="I1824" s="61">
        <f>SUMIFS(StockInData[Quantity],StockInData[Product ID],ProductMaster!$B1824)-SUMIFS(StockOutData[Quantity],StockOutData[Product ID],ProductMaster!$B1824)</f>
        <v>0</v>
      </c>
      <c r="J1824" s="63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3" t="s">
        <v>3697</v>
      </c>
      <c r="C1825" s="85" t="s">
        <v>3698</v>
      </c>
      <c r="D1825" s="47"/>
      <c r="E1825" s="47"/>
      <c r="F1825" s="48"/>
      <c r="G1825" s="62" t="str">
        <f>IFERROR(INDEX(StockInData[Expiry],MATCH(ProductMaster[[#This Row],[Product ID]],StockInData[Product ID],0)),"")</f>
        <v/>
      </c>
      <c r="H1825" s="47"/>
      <c r="I1825" s="61">
        <f>SUMIFS(StockInData[Quantity],StockInData[Product ID],ProductMaster!$B1825)-SUMIFS(StockOutData[Quantity],StockOutData[Product ID],ProductMaster!$B1825)</f>
        <v>0</v>
      </c>
      <c r="J1825" s="63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82">
        <v>1825</v>
      </c>
      <c r="B1826" s="83" t="s">
        <v>3699</v>
      </c>
      <c r="C1826" s="85" t="s">
        <v>3700</v>
      </c>
      <c r="D1826" s="47"/>
      <c r="E1826" s="47"/>
      <c r="F1826" s="48"/>
      <c r="G1826" s="62" t="str">
        <f>IFERROR(INDEX(StockInData[Expiry],MATCH(ProductMaster[[#This Row],[Product ID]],StockInData[Product ID],0)),"")</f>
        <v/>
      </c>
      <c r="H1826" s="47"/>
      <c r="I1826" s="61">
        <f>SUMIFS(StockInData[Quantity],StockInData[Product ID],ProductMaster!$B1826)-SUMIFS(StockOutData[Quantity],StockOutData[Product ID],ProductMaster!$B1826)</f>
        <v>0</v>
      </c>
      <c r="J1826" s="63">
        <f>SUMIFS(StockInData[Value],StockInData[Product ID],ProductMaster!$B1826)-SUMIFS(StockOutData[Value],StockOutData[Product ID],ProductMaster!$B1826)</f>
        <v>0</v>
      </c>
    </row>
    <row r="1827" spans="1:10" hidden="1" x14ac:dyDescent="0.25">
      <c r="A1827" s="60">
        <v>1826</v>
      </c>
      <c r="B1827" s="83" t="s">
        <v>3701</v>
      </c>
      <c r="C1827" s="85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2">
        <v>1827</v>
      </c>
      <c r="B1828" s="83" t="s">
        <v>3703</v>
      </c>
      <c r="C1828" s="85" t="s">
        <v>3704</v>
      </c>
      <c r="D1828" s="47"/>
      <c r="E1828" s="47"/>
      <c r="F1828" s="48"/>
      <c r="G1828" s="62" t="str">
        <f>IFERROR(INDEX(StockInData[Expiry],MATCH(ProductMaster[[#This Row],[Product ID]],StockInData[Product ID],0)),"")</f>
        <v/>
      </c>
      <c r="H1828" s="47"/>
      <c r="I1828" s="61">
        <f>SUMIFS(StockInData[Quantity],StockInData[Product ID],ProductMaster!$B1828)-SUMIFS(StockOutData[Quantity],StockOutData[Product ID],ProductMaster!$B1828)</f>
        <v>0</v>
      </c>
      <c r="J1828" s="63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0">
        <v>1828</v>
      </c>
      <c r="B1829" s="83" t="s">
        <v>3705</v>
      </c>
      <c r="C1829" s="85" t="s">
        <v>3706</v>
      </c>
      <c r="D1829" s="47"/>
      <c r="E1829" s="47"/>
      <c r="F1829" s="48"/>
      <c r="G1829" s="62" t="str">
        <f>IFERROR(INDEX(StockInData[Expiry],MATCH(ProductMaster[[#This Row],[Product ID]],StockInData[Product ID],0)),"")</f>
        <v/>
      </c>
      <c r="H1829" s="47"/>
      <c r="I1829" s="61">
        <f>SUMIFS(StockInData[Quantity],StockInData[Product ID],ProductMaster!$B1829)-SUMIFS(StockOutData[Quantity],StockOutData[Product ID],ProductMaster!$B1829)</f>
        <v>0</v>
      </c>
      <c r="J1829" s="63">
        <f>SUMIFS(StockInData[Value],StockInData[Product ID],ProductMaster!$B1829)-SUMIFS(StockOutData[Value],StockOutData[Product ID],ProductMaster!$B1829)</f>
        <v>0</v>
      </c>
    </row>
    <row r="1830" spans="1:10" hidden="1" x14ac:dyDescent="0.25">
      <c r="A1830" s="82">
        <v>1829</v>
      </c>
      <c r="B1830" s="83" t="s">
        <v>3707</v>
      </c>
      <c r="C1830" s="85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3" t="s">
        <v>3709</v>
      </c>
      <c r="C1831" s="85" t="s">
        <v>3710</v>
      </c>
      <c r="D1831" s="47"/>
      <c r="E1831" s="47"/>
      <c r="F1831" s="48"/>
      <c r="G1831" s="62" t="str">
        <f>IFERROR(INDEX(StockInData[Expiry],MATCH(ProductMaster[[#This Row],[Product ID]],StockInData[Product ID],0)),"")</f>
        <v/>
      </c>
      <c r="H1831" s="47"/>
      <c r="I1831" s="61">
        <f>SUMIFS(StockInData[Quantity],StockInData[Product ID],ProductMaster!$B1831)-SUMIFS(StockOutData[Quantity],StockOutData[Product ID],ProductMaster!$B1831)</f>
        <v>0</v>
      </c>
      <c r="J1831" s="63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82">
        <v>1831</v>
      </c>
      <c r="B1832" s="83" t="s">
        <v>3711</v>
      </c>
      <c r="C1832" s="85" t="s">
        <v>3712</v>
      </c>
      <c r="D1832" s="47"/>
      <c r="E1832" s="47"/>
      <c r="F1832" s="48"/>
      <c r="G1832" s="62" t="str">
        <f>IFERROR(INDEX(StockInData[Expiry],MATCH(ProductMaster[[#This Row],[Product ID]],StockInData[Product ID],0)),"")</f>
        <v/>
      </c>
      <c r="H1832" s="47"/>
      <c r="I1832" s="61">
        <f>SUMIFS(StockInData[Quantity],StockInData[Product ID],ProductMaster!$B1832)-SUMIFS(StockOutData[Quantity],StockOutData[Product ID],ProductMaster!$B1832)</f>
        <v>0</v>
      </c>
      <c r="J1832" s="63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3" t="s">
        <v>3713</v>
      </c>
      <c r="C1833" s="85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0</v>
      </c>
      <c r="J1833" s="63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82">
        <v>1833</v>
      </c>
      <c r="B1834" s="83" t="s">
        <v>3715</v>
      </c>
      <c r="C1834" s="85" t="s">
        <v>3716</v>
      </c>
      <c r="D1834" s="47"/>
      <c r="E1834" s="47"/>
      <c r="F1834" s="48"/>
      <c r="G1834" s="62" t="str">
        <f>IFERROR(INDEX(StockInData[Expiry],MATCH(ProductMaster[[#This Row],[Product ID]],StockInData[Product ID],0)),"")</f>
        <v/>
      </c>
      <c r="H1834" s="47"/>
      <c r="I1834" s="61">
        <f>SUMIFS(StockInData[Quantity],StockInData[Product ID],ProductMaster!$B1834)-SUMIFS(StockOutData[Quantity],StockOutData[Product ID],ProductMaster!$B1834)</f>
        <v>0</v>
      </c>
      <c r="J1834" s="63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3" t="s">
        <v>3717</v>
      </c>
      <c r="C1835" s="85" t="s">
        <v>3718</v>
      </c>
      <c r="D1835" s="47"/>
      <c r="E1835" s="47"/>
      <c r="F1835" s="48"/>
      <c r="G1835" s="62" t="str">
        <f>IFERROR(INDEX(StockInData[Expiry],MATCH(ProductMaster[[#This Row],[Product ID]],StockInData[Product ID],0)),"")</f>
        <v/>
      </c>
      <c r="H1835" s="47"/>
      <c r="I1835" s="61">
        <f>SUMIFS(StockInData[Quantity],StockInData[Product ID],ProductMaster!$B1835)-SUMIFS(StockOutData[Quantity],StockOutData[Product ID],ProductMaster!$B1835)</f>
        <v>0</v>
      </c>
      <c r="J1835" s="63">
        <f>SUMIFS(StockInData[Value],StockInData[Product ID],ProductMaster!$B1835)-SUMIFS(StockOutData[Value],StockOutData[Product ID],ProductMaster!$B1835)</f>
        <v>0</v>
      </c>
    </row>
    <row r="1836" spans="1:10" hidden="1" x14ac:dyDescent="0.25">
      <c r="A1836" s="82">
        <v>1835</v>
      </c>
      <c r="B1836" s="83" t="s">
        <v>3719</v>
      </c>
      <c r="C1836" s="85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3" t="s">
        <v>3721</v>
      </c>
      <c r="C1837" s="85" t="s">
        <v>3722</v>
      </c>
      <c r="D1837" s="47"/>
      <c r="E1837" s="47"/>
      <c r="F1837" s="48"/>
      <c r="G1837" s="62" t="str">
        <f>IFERROR(INDEX(StockInData[Expiry],MATCH(ProductMaster[[#This Row],[Product ID]],StockInData[Product ID],0)),"")</f>
        <v/>
      </c>
      <c r="H1837" s="47"/>
      <c r="I1837" s="61">
        <f>SUMIFS(StockInData[Quantity],StockInData[Product ID],ProductMaster!$B1837)-SUMIFS(StockOutData[Quantity],StockOutData[Product ID],ProductMaster!$B1837)</f>
        <v>0</v>
      </c>
      <c r="J1837" s="63">
        <f>SUMIFS(StockInData[Value],StockInData[Product ID],ProductMaster!$B1837)-SUMIFS(StockOutData[Value],StockOutData[Product ID],ProductMaster!$B1837)</f>
        <v>0</v>
      </c>
    </row>
    <row r="1838" spans="1:10" hidden="1" x14ac:dyDescent="0.25">
      <c r="A1838" s="82">
        <v>1837</v>
      </c>
      <c r="B1838" s="83" t="s">
        <v>3723</v>
      </c>
      <c r="C1838" s="85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3" t="s">
        <v>3725</v>
      </c>
      <c r="C1839" s="85" t="s">
        <v>3726</v>
      </c>
      <c r="D1839" s="47"/>
      <c r="E1839" s="47"/>
      <c r="F1839" s="48"/>
      <c r="G1839" s="62" t="str">
        <f>IFERROR(INDEX(StockInData[Expiry],MATCH(ProductMaster[[#This Row],[Product ID]],StockInData[Product ID],0)),"")</f>
        <v/>
      </c>
      <c r="H1839" s="47"/>
      <c r="I1839" s="61">
        <f>SUMIFS(StockInData[Quantity],StockInData[Product ID],ProductMaster!$B1839)-SUMIFS(StockOutData[Quantity],StockOutData[Product ID],ProductMaster!$B1839)</f>
        <v>0</v>
      </c>
      <c r="J1839" s="63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82">
        <v>1839</v>
      </c>
      <c r="B1840" s="83" t="s">
        <v>3727</v>
      </c>
      <c r="C1840" s="85" t="s">
        <v>3728</v>
      </c>
      <c r="D1840" s="47"/>
      <c r="E1840" s="47"/>
      <c r="F1840" s="48"/>
      <c r="G1840" s="62" t="str">
        <f>IFERROR(INDEX(StockInData[Expiry],MATCH(ProductMaster[[#This Row],[Product ID]],StockInData[Product ID],0)),"")</f>
        <v/>
      </c>
      <c r="H1840" s="47"/>
      <c r="I1840" s="61">
        <f>SUMIFS(StockInData[Quantity],StockInData[Product ID],ProductMaster!$B1840)-SUMIFS(StockOutData[Quantity],StockOutData[Product ID],ProductMaster!$B1840)</f>
        <v>0</v>
      </c>
      <c r="J1840" s="63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3" t="s">
        <v>3729</v>
      </c>
      <c r="C1841" s="85" t="s">
        <v>3730</v>
      </c>
      <c r="D1841" s="47"/>
      <c r="E1841" s="47"/>
      <c r="F1841" s="48"/>
      <c r="G1841" s="62" t="str">
        <f>IFERROR(INDEX(StockInData[Expiry],MATCH(ProductMaster[[#This Row],[Product ID]],StockInData[Product ID],0)),"")</f>
        <v/>
      </c>
      <c r="H1841" s="47"/>
      <c r="I1841" s="61">
        <f>SUMIFS(StockInData[Quantity],StockInData[Product ID],ProductMaster!$B1841)-SUMIFS(StockOutData[Quantity],StockOutData[Product ID],ProductMaster!$B1841)</f>
        <v>0</v>
      </c>
      <c r="J1841" s="63">
        <f>SUMIFS(StockInData[Value],StockInData[Product ID],ProductMaster!$B1841)-SUMIFS(StockOutData[Value],StockOutData[Product ID],ProductMaster!$B1841)</f>
        <v>0</v>
      </c>
    </row>
    <row r="1842" spans="1:10" hidden="1" x14ac:dyDescent="0.25">
      <c r="A1842" s="82">
        <v>1841</v>
      </c>
      <c r="B1842" s="83" t="s">
        <v>3731</v>
      </c>
      <c r="C1842" s="85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3" t="s">
        <v>3733</v>
      </c>
      <c r="C1843" s="85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82">
        <v>1843</v>
      </c>
      <c r="B1844" s="83" t="s">
        <v>3735</v>
      </c>
      <c r="C1844" s="85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3" t="s">
        <v>3737</v>
      </c>
      <c r="C1845" s="85" t="s">
        <v>3738</v>
      </c>
      <c r="D1845" s="47"/>
      <c r="E1845" s="47"/>
      <c r="F1845" s="48"/>
      <c r="G1845" s="62" t="str">
        <f>IFERROR(INDEX(StockInData[Expiry],MATCH(ProductMaster[[#This Row],[Product ID]],StockInData[Product ID],0)),"")</f>
        <v/>
      </c>
      <c r="H1845" s="47"/>
      <c r="I1845" s="61">
        <f>SUMIFS(StockInData[Quantity],StockInData[Product ID],ProductMaster!$B1845)-SUMIFS(StockOutData[Quantity],StockOutData[Product ID],ProductMaster!$B1845)</f>
        <v>0</v>
      </c>
      <c r="J1845" s="63">
        <f>SUMIFS(StockInData[Value],StockInData[Product ID],ProductMaster!$B1845)-SUMIFS(StockOutData[Value],StockOutData[Product ID],ProductMaster!$B1845)</f>
        <v>0</v>
      </c>
    </row>
    <row r="1846" spans="1:10" hidden="1" x14ac:dyDescent="0.25">
      <c r="A1846" s="82">
        <v>1845</v>
      </c>
      <c r="B1846" s="83" t="s">
        <v>3739</v>
      </c>
      <c r="C1846" s="85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3" t="s">
        <v>3741</v>
      </c>
      <c r="C1847" s="85" t="s">
        <v>3742</v>
      </c>
      <c r="D1847" s="47"/>
      <c r="E1847" s="47"/>
      <c r="F1847" s="48"/>
      <c r="G1847" s="62" t="str">
        <f>IFERROR(INDEX(StockInData[Expiry],MATCH(ProductMaster[[#This Row],[Product ID]],StockInData[Product ID],0)),"")</f>
        <v/>
      </c>
      <c r="H1847" s="47"/>
      <c r="I1847" s="61">
        <f>SUMIFS(StockInData[Quantity],StockInData[Product ID],ProductMaster!$B1847)-SUMIFS(StockOutData[Quantity],StockOutData[Product ID],ProductMaster!$B1847)</f>
        <v>0</v>
      </c>
      <c r="J1847" s="63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82">
        <v>1847</v>
      </c>
      <c r="B1848" s="83" t="s">
        <v>3743</v>
      </c>
      <c r="C1848" s="85" t="s">
        <v>3744</v>
      </c>
      <c r="D1848" s="47"/>
      <c r="E1848" s="47"/>
      <c r="F1848" s="48"/>
      <c r="G1848" s="62" t="str">
        <f>IFERROR(INDEX(StockInData[Expiry],MATCH(ProductMaster[[#This Row],[Product ID]],StockInData[Product ID],0)),"")</f>
        <v/>
      </c>
      <c r="H1848" s="47"/>
      <c r="I1848" s="61">
        <f>SUMIFS(StockInData[Quantity],StockInData[Product ID],ProductMaster!$B1848)-SUMIFS(StockOutData[Quantity],StockOutData[Product ID],ProductMaster!$B1848)</f>
        <v>0</v>
      </c>
      <c r="J1848" s="63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3" t="s">
        <v>3745</v>
      </c>
      <c r="C1849" s="85" t="s">
        <v>3746</v>
      </c>
      <c r="D1849" s="47"/>
      <c r="E1849" s="47"/>
      <c r="F1849" s="48"/>
      <c r="G1849" s="62" t="str">
        <f>IFERROR(INDEX(StockInData[Expiry],MATCH(ProductMaster[[#This Row],[Product ID]],StockInData[Product ID],0)),"")</f>
        <v/>
      </c>
      <c r="H1849" s="47"/>
      <c r="I1849" s="61">
        <f>SUMIFS(StockInData[Quantity],StockInData[Product ID],ProductMaster!$B1849)-SUMIFS(StockOutData[Quantity],StockOutData[Product ID],ProductMaster!$B1849)</f>
        <v>0</v>
      </c>
      <c r="J1849" s="63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82">
        <v>1849</v>
      </c>
      <c r="B1850" s="83" t="s">
        <v>3747</v>
      </c>
      <c r="C1850" s="85" t="s">
        <v>3748</v>
      </c>
      <c r="D1850" s="47"/>
      <c r="E1850" s="47"/>
      <c r="F1850" s="48"/>
      <c r="G1850" s="62" t="str">
        <f>IFERROR(INDEX(StockInData[Expiry],MATCH(ProductMaster[[#This Row],[Product ID]],StockInData[Product ID],0)),"")</f>
        <v/>
      </c>
      <c r="H1850" s="47"/>
      <c r="I1850" s="61">
        <f>SUMIFS(StockInData[Quantity],StockInData[Product ID],ProductMaster!$B1850)-SUMIFS(StockOutData[Quantity],StockOutData[Product ID],ProductMaster!$B1850)</f>
        <v>0</v>
      </c>
      <c r="J1850" s="63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3" t="s">
        <v>3749</v>
      </c>
      <c r="C1851" s="85" t="s">
        <v>3750</v>
      </c>
      <c r="D1851" s="47"/>
      <c r="E1851" s="47"/>
      <c r="F1851" s="48"/>
      <c r="G1851" s="62" t="str">
        <f>IFERROR(INDEX(StockInData[Expiry],MATCH(ProductMaster[[#This Row],[Product ID]],StockInData[Product ID],0)),"")</f>
        <v/>
      </c>
      <c r="H1851" s="47"/>
      <c r="I1851" s="61">
        <f>SUMIFS(StockInData[Quantity],StockInData[Product ID],ProductMaster!$B1851)-SUMIFS(StockOutData[Quantity],StockOutData[Product ID],ProductMaster!$B1851)</f>
        <v>0</v>
      </c>
      <c r="J1851" s="63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82">
        <v>1851</v>
      </c>
      <c r="B1852" s="83" t="s">
        <v>3751</v>
      </c>
      <c r="C1852" s="85" t="s">
        <v>3752</v>
      </c>
      <c r="D1852" s="47"/>
      <c r="E1852" s="47"/>
      <c r="F1852" s="48"/>
      <c r="G1852" s="62" t="str">
        <f>IFERROR(INDEX(StockInData[Expiry],MATCH(ProductMaster[[#This Row],[Product ID]],StockInData[Product ID],0)),"")</f>
        <v/>
      </c>
      <c r="H1852" s="47"/>
      <c r="I1852" s="61">
        <f>SUMIFS(StockInData[Quantity],StockInData[Product ID],ProductMaster!$B1852)-SUMIFS(StockOutData[Quantity],StockOutData[Product ID],ProductMaster!$B1852)</f>
        <v>0</v>
      </c>
      <c r="J1852" s="63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3" t="s">
        <v>3753</v>
      </c>
      <c r="C1853" s="85" t="s">
        <v>3754</v>
      </c>
      <c r="D1853" s="47"/>
      <c r="E1853" s="47"/>
      <c r="F1853" s="48"/>
      <c r="G1853" s="62" t="str">
        <f>IFERROR(INDEX(StockInData[Expiry],MATCH(ProductMaster[[#This Row],[Product ID]],StockInData[Product ID],0)),"")</f>
        <v/>
      </c>
      <c r="H1853" s="47"/>
      <c r="I1853" s="61">
        <f>SUMIFS(StockInData[Quantity],StockInData[Product ID],ProductMaster!$B1853)-SUMIFS(StockOutData[Quantity],StockOutData[Product ID],ProductMaster!$B1853)</f>
        <v>0</v>
      </c>
      <c r="J1853" s="63">
        <f>SUMIFS(StockInData[Value],StockInData[Product ID],ProductMaster!$B1853)-SUMIFS(StockOutData[Value],StockOutData[Product ID],ProductMaster!$B1853)</f>
        <v>0</v>
      </c>
    </row>
    <row r="1854" spans="1:10" hidden="1" x14ac:dyDescent="0.25">
      <c r="A1854" s="82">
        <v>1853</v>
      </c>
      <c r="B1854" s="83" t="s">
        <v>3755</v>
      </c>
      <c r="C1854" s="85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3" t="s">
        <v>3757</v>
      </c>
      <c r="C1855" s="85" t="s">
        <v>3758</v>
      </c>
      <c r="D1855" s="47"/>
      <c r="E1855" s="47"/>
      <c r="F1855" s="48"/>
      <c r="G1855" s="62" t="str">
        <f>IFERROR(INDEX(StockInData[Expiry],MATCH(ProductMaster[[#This Row],[Product ID]],StockInData[Product ID],0)),"")</f>
        <v/>
      </c>
      <c r="H1855" s="47"/>
      <c r="I1855" s="61">
        <f>SUMIFS(StockInData[Quantity],StockInData[Product ID],ProductMaster!$B1855)-SUMIFS(StockOutData[Quantity],StockOutData[Product ID],ProductMaster!$B1855)</f>
        <v>0</v>
      </c>
      <c r="J1855" s="63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82">
        <v>1855</v>
      </c>
      <c r="B1856" s="83" t="s">
        <v>3759</v>
      </c>
      <c r="C1856" s="85" t="s">
        <v>3760</v>
      </c>
      <c r="D1856" s="47"/>
      <c r="E1856" s="47"/>
      <c r="F1856" s="48"/>
      <c r="G1856" s="62" t="str">
        <f>IFERROR(INDEX(StockInData[Expiry],MATCH(ProductMaster[[#This Row],[Product ID]],StockInData[Product ID],0)),"")</f>
        <v/>
      </c>
      <c r="H1856" s="47"/>
      <c r="I1856" s="61">
        <f>SUMIFS(StockInData[Quantity],StockInData[Product ID],ProductMaster!$B1856)-SUMIFS(StockOutData[Quantity],StockOutData[Product ID],ProductMaster!$B1856)</f>
        <v>0</v>
      </c>
      <c r="J1856" s="63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3" t="s">
        <v>3761</v>
      </c>
      <c r="C1857" s="85" t="s">
        <v>3762</v>
      </c>
      <c r="D1857" s="47"/>
      <c r="E1857" s="47"/>
      <c r="F1857" s="48"/>
      <c r="G1857" s="62" t="str">
        <f>IFERROR(INDEX(StockInData[Expiry],MATCH(ProductMaster[[#This Row],[Product ID]],StockInData[Product ID],0)),"")</f>
        <v/>
      </c>
      <c r="H1857" s="47"/>
      <c r="I1857" s="61">
        <f>SUMIFS(StockInData[Quantity],StockInData[Product ID],ProductMaster!$B1857)-SUMIFS(StockOutData[Quantity],StockOutData[Product ID],ProductMaster!$B1857)</f>
        <v>0</v>
      </c>
      <c r="J1857" s="63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82">
        <v>1857</v>
      </c>
      <c r="B1858" s="83" t="s">
        <v>3763</v>
      </c>
      <c r="C1858" s="85" t="s">
        <v>3764</v>
      </c>
      <c r="D1858" s="47"/>
      <c r="E1858" s="47"/>
      <c r="F1858" s="48"/>
      <c r="G1858" s="62" t="str">
        <f>IFERROR(INDEX(StockInData[Expiry],MATCH(ProductMaster[[#This Row],[Product ID]],StockInData[Product ID],0)),"")</f>
        <v/>
      </c>
      <c r="H1858" s="47"/>
      <c r="I1858" s="61">
        <f>SUMIFS(StockInData[Quantity],StockInData[Product ID],ProductMaster!$B1858)-SUMIFS(StockOutData[Quantity],StockOutData[Product ID],ProductMaster!$B1858)</f>
        <v>0</v>
      </c>
      <c r="J1858" s="63">
        <f>SUMIFS(StockInData[Value],StockInData[Product ID],ProductMaster!$B1858)-SUMIFS(StockOutData[Value],StockOutData[Product ID],ProductMaster!$B1858)</f>
        <v>0</v>
      </c>
    </row>
    <row r="1859" spans="1:10" hidden="1" x14ac:dyDescent="0.25">
      <c r="A1859" s="60">
        <v>1858</v>
      </c>
      <c r="B1859" s="83" t="s">
        <v>3765</v>
      </c>
      <c r="C1859" s="85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2">
        <v>1859</v>
      </c>
      <c r="B1860" s="83" t="s">
        <v>3767</v>
      </c>
      <c r="C1860" s="85" t="s">
        <v>3768</v>
      </c>
      <c r="D1860" s="47"/>
      <c r="E1860" s="47"/>
      <c r="F1860" s="48"/>
      <c r="G1860" s="62" t="str">
        <f>IFERROR(INDEX(StockInData[Expiry],MATCH(ProductMaster[[#This Row],[Product ID]],StockInData[Product ID],0)),"")</f>
        <v/>
      </c>
      <c r="H1860" s="47"/>
      <c r="I1860" s="61">
        <f>SUMIFS(StockInData[Quantity],StockInData[Product ID],ProductMaster!$B1860)-SUMIFS(StockOutData[Quantity],StockOutData[Product ID],ProductMaster!$B1860)</f>
        <v>0</v>
      </c>
      <c r="J1860" s="63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3" t="s">
        <v>3769</v>
      </c>
      <c r="C1861" s="85" t="s">
        <v>3770</v>
      </c>
      <c r="D1861" s="47"/>
      <c r="E1861" s="47"/>
      <c r="F1861" s="48"/>
      <c r="G1861" s="62" t="str">
        <f>IFERROR(INDEX(StockInData[Expiry],MATCH(ProductMaster[[#This Row],[Product ID]],StockInData[Product ID],0)),"")</f>
        <v/>
      </c>
      <c r="H1861" s="47"/>
      <c r="I1861" s="61">
        <f>SUMIFS(StockInData[Quantity],StockInData[Product ID],ProductMaster!$B1861)-SUMIFS(StockOutData[Quantity],StockOutData[Product ID],ProductMaster!$B1861)</f>
        <v>0</v>
      </c>
      <c r="J1861" s="63">
        <f>SUMIFS(StockInData[Value],StockInData[Product ID],ProductMaster!$B1861)-SUMIFS(StockOutData[Value],StockOutData[Product ID],ProductMaster!$B1861)</f>
        <v>0</v>
      </c>
    </row>
    <row r="1862" spans="1:10" hidden="1" x14ac:dyDescent="0.25">
      <c r="A1862" s="82">
        <v>1861</v>
      </c>
      <c r="B1862" s="83" t="s">
        <v>3771</v>
      </c>
      <c r="C1862" s="85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3" t="s">
        <v>3773</v>
      </c>
      <c r="C1863" s="85" t="s">
        <v>3774</v>
      </c>
      <c r="D1863" s="47"/>
      <c r="E1863" s="47"/>
      <c r="F1863" s="48"/>
      <c r="G1863" s="62" t="str">
        <f>IFERROR(INDEX(StockInData[Expiry],MATCH(ProductMaster[[#This Row],[Product ID]],StockInData[Product ID],0)),"")</f>
        <v/>
      </c>
      <c r="H1863" s="47"/>
      <c r="I1863" s="61">
        <f>SUMIFS(StockInData[Quantity],StockInData[Product ID],ProductMaster!$B1863)-SUMIFS(StockOutData[Quantity],StockOutData[Product ID],ProductMaster!$B1863)</f>
        <v>0</v>
      </c>
      <c r="J1863" s="63">
        <f>SUMIFS(StockInData[Value],StockInData[Product ID],ProductMaster!$B1863)-SUMIFS(StockOutData[Value],StockOutData[Product ID],ProductMaster!$B1863)</f>
        <v>0</v>
      </c>
    </row>
    <row r="1864" spans="1:10" hidden="1" x14ac:dyDescent="0.25">
      <c r="A1864" s="82">
        <v>1863</v>
      </c>
      <c r="B1864" s="83" t="s">
        <v>3775</v>
      </c>
      <c r="C1864" s="85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3" t="s">
        <v>3777</v>
      </c>
      <c r="C1865" s="85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2">
        <v>1865</v>
      </c>
      <c r="B1866" s="83" t="s">
        <v>3779</v>
      </c>
      <c r="C1866" s="85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3" t="s">
        <v>3781</v>
      </c>
      <c r="C1867" s="85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2">
        <v>1867</v>
      </c>
      <c r="B1868" s="83" t="s">
        <v>3783</v>
      </c>
      <c r="C1868" s="85" t="s">
        <v>3784</v>
      </c>
      <c r="D1868" s="47"/>
      <c r="E1868" s="47"/>
      <c r="F1868" s="48"/>
      <c r="G1868" s="62" t="str">
        <f>IFERROR(INDEX(StockInData[Expiry],MATCH(ProductMaster[[#This Row],[Product ID]],StockInData[Product ID],0)),"")</f>
        <v/>
      </c>
      <c r="H1868" s="47"/>
      <c r="I1868" s="61">
        <f>SUMIFS(StockInData[Quantity],StockInData[Product ID],ProductMaster!$B1868)-SUMIFS(StockOutData[Quantity],StockOutData[Product ID],ProductMaster!$B1868)</f>
        <v>0</v>
      </c>
      <c r="J1868" s="63">
        <f>SUMIFS(StockInData[Value],StockInData[Product ID],ProductMaster!$B1868)-SUMIFS(StockOutData[Value],StockOutData[Product ID],ProductMaster!$B1868)</f>
        <v>0</v>
      </c>
    </row>
    <row r="1869" spans="1:10" hidden="1" x14ac:dyDescent="0.25">
      <c r="A1869" s="60">
        <v>1868</v>
      </c>
      <c r="B1869" s="83" t="s">
        <v>3785</v>
      </c>
      <c r="C1869" s="85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2">
        <v>1869</v>
      </c>
      <c r="B1870" s="83" t="s">
        <v>3787</v>
      </c>
      <c r="C1870" s="85" t="s">
        <v>3788</v>
      </c>
      <c r="D1870" s="47"/>
      <c r="E1870" s="47"/>
      <c r="F1870" s="48"/>
      <c r="G1870" s="62" t="str">
        <f>IFERROR(INDEX(StockInData[Expiry],MATCH(ProductMaster[[#This Row],[Product ID]],StockInData[Product ID],0)),"")</f>
        <v/>
      </c>
      <c r="H1870" s="47"/>
      <c r="I1870" s="61">
        <f>SUMIFS(StockInData[Quantity],StockInData[Product ID],ProductMaster!$B1870)-SUMIFS(StockOutData[Quantity],StockOutData[Product ID],ProductMaster!$B1870)</f>
        <v>0</v>
      </c>
      <c r="J1870" s="63">
        <f>SUMIFS(StockInData[Value],StockInData[Product ID],ProductMaster!$B1870)-SUMIFS(StockOutData[Value],StockOutData[Product ID],ProductMaster!$B1870)</f>
        <v>0</v>
      </c>
    </row>
    <row r="1871" spans="1:10" hidden="1" x14ac:dyDescent="0.25">
      <c r="A1871" s="60">
        <v>1870</v>
      </c>
      <c r="B1871" s="83" t="s">
        <v>3789</v>
      </c>
      <c r="C1871" s="85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2">
        <v>1871</v>
      </c>
      <c r="B1872" s="83" t="s">
        <v>3791</v>
      </c>
      <c r="C1872" s="85" t="s">
        <v>3792</v>
      </c>
      <c r="D1872" s="47"/>
      <c r="E1872" s="47"/>
      <c r="F1872" s="48"/>
      <c r="G1872" s="62" t="str">
        <f>IFERROR(INDEX(StockInData[Expiry],MATCH(ProductMaster[[#This Row],[Product ID]],StockInData[Product ID],0)),"")</f>
        <v/>
      </c>
      <c r="H1872" s="47"/>
      <c r="I1872" s="61">
        <f>SUMIFS(StockInData[Quantity],StockInData[Product ID],ProductMaster!$B1872)-SUMIFS(StockOutData[Quantity],StockOutData[Product ID],ProductMaster!$B1872)</f>
        <v>0</v>
      </c>
      <c r="J1872" s="63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3" t="s">
        <v>3793</v>
      </c>
      <c r="C1873" s="85" t="s">
        <v>3794</v>
      </c>
      <c r="D1873" s="47"/>
      <c r="E1873" s="47"/>
      <c r="F1873" s="48"/>
      <c r="G1873" s="62" t="str">
        <f>IFERROR(INDEX(StockInData[Expiry],MATCH(ProductMaster[[#This Row],[Product ID]],StockInData[Product ID],0)),"")</f>
        <v/>
      </c>
      <c r="H1873" s="47"/>
      <c r="I1873" s="61">
        <f>SUMIFS(StockInData[Quantity],StockInData[Product ID],ProductMaster!$B1873)-SUMIFS(StockOutData[Quantity],StockOutData[Product ID],ProductMaster!$B1873)</f>
        <v>0</v>
      </c>
      <c r="J1873" s="63">
        <f>SUMIFS(StockInData[Value],StockInData[Product ID],ProductMaster!$B1873)-SUMIFS(StockOutData[Value],StockOutData[Product ID],ProductMaster!$B1873)</f>
        <v>0</v>
      </c>
    </row>
    <row r="1874" spans="1:10" hidden="1" x14ac:dyDescent="0.25">
      <c r="A1874" s="82">
        <v>1873</v>
      </c>
      <c r="B1874" s="83" t="s">
        <v>3795</v>
      </c>
      <c r="C1874" s="85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3" t="s">
        <v>3797</v>
      </c>
      <c r="C1875" s="85" t="s">
        <v>3798</v>
      </c>
      <c r="D1875" s="47"/>
      <c r="E1875" s="47"/>
      <c r="F1875" s="48"/>
      <c r="G1875" s="62" t="str">
        <f>IFERROR(INDEX(StockInData[Expiry],MATCH(ProductMaster[[#This Row],[Product ID]],StockInData[Product ID],0)),"")</f>
        <v/>
      </c>
      <c r="H1875" s="47"/>
      <c r="I1875" s="61">
        <f>SUMIFS(StockInData[Quantity],StockInData[Product ID],ProductMaster!$B1875)-SUMIFS(StockOutData[Quantity],StockOutData[Product ID],ProductMaster!$B1875)</f>
        <v>0</v>
      </c>
      <c r="J1875" s="63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82">
        <v>1875</v>
      </c>
      <c r="B1876" s="83" t="s">
        <v>3799</v>
      </c>
      <c r="C1876" s="85" t="s">
        <v>3800</v>
      </c>
      <c r="D1876" s="47"/>
      <c r="E1876" s="47"/>
      <c r="F1876" s="48"/>
      <c r="G1876" s="62" t="str">
        <f>IFERROR(INDEX(StockInData[Expiry],MATCH(ProductMaster[[#This Row],[Product ID]],StockInData[Product ID],0)),"")</f>
        <v/>
      </c>
      <c r="H1876" s="47"/>
      <c r="I1876" s="61">
        <f>SUMIFS(StockInData[Quantity],StockInData[Product ID],ProductMaster!$B1876)-SUMIFS(StockOutData[Quantity],StockOutData[Product ID],ProductMaster!$B1876)</f>
        <v>0</v>
      </c>
      <c r="J1876" s="63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3" t="s">
        <v>3801</v>
      </c>
      <c r="C1877" s="85" t="s">
        <v>3802</v>
      </c>
      <c r="D1877" s="47"/>
      <c r="E1877" s="47"/>
      <c r="F1877" s="48"/>
      <c r="G1877" s="62" t="str">
        <f>IFERROR(INDEX(StockInData[Expiry],MATCH(ProductMaster[[#This Row],[Product ID]],StockInData[Product ID],0)),"")</f>
        <v/>
      </c>
      <c r="H1877" s="47"/>
      <c r="I1877" s="61">
        <f>SUMIFS(StockInData[Quantity],StockInData[Product ID],ProductMaster!$B1877)-SUMIFS(StockOutData[Quantity],StockOutData[Product ID],ProductMaster!$B1877)</f>
        <v>0</v>
      </c>
      <c r="J1877" s="63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82">
        <v>1877</v>
      </c>
      <c r="B1878" s="83" t="s">
        <v>3803</v>
      </c>
      <c r="C1878" s="85" t="s">
        <v>3804</v>
      </c>
      <c r="D1878" s="47"/>
      <c r="E1878" s="47"/>
      <c r="F1878" s="48"/>
      <c r="G1878" s="62" t="str">
        <f>IFERROR(INDEX(StockInData[Expiry],MATCH(ProductMaster[[#This Row],[Product ID]],StockInData[Product ID],0)),"")</f>
        <v/>
      </c>
      <c r="H1878" s="47"/>
      <c r="I1878" s="61">
        <f>SUMIFS(StockInData[Quantity],StockInData[Product ID],ProductMaster!$B1878)-SUMIFS(StockOutData[Quantity],StockOutData[Product ID],ProductMaster!$B1878)</f>
        <v>0</v>
      </c>
      <c r="J1878" s="63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3" t="s">
        <v>3805</v>
      </c>
      <c r="C1879" s="85" t="s">
        <v>3806</v>
      </c>
      <c r="D1879" s="47"/>
      <c r="E1879" s="47"/>
      <c r="F1879" s="48"/>
      <c r="G1879" s="62" t="str">
        <f>IFERROR(INDEX(StockInData[Expiry],MATCH(ProductMaster[[#This Row],[Product ID]],StockInData[Product ID],0)),"")</f>
        <v/>
      </c>
      <c r="H1879" s="47"/>
      <c r="I1879" s="61">
        <f>SUMIFS(StockInData[Quantity],StockInData[Product ID],ProductMaster!$B1879)-SUMIFS(StockOutData[Quantity],StockOutData[Product ID],ProductMaster!$B1879)</f>
        <v>0</v>
      </c>
      <c r="J1879" s="63">
        <f>SUMIFS(StockInData[Value],StockInData[Product ID],ProductMaster!$B1879)-SUMIFS(StockOutData[Value],StockOutData[Product ID],ProductMaster!$B1879)</f>
        <v>0</v>
      </c>
    </row>
    <row r="1880" spans="1:10" hidden="1" x14ac:dyDescent="0.25">
      <c r="A1880" s="82">
        <v>1879</v>
      </c>
      <c r="B1880" s="83" t="s">
        <v>3807</v>
      </c>
      <c r="C1880" s="85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3" t="s">
        <v>3809</v>
      </c>
      <c r="C1881" s="85" t="s">
        <v>3810</v>
      </c>
      <c r="D1881" s="47"/>
      <c r="E1881" s="47"/>
      <c r="F1881" s="48"/>
      <c r="G1881" s="62" t="str">
        <f>IFERROR(INDEX(StockInData[Expiry],MATCH(ProductMaster[[#This Row],[Product ID]],StockInData[Product ID],0)),"")</f>
        <v/>
      </c>
      <c r="H1881" s="47"/>
      <c r="I1881" s="61">
        <f>SUMIFS(StockInData[Quantity],StockInData[Product ID],ProductMaster!$B1881)-SUMIFS(StockOutData[Quantity],StockOutData[Product ID],ProductMaster!$B1881)</f>
        <v>0</v>
      </c>
      <c r="J1881" s="63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82">
        <v>1881</v>
      </c>
      <c r="B1882" s="83" t="s">
        <v>3811</v>
      </c>
      <c r="C1882" s="85" t="s">
        <v>3812</v>
      </c>
      <c r="D1882" s="47"/>
      <c r="E1882" s="47"/>
      <c r="F1882" s="48"/>
      <c r="G1882" s="62" t="str">
        <f>IFERROR(INDEX(StockInData[Expiry],MATCH(ProductMaster[[#This Row],[Product ID]],StockInData[Product ID],0)),"")</f>
        <v/>
      </c>
      <c r="H1882" s="47"/>
      <c r="I1882" s="61">
        <f>SUMIFS(StockInData[Quantity],StockInData[Product ID],ProductMaster!$B1882)-SUMIFS(StockOutData[Quantity],StockOutData[Product ID],ProductMaster!$B1882)</f>
        <v>0</v>
      </c>
      <c r="J1882" s="63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3" t="s">
        <v>3813</v>
      </c>
      <c r="C1883" s="85" t="s">
        <v>3814</v>
      </c>
      <c r="D1883" s="47"/>
      <c r="E1883" s="47"/>
      <c r="F1883" s="48"/>
      <c r="G1883" s="62" t="str">
        <f>IFERROR(INDEX(StockInData[Expiry],MATCH(ProductMaster[[#This Row],[Product ID]],StockInData[Product ID],0)),"")</f>
        <v/>
      </c>
      <c r="H1883" s="47"/>
      <c r="I1883" s="61">
        <f>SUMIFS(StockInData[Quantity],StockInData[Product ID],ProductMaster!$B1883)-SUMIFS(StockOutData[Quantity],StockOutData[Product ID],ProductMaster!$B1883)</f>
        <v>0</v>
      </c>
      <c r="J1883" s="63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82">
        <v>1883</v>
      </c>
      <c r="B1884" s="83" t="s">
        <v>3815</v>
      </c>
      <c r="C1884" s="85" t="s">
        <v>3816</v>
      </c>
      <c r="D1884" s="47"/>
      <c r="E1884" s="47"/>
      <c r="F1884" s="48"/>
      <c r="G1884" s="62" t="str">
        <f>IFERROR(INDEX(StockInData[Expiry],MATCH(ProductMaster[[#This Row],[Product ID]],StockInData[Product ID],0)),"")</f>
        <v/>
      </c>
      <c r="H1884" s="47"/>
      <c r="I1884" s="61">
        <f>SUMIFS(StockInData[Quantity],StockInData[Product ID],ProductMaster!$B1884)-SUMIFS(StockOutData[Quantity],StockOutData[Product ID],ProductMaster!$B1884)</f>
        <v>0</v>
      </c>
      <c r="J1884" s="63">
        <f>SUMIFS(StockInData[Value],StockInData[Product ID],ProductMaster!$B1884)-SUMIFS(StockOutData[Value],StockOutData[Product ID],ProductMaster!$B1884)</f>
        <v>0</v>
      </c>
    </row>
    <row r="1885" spans="1:10" hidden="1" x14ac:dyDescent="0.25">
      <c r="A1885" s="60">
        <v>1884</v>
      </c>
      <c r="B1885" s="83" t="s">
        <v>3817</v>
      </c>
      <c r="C1885" s="85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2">
        <v>1885</v>
      </c>
      <c r="B1886" s="83" t="s">
        <v>3819</v>
      </c>
      <c r="C1886" s="85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3" t="s">
        <v>3821</v>
      </c>
      <c r="C1887" s="85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2">
        <v>1887</v>
      </c>
      <c r="B1888" s="83" t="s">
        <v>3823</v>
      </c>
      <c r="C1888" s="85" t="s">
        <v>3824</v>
      </c>
      <c r="D1888" s="47"/>
      <c r="E1888" s="47"/>
      <c r="F1888" s="48"/>
      <c r="G1888" s="62" t="str">
        <f>IFERROR(INDEX(StockInData[Expiry],MATCH(ProductMaster[[#This Row],[Product ID]],StockInData[Product ID],0)),"")</f>
        <v/>
      </c>
      <c r="H1888" s="47"/>
      <c r="I1888" s="61">
        <f>SUMIFS(StockInData[Quantity],StockInData[Product ID],ProductMaster!$B1888)-SUMIFS(StockOutData[Quantity],StockOutData[Product ID],ProductMaster!$B1888)</f>
        <v>0</v>
      </c>
      <c r="J1888" s="63">
        <f>SUMIFS(StockInData[Value],StockInData[Product ID],ProductMaster!$B1888)-SUMIFS(StockOutData[Value],StockOutData[Product ID],ProductMaster!$B1888)</f>
        <v>0</v>
      </c>
    </row>
    <row r="1889" spans="1:10" hidden="1" x14ac:dyDescent="0.25">
      <c r="A1889" s="60">
        <v>1888</v>
      </c>
      <c r="B1889" s="83" t="s">
        <v>3825</v>
      </c>
      <c r="C1889" s="85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2">
        <v>1889</v>
      </c>
      <c r="B1890" s="83" t="s">
        <v>3827</v>
      </c>
      <c r="C1890" s="85" t="s">
        <v>3828</v>
      </c>
      <c r="D1890" s="47"/>
      <c r="E1890" s="47"/>
      <c r="F1890" s="48"/>
      <c r="G1890" s="62" t="str">
        <f>IFERROR(INDEX(StockInData[Expiry],MATCH(ProductMaster[[#This Row],[Product ID]],StockInData[Product ID],0)),"")</f>
        <v/>
      </c>
      <c r="H1890" s="47"/>
      <c r="I1890" s="61">
        <f>SUMIFS(StockInData[Quantity],StockInData[Product ID],ProductMaster!$B1890)-SUMIFS(StockOutData[Quantity],StockOutData[Product ID],ProductMaster!$B1890)</f>
        <v>0</v>
      </c>
      <c r="J1890" s="63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3" t="s">
        <v>3829</v>
      </c>
      <c r="C1891" s="85" t="s">
        <v>3830</v>
      </c>
      <c r="D1891" s="47"/>
      <c r="E1891" s="47"/>
      <c r="F1891" s="48"/>
      <c r="G1891" s="62" t="str">
        <f>IFERROR(INDEX(StockInData[Expiry],MATCH(ProductMaster[[#This Row],[Product ID]],StockInData[Product ID],0)),"")</f>
        <v/>
      </c>
      <c r="H1891" s="47"/>
      <c r="I1891" s="61">
        <f>SUMIFS(StockInData[Quantity],StockInData[Product ID],ProductMaster!$B1891)-SUMIFS(StockOutData[Quantity],StockOutData[Product ID],ProductMaster!$B1891)</f>
        <v>0</v>
      </c>
      <c r="J1891" s="63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82">
        <v>1891</v>
      </c>
      <c r="B1892" s="83" t="s">
        <v>3831</v>
      </c>
      <c r="C1892" s="85" t="s">
        <v>3832</v>
      </c>
      <c r="D1892" s="47"/>
      <c r="E1892" s="47"/>
      <c r="F1892" s="48"/>
      <c r="G1892" s="62" t="str">
        <f>IFERROR(INDEX(StockInData[Expiry],MATCH(ProductMaster[[#This Row],[Product ID]],StockInData[Product ID],0)),"")</f>
        <v/>
      </c>
      <c r="H1892" s="47"/>
      <c r="I1892" s="61">
        <f>SUMIFS(StockInData[Quantity],StockInData[Product ID],ProductMaster!$B1892)-SUMIFS(StockOutData[Quantity],StockOutData[Product ID],ProductMaster!$B1892)</f>
        <v>0</v>
      </c>
      <c r="J1892" s="63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3" t="s">
        <v>3833</v>
      </c>
      <c r="C1893" s="85" t="s">
        <v>3834</v>
      </c>
      <c r="D1893" s="47"/>
      <c r="E1893" s="47"/>
      <c r="F1893" s="48"/>
      <c r="G1893" s="62" t="str">
        <f>IFERROR(INDEX(StockInData[Expiry],MATCH(ProductMaster[[#This Row],[Product ID]],StockInData[Product ID],0)),"")</f>
        <v/>
      </c>
      <c r="H1893" s="47"/>
      <c r="I1893" s="61">
        <f>SUMIFS(StockInData[Quantity],StockInData[Product ID],ProductMaster!$B1893)-SUMIFS(StockOutData[Quantity],StockOutData[Product ID],ProductMaster!$B1893)</f>
        <v>0</v>
      </c>
      <c r="J1893" s="63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82">
        <v>1893</v>
      </c>
      <c r="B1894" s="83" t="s">
        <v>3835</v>
      </c>
      <c r="C1894" s="85" t="s">
        <v>3836</v>
      </c>
      <c r="D1894" s="47"/>
      <c r="E1894" s="47"/>
      <c r="F1894" s="48"/>
      <c r="G1894" s="62" t="str">
        <f>IFERROR(INDEX(StockInData[Expiry],MATCH(ProductMaster[[#This Row],[Product ID]],StockInData[Product ID],0)),"")</f>
        <v/>
      </c>
      <c r="H1894" s="47"/>
      <c r="I1894" s="61">
        <f>SUMIFS(StockInData[Quantity],StockInData[Product ID],ProductMaster!$B1894)-SUMIFS(StockOutData[Quantity],StockOutData[Product ID],ProductMaster!$B1894)</f>
        <v>0</v>
      </c>
      <c r="J1894" s="63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3" t="s">
        <v>3837</v>
      </c>
      <c r="C1895" s="85" t="s">
        <v>3838</v>
      </c>
      <c r="D1895" s="47"/>
      <c r="E1895" s="47"/>
      <c r="F1895" s="48"/>
      <c r="G1895" s="62" t="str">
        <f>IFERROR(INDEX(StockInData[Expiry],MATCH(ProductMaster[[#This Row],[Product ID]],StockInData[Product ID],0)),"")</f>
        <v/>
      </c>
      <c r="H1895" s="47"/>
      <c r="I1895" s="61">
        <f>SUMIFS(StockInData[Quantity],StockInData[Product ID],ProductMaster!$B1895)-SUMIFS(StockOutData[Quantity],StockOutData[Product ID],ProductMaster!$B1895)</f>
        <v>0</v>
      </c>
      <c r="J1895" s="63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82">
        <v>1895</v>
      </c>
      <c r="B1896" s="83" t="s">
        <v>3839</v>
      </c>
      <c r="C1896" s="85" t="s">
        <v>3840</v>
      </c>
      <c r="D1896" s="47"/>
      <c r="E1896" s="47"/>
      <c r="F1896" s="48"/>
      <c r="G1896" s="62" t="str">
        <f>IFERROR(INDEX(StockInData[Expiry],MATCH(ProductMaster[[#This Row],[Product ID]],StockInData[Product ID],0)),"")</f>
        <v/>
      </c>
      <c r="H1896" s="47"/>
      <c r="I1896" s="61">
        <f>SUMIFS(StockInData[Quantity],StockInData[Product ID],ProductMaster!$B1896)-SUMIFS(StockOutData[Quantity],StockOutData[Product ID],ProductMaster!$B1896)</f>
        <v>0</v>
      </c>
      <c r="J1896" s="63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3" t="s">
        <v>3841</v>
      </c>
      <c r="C1897" s="85" t="s">
        <v>3842</v>
      </c>
      <c r="D1897" s="47"/>
      <c r="E1897" s="47"/>
      <c r="F1897" s="48"/>
      <c r="G1897" s="62" t="str">
        <f>IFERROR(INDEX(StockInData[Expiry],MATCH(ProductMaster[[#This Row],[Product ID]],StockInData[Product ID],0)),"")</f>
        <v/>
      </c>
      <c r="H1897" s="47"/>
      <c r="I1897" s="61">
        <f>SUMIFS(StockInData[Quantity],StockInData[Product ID],ProductMaster!$B1897)-SUMIFS(StockOutData[Quantity],StockOutData[Product ID],ProductMaster!$B1897)</f>
        <v>0</v>
      </c>
      <c r="J1897" s="63">
        <f>SUMIFS(StockInData[Value],StockInData[Product ID],ProductMaster!$B1897)-SUMIFS(StockOutData[Value],StockOutData[Product ID],ProductMaster!$B1897)</f>
        <v>0</v>
      </c>
    </row>
    <row r="1898" spans="1:10" hidden="1" x14ac:dyDescent="0.25">
      <c r="A1898" s="82">
        <v>1897</v>
      </c>
      <c r="B1898" s="83" t="s">
        <v>3843</v>
      </c>
      <c r="C1898" s="85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3" t="s">
        <v>3845</v>
      </c>
      <c r="C1899" s="85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2">
        <v>1899</v>
      </c>
      <c r="B1900" s="83" t="s">
        <v>3847</v>
      </c>
      <c r="C1900" s="85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3" t="s">
        <v>3849</v>
      </c>
      <c r="C1901" s="85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2">
        <v>1901</v>
      </c>
      <c r="B1902" s="83" t="s">
        <v>3851</v>
      </c>
      <c r="C1902" s="85" t="s">
        <v>3852</v>
      </c>
      <c r="D1902" s="47"/>
      <c r="E1902" s="47"/>
      <c r="F1902" s="48"/>
      <c r="G1902" s="62" t="str">
        <f>IFERROR(INDEX(StockInData[Expiry],MATCH(ProductMaster[[#This Row],[Product ID]],StockInData[Product ID],0)),"")</f>
        <v/>
      </c>
      <c r="H1902" s="47"/>
      <c r="I1902" s="61">
        <f>SUMIFS(StockInData[Quantity],StockInData[Product ID],ProductMaster!$B1902)-SUMIFS(StockOutData[Quantity],StockOutData[Product ID],ProductMaster!$B1902)</f>
        <v>0</v>
      </c>
      <c r="J1902" s="63">
        <f>SUMIFS(StockInData[Value],StockInData[Product ID],ProductMaster!$B1902)-SUMIFS(StockOutData[Value],StockOutData[Product ID],ProductMaster!$B1902)</f>
        <v>0</v>
      </c>
    </row>
    <row r="1903" spans="1:10" hidden="1" x14ac:dyDescent="0.25">
      <c r="A1903" s="60">
        <v>1902</v>
      </c>
      <c r="B1903" s="83" t="s">
        <v>3853</v>
      </c>
      <c r="C1903" s="85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2">
        <v>1903</v>
      </c>
      <c r="B1904" s="83" t="s">
        <v>3855</v>
      </c>
      <c r="C1904" s="85" t="s">
        <v>3856</v>
      </c>
      <c r="D1904" s="47"/>
      <c r="E1904" s="47"/>
      <c r="F1904" s="48"/>
      <c r="G1904" s="62" t="str">
        <f>IFERROR(INDEX(StockInData[Expiry],MATCH(ProductMaster[[#This Row],[Product ID]],StockInData[Product ID],0)),"")</f>
        <v/>
      </c>
      <c r="H1904" s="47"/>
      <c r="I1904" s="61">
        <f>SUMIFS(StockInData[Quantity],StockInData[Product ID],ProductMaster!$B1904)-SUMIFS(StockOutData[Quantity],StockOutData[Product ID],ProductMaster!$B1904)</f>
        <v>0</v>
      </c>
      <c r="J1904" s="63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3" t="s">
        <v>3857</v>
      </c>
      <c r="C1905" s="85" t="s">
        <v>3858</v>
      </c>
      <c r="D1905" s="47"/>
      <c r="E1905" s="47"/>
      <c r="F1905" s="48"/>
      <c r="G1905" s="62" t="str">
        <f>IFERROR(INDEX(StockInData[Expiry],MATCH(ProductMaster[[#This Row],[Product ID]],StockInData[Product ID],0)),"")</f>
        <v/>
      </c>
      <c r="H1905" s="47"/>
      <c r="I1905" s="61">
        <f>SUMIFS(StockInData[Quantity],StockInData[Product ID],ProductMaster!$B1905)-SUMIFS(StockOutData[Quantity],StockOutData[Product ID],ProductMaster!$B1905)</f>
        <v>0</v>
      </c>
      <c r="J1905" s="63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82">
        <v>1905</v>
      </c>
      <c r="B1906" s="83" t="s">
        <v>3859</v>
      </c>
      <c r="C1906" s="85" t="s">
        <v>3860</v>
      </c>
      <c r="D1906" s="47"/>
      <c r="E1906" s="47"/>
      <c r="F1906" s="48"/>
      <c r="G1906" s="62" t="str">
        <f>IFERROR(INDEX(StockInData[Expiry],MATCH(ProductMaster[[#This Row],[Product ID]],StockInData[Product ID],0)),"")</f>
        <v/>
      </c>
      <c r="H1906" s="47"/>
      <c r="I1906" s="61">
        <f>SUMIFS(StockInData[Quantity],StockInData[Product ID],ProductMaster!$B1906)-SUMIFS(StockOutData[Quantity],StockOutData[Product ID],ProductMaster!$B1906)</f>
        <v>0</v>
      </c>
      <c r="J1906" s="63">
        <f>SUMIFS(StockInData[Value],StockInData[Product ID],ProductMaster!$B1906)-SUMIFS(StockOutData[Value],StockOutData[Product ID],ProductMaster!$B1906)</f>
        <v>0</v>
      </c>
    </row>
    <row r="1907" spans="1:10" hidden="1" x14ac:dyDescent="0.25">
      <c r="A1907" s="60">
        <v>1906</v>
      </c>
      <c r="B1907" s="83" t="s">
        <v>3861</v>
      </c>
      <c r="C1907" s="85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2">
        <v>1907</v>
      </c>
      <c r="B1908" s="83" t="s">
        <v>3863</v>
      </c>
      <c r="C1908" s="85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3" t="s">
        <v>3865</v>
      </c>
      <c r="C1909" s="85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2">
        <v>1909</v>
      </c>
      <c r="B1910" s="83" t="s">
        <v>3867</v>
      </c>
      <c r="C1910" s="85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3" t="s">
        <v>3869</v>
      </c>
      <c r="C1911" s="85" t="s">
        <v>3870</v>
      </c>
      <c r="D1911" s="47"/>
      <c r="E1911" s="47"/>
      <c r="F1911" s="48"/>
      <c r="G1911" s="62" t="str">
        <f>IFERROR(INDEX(StockInData[Expiry],MATCH(ProductMaster[[#This Row],[Product ID]],StockInData[Product ID],0)),"")</f>
        <v/>
      </c>
      <c r="H1911" s="47"/>
      <c r="I1911" s="61">
        <f>SUMIFS(StockInData[Quantity],StockInData[Product ID],ProductMaster!$B1911)-SUMIFS(StockOutData[Quantity],StockOutData[Product ID],ProductMaster!$B1911)</f>
        <v>0</v>
      </c>
      <c r="J1911" s="63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82">
        <v>1911</v>
      </c>
      <c r="B1912" s="83" t="s">
        <v>3871</v>
      </c>
      <c r="C1912" s="85" t="s">
        <v>3872</v>
      </c>
      <c r="D1912" s="47"/>
      <c r="E1912" s="47"/>
      <c r="F1912" s="48"/>
      <c r="G1912" s="62" t="str">
        <f>IFERROR(INDEX(StockInData[Expiry],MATCH(ProductMaster[[#This Row],[Product ID]],StockInData[Product ID],0)),"")</f>
        <v/>
      </c>
      <c r="H1912" s="47"/>
      <c r="I1912" s="61">
        <f>SUMIFS(StockInData[Quantity],StockInData[Product ID],ProductMaster!$B1912)-SUMIFS(StockOutData[Quantity],StockOutData[Product ID],ProductMaster!$B1912)</f>
        <v>0</v>
      </c>
      <c r="J1912" s="63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3" t="s">
        <v>3873</v>
      </c>
      <c r="C1913" s="85" t="s">
        <v>3874</v>
      </c>
      <c r="D1913" s="47"/>
      <c r="E1913" s="47"/>
      <c r="F1913" s="48"/>
      <c r="G1913" s="62" t="str">
        <f>IFERROR(INDEX(StockInData[Expiry],MATCH(ProductMaster[[#This Row],[Product ID]],StockInData[Product ID],0)),"")</f>
        <v/>
      </c>
      <c r="H1913" s="47"/>
      <c r="I1913" s="61">
        <f>SUMIFS(StockInData[Quantity],StockInData[Product ID],ProductMaster!$B1913)-SUMIFS(StockOutData[Quantity],StockOutData[Product ID],ProductMaster!$B1913)</f>
        <v>0</v>
      </c>
      <c r="J1913" s="63">
        <f>SUMIFS(StockInData[Value],StockInData[Product ID],ProductMaster!$B1913)-SUMIFS(StockOutData[Value],StockOutData[Product ID],ProductMaster!$B1913)</f>
        <v>0</v>
      </c>
    </row>
    <row r="1914" spans="1:10" hidden="1" x14ac:dyDescent="0.25">
      <c r="A1914" s="82">
        <v>1913</v>
      </c>
      <c r="B1914" s="83" t="s">
        <v>3875</v>
      </c>
      <c r="C1914" s="85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3" t="s">
        <v>3877</v>
      </c>
      <c r="C1915" s="85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2">
        <v>1915</v>
      </c>
      <c r="B1916" s="83" t="s">
        <v>3879</v>
      </c>
      <c r="C1916" s="85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3" t="s">
        <v>3881</v>
      </c>
      <c r="C1917" s="85" t="s">
        <v>3882</v>
      </c>
      <c r="D1917" s="47"/>
      <c r="E1917" s="47"/>
      <c r="F1917" s="48"/>
      <c r="G1917" s="62" t="str">
        <f>IFERROR(INDEX(StockInData[Expiry],MATCH(ProductMaster[[#This Row],[Product ID]],StockInData[Product ID],0)),"")</f>
        <v/>
      </c>
      <c r="H1917" s="47"/>
      <c r="I1917" s="61">
        <f>SUMIFS(StockInData[Quantity],StockInData[Product ID],ProductMaster!$B1917)-SUMIFS(StockOutData[Quantity],StockOutData[Product ID],ProductMaster!$B1917)</f>
        <v>0</v>
      </c>
      <c r="J1917" s="63">
        <f>SUMIFS(StockInData[Value],StockInData[Product ID],ProductMaster!$B1917)-SUMIFS(StockOutData[Value],StockOutData[Product ID],ProductMaster!$B1917)</f>
        <v>0</v>
      </c>
    </row>
    <row r="1918" spans="1:10" hidden="1" x14ac:dyDescent="0.25">
      <c r="A1918" s="82">
        <v>1917</v>
      </c>
      <c r="B1918" s="83" t="s">
        <v>3883</v>
      </c>
      <c r="C1918" s="85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3" t="s">
        <v>3885</v>
      </c>
      <c r="C1919" s="85" t="s">
        <v>3886</v>
      </c>
      <c r="D1919" s="47"/>
      <c r="E1919" s="47"/>
      <c r="F1919" s="48"/>
      <c r="G1919" s="62" t="str">
        <f>IFERROR(INDEX(StockInData[Expiry],MATCH(ProductMaster[[#This Row],[Product ID]],StockInData[Product ID],0)),"")</f>
        <v/>
      </c>
      <c r="H1919" s="47"/>
      <c r="I1919" s="61">
        <f>SUMIFS(StockInData[Quantity],StockInData[Product ID],ProductMaster!$B1919)-SUMIFS(StockOutData[Quantity],StockOutData[Product ID],ProductMaster!$B1919)</f>
        <v>0</v>
      </c>
      <c r="J1919" s="63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82">
        <v>1919</v>
      </c>
      <c r="B1920" s="83" t="s">
        <v>3887</v>
      </c>
      <c r="C1920" s="85" t="s">
        <v>3888</v>
      </c>
      <c r="D1920" s="47"/>
      <c r="E1920" s="47"/>
      <c r="F1920" s="48"/>
      <c r="G1920" s="62" t="str">
        <f>IFERROR(INDEX(StockInData[Expiry],MATCH(ProductMaster[[#This Row],[Product ID]],StockInData[Product ID],0)),"")</f>
        <v/>
      </c>
      <c r="H1920" s="47"/>
      <c r="I1920" s="61">
        <f>SUMIFS(StockInData[Quantity],StockInData[Product ID],ProductMaster!$B1920)-SUMIFS(StockOutData[Quantity],StockOutData[Product ID],ProductMaster!$B1920)</f>
        <v>0</v>
      </c>
      <c r="J1920" s="63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3" t="s">
        <v>3889</v>
      </c>
      <c r="C1921" s="85" t="s">
        <v>3890</v>
      </c>
      <c r="D1921" s="47"/>
      <c r="E1921" s="47"/>
      <c r="F1921" s="48"/>
      <c r="G1921" s="62" t="str">
        <f>IFERROR(INDEX(StockInData[Expiry],MATCH(ProductMaster[[#This Row],[Product ID]],StockInData[Product ID],0)),"")</f>
        <v/>
      </c>
      <c r="H1921" s="47"/>
      <c r="I1921" s="61">
        <f>SUMIFS(StockInData[Quantity],StockInData[Product ID],ProductMaster!$B1921)-SUMIFS(StockOutData[Quantity],StockOutData[Product ID],ProductMaster!$B1921)</f>
        <v>0</v>
      </c>
      <c r="J1921" s="63">
        <f>SUMIFS(StockInData[Value],StockInData[Product ID],ProductMaster!$B1921)-SUMIFS(StockOutData[Value],StockOutData[Product ID],ProductMaster!$B1921)</f>
        <v>0</v>
      </c>
    </row>
    <row r="1922" spans="1:10" hidden="1" x14ac:dyDescent="0.25">
      <c r="A1922" s="82">
        <v>1921</v>
      </c>
      <c r="B1922" s="83" t="s">
        <v>3891</v>
      </c>
      <c r="C1922" s="85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3" t="s">
        <v>3893</v>
      </c>
      <c r="C1923" s="85" t="s">
        <v>3894</v>
      </c>
      <c r="D1923" s="47"/>
      <c r="E1923" s="47"/>
      <c r="F1923" s="48"/>
      <c r="G1923" s="62" t="str">
        <f>IFERROR(INDEX(StockInData[Expiry],MATCH(ProductMaster[[#This Row],[Product ID]],StockInData[Product ID],0)),"")</f>
        <v/>
      </c>
      <c r="H1923" s="47"/>
      <c r="I1923" s="61">
        <f>SUMIFS(StockInData[Quantity],StockInData[Product ID],ProductMaster!$B1923)-SUMIFS(StockOutData[Quantity],StockOutData[Product ID],ProductMaster!$B1923)</f>
        <v>0</v>
      </c>
      <c r="J1923" s="63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82">
        <v>1923</v>
      </c>
      <c r="B1924" s="83" t="s">
        <v>3895</v>
      </c>
      <c r="C1924" s="85" t="s">
        <v>3896</v>
      </c>
      <c r="D1924" s="47"/>
      <c r="E1924" s="47"/>
      <c r="F1924" s="48"/>
      <c r="G1924" s="62" t="str">
        <f>IFERROR(INDEX(StockInData[Expiry],MATCH(ProductMaster[[#This Row],[Product ID]],StockInData[Product ID],0)),"")</f>
        <v/>
      </c>
      <c r="H1924" s="47"/>
      <c r="I1924" s="61">
        <f>SUMIFS(StockInData[Quantity],StockInData[Product ID],ProductMaster!$B1924)-SUMIFS(StockOutData[Quantity],StockOutData[Product ID],ProductMaster!$B1924)</f>
        <v>0</v>
      </c>
      <c r="J1924" s="63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3" t="s">
        <v>3897</v>
      </c>
      <c r="C1925" s="85" t="s">
        <v>3898</v>
      </c>
      <c r="D1925" s="47"/>
      <c r="E1925" s="47"/>
      <c r="F1925" s="48"/>
      <c r="G1925" s="62" t="str">
        <f>IFERROR(INDEX(StockInData[Expiry],MATCH(ProductMaster[[#This Row],[Product ID]],StockInData[Product ID],0)),"")</f>
        <v/>
      </c>
      <c r="H1925" s="47"/>
      <c r="I1925" s="61">
        <f>SUMIFS(StockInData[Quantity],StockInData[Product ID],ProductMaster!$B1925)-SUMIFS(StockOutData[Quantity],StockOutData[Product ID],ProductMaster!$B1925)</f>
        <v>0</v>
      </c>
      <c r="J1925" s="63">
        <f>SUMIFS(StockInData[Value],StockInData[Product ID],ProductMaster!$B1925)-SUMIFS(StockOutData[Value],StockOutData[Product ID],ProductMaster!$B1925)</f>
        <v>0</v>
      </c>
    </row>
    <row r="1926" spans="1:10" hidden="1" x14ac:dyDescent="0.25">
      <c r="A1926" s="82">
        <v>1925</v>
      </c>
      <c r="B1926" s="83" t="s">
        <v>3899</v>
      </c>
      <c r="C1926" s="85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3" t="s">
        <v>3901</v>
      </c>
      <c r="C1927" s="85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2">
        <v>1927</v>
      </c>
      <c r="B1928" s="83" t="s">
        <v>3903</v>
      </c>
      <c r="C1928" s="85" t="s">
        <v>3904</v>
      </c>
      <c r="D1928" s="47"/>
      <c r="E1928" s="47"/>
      <c r="F1928" s="48"/>
      <c r="G1928" s="62" t="str">
        <f>IFERROR(INDEX(StockInData[Expiry],MATCH(ProductMaster[[#This Row],[Product ID]],StockInData[Product ID],0)),"")</f>
        <v/>
      </c>
      <c r="H1928" s="47"/>
      <c r="I1928" s="61">
        <f>SUMIFS(StockInData[Quantity],StockInData[Product ID],ProductMaster!$B1928)-SUMIFS(StockOutData[Quantity],StockOutData[Product ID],ProductMaster!$B1928)</f>
        <v>0</v>
      </c>
      <c r="J1928" s="63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3" t="s">
        <v>3905</v>
      </c>
      <c r="C1929" s="85" t="s">
        <v>3906</v>
      </c>
      <c r="D1929" s="47"/>
      <c r="E1929" s="47"/>
      <c r="F1929" s="48"/>
      <c r="G1929" s="62" t="str">
        <f>IFERROR(INDEX(StockInData[Expiry],MATCH(ProductMaster[[#This Row],[Product ID]],StockInData[Product ID],0)),"")</f>
        <v/>
      </c>
      <c r="H1929" s="47"/>
      <c r="I1929" s="61">
        <f>SUMIFS(StockInData[Quantity],StockInData[Product ID],ProductMaster!$B1929)-SUMIFS(StockOutData[Quantity],StockOutData[Product ID],ProductMaster!$B1929)</f>
        <v>0</v>
      </c>
      <c r="J1929" s="63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82">
        <v>1929</v>
      </c>
      <c r="B1930" s="83" t="s">
        <v>3907</v>
      </c>
      <c r="C1930" s="85" t="s">
        <v>3908</v>
      </c>
      <c r="D1930" s="47"/>
      <c r="E1930" s="47"/>
      <c r="F1930" s="48"/>
      <c r="G1930" s="62" t="str">
        <f>IFERROR(INDEX(StockInData[Expiry],MATCH(ProductMaster[[#This Row],[Product ID]],StockInData[Product ID],0)),"")</f>
        <v/>
      </c>
      <c r="H1930" s="47"/>
      <c r="I1930" s="61">
        <f>SUMIFS(StockInData[Quantity],StockInData[Product ID],ProductMaster!$B1930)-SUMIFS(StockOutData[Quantity],StockOutData[Product ID],ProductMaster!$B1930)</f>
        <v>0</v>
      </c>
      <c r="J1930" s="63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3" t="s">
        <v>3909</v>
      </c>
      <c r="C1931" s="85" t="s">
        <v>3910</v>
      </c>
      <c r="D1931" s="47"/>
      <c r="E1931" s="47"/>
      <c r="F1931" s="48"/>
      <c r="G1931" s="62" t="str">
        <f>IFERROR(INDEX(StockInData[Expiry],MATCH(ProductMaster[[#This Row],[Product ID]],StockInData[Product ID],0)),"")</f>
        <v/>
      </c>
      <c r="H1931" s="47"/>
      <c r="I1931" s="61">
        <f>SUMIFS(StockInData[Quantity],StockInData[Product ID],ProductMaster!$B1931)-SUMIFS(StockOutData[Quantity],StockOutData[Product ID],ProductMaster!$B1931)</f>
        <v>0</v>
      </c>
      <c r="J1931" s="63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82">
        <v>1931</v>
      </c>
      <c r="B1932" s="83" t="s">
        <v>3911</v>
      </c>
      <c r="C1932" s="85" t="s">
        <v>3912</v>
      </c>
      <c r="D1932" s="47"/>
      <c r="E1932" s="47"/>
      <c r="F1932" s="48"/>
      <c r="G1932" s="62" t="str">
        <f>IFERROR(INDEX(StockInData[Expiry],MATCH(ProductMaster[[#This Row],[Product ID]],StockInData[Product ID],0)),"")</f>
        <v/>
      </c>
      <c r="H1932" s="47"/>
      <c r="I1932" s="61">
        <f>SUMIFS(StockInData[Quantity],StockInData[Product ID],ProductMaster!$B1932)-SUMIFS(StockOutData[Quantity],StockOutData[Product ID],ProductMaster!$B1932)</f>
        <v>0</v>
      </c>
      <c r="J1932" s="63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3" t="s">
        <v>3913</v>
      </c>
      <c r="C1933" s="85" t="s">
        <v>3914</v>
      </c>
      <c r="D1933" s="47"/>
      <c r="E1933" s="47"/>
      <c r="F1933" s="48"/>
      <c r="G1933" s="62" t="str">
        <f>IFERROR(INDEX(StockInData[Expiry],MATCH(ProductMaster[[#This Row],[Product ID]],StockInData[Product ID],0)),"")</f>
        <v/>
      </c>
      <c r="H1933" s="47"/>
      <c r="I1933" s="61">
        <f>SUMIFS(StockInData[Quantity],StockInData[Product ID],ProductMaster!$B1933)-SUMIFS(StockOutData[Quantity],StockOutData[Product ID],ProductMaster!$B1933)</f>
        <v>0</v>
      </c>
      <c r="J1933" s="63">
        <f>SUMIFS(StockInData[Value],StockInData[Product ID],ProductMaster!$B1933)-SUMIFS(StockOutData[Value],StockOutData[Product ID],ProductMaster!$B1933)</f>
        <v>0</v>
      </c>
    </row>
    <row r="1934" spans="1:10" hidden="1" x14ac:dyDescent="0.25">
      <c r="A1934" s="82">
        <v>1933</v>
      </c>
      <c r="B1934" s="83" t="s">
        <v>3915</v>
      </c>
      <c r="C1934" s="85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3" t="s">
        <v>3917</v>
      </c>
      <c r="C1935" s="85" t="s">
        <v>3918</v>
      </c>
      <c r="D1935" s="47"/>
      <c r="E1935" s="47"/>
      <c r="F1935" s="48"/>
      <c r="G1935" s="62" t="str">
        <f>IFERROR(INDEX(StockInData[Expiry],MATCH(ProductMaster[[#This Row],[Product ID]],StockInData[Product ID],0)),"")</f>
        <v/>
      </c>
      <c r="H1935" s="47"/>
      <c r="I1935" s="61">
        <f>SUMIFS(StockInData[Quantity],StockInData[Product ID],ProductMaster!$B1935)-SUMIFS(StockOutData[Quantity],StockOutData[Product ID],ProductMaster!$B1935)</f>
        <v>0</v>
      </c>
      <c r="J1935" s="63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82">
        <v>1935</v>
      </c>
      <c r="B1936" s="83" t="s">
        <v>3919</v>
      </c>
      <c r="C1936" s="85" t="s">
        <v>3920</v>
      </c>
      <c r="D1936" s="47"/>
      <c r="E1936" s="47"/>
      <c r="F1936" s="48"/>
      <c r="G1936" s="62" t="str">
        <f>IFERROR(INDEX(StockInData[Expiry],MATCH(ProductMaster[[#This Row],[Product ID]],StockInData[Product ID],0)),"")</f>
        <v/>
      </c>
      <c r="H1936" s="47"/>
      <c r="I1936" s="61">
        <f>SUMIFS(StockInData[Quantity],StockInData[Product ID],ProductMaster!$B1936)-SUMIFS(StockOutData[Quantity],StockOutData[Product ID],ProductMaster!$B1936)</f>
        <v>0</v>
      </c>
      <c r="J1936" s="63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3" t="s">
        <v>3921</v>
      </c>
      <c r="C1937" s="85" t="s">
        <v>3922</v>
      </c>
      <c r="D1937" s="47"/>
      <c r="E1937" s="47"/>
      <c r="F1937" s="48"/>
      <c r="G1937" s="62" t="str">
        <f>IFERROR(INDEX(StockInData[Expiry],MATCH(ProductMaster[[#This Row],[Product ID]],StockInData[Product ID],0)),"")</f>
        <v/>
      </c>
      <c r="H1937" s="47"/>
      <c r="I1937" s="61">
        <f>SUMIFS(StockInData[Quantity],StockInData[Product ID],ProductMaster!$B1937)-SUMIFS(StockOutData[Quantity],StockOutData[Product ID],ProductMaster!$B1937)</f>
        <v>0</v>
      </c>
      <c r="J1937" s="63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82">
        <v>1937</v>
      </c>
      <c r="B1938" s="83" t="s">
        <v>3923</v>
      </c>
      <c r="C1938" s="85" t="s">
        <v>3924</v>
      </c>
      <c r="D1938" s="47"/>
      <c r="E1938" s="47"/>
      <c r="F1938" s="48"/>
      <c r="G1938" s="62" t="str">
        <f>IFERROR(INDEX(StockInData[Expiry],MATCH(ProductMaster[[#This Row],[Product ID]],StockInData[Product ID],0)),"")</f>
        <v/>
      </c>
      <c r="H1938" s="47"/>
      <c r="I1938" s="61">
        <f>SUMIFS(StockInData[Quantity],StockInData[Product ID],ProductMaster!$B1938)-SUMIFS(StockOutData[Quantity],StockOutData[Product ID],ProductMaster!$B1938)</f>
        <v>0</v>
      </c>
      <c r="J1938" s="63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3" t="s">
        <v>3925</v>
      </c>
      <c r="C1939" s="85" t="s">
        <v>3926</v>
      </c>
      <c r="D1939" s="47"/>
      <c r="E1939" s="47"/>
      <c r="F1939" s="48"/>
      <c r="G1939" s="62" t="str">
        <f>IFERROR(INDEX(StockInData[Expiry],MATCH(ProductMaster[[#This Row],[Product ID]],StockInData[Product ID],0)),"")</f>
        <v/>
      </c>
      <c r="H1939" s="47"/>
      <c r="I1939" s="61">
        <f>SUMIFS(StockInData[Quantity],StockInData[Product ID],ProductMaster!$B1939)-SUMIFS(StockOutData[Quantity],StockOutData[Product ID],ProductMaster!$B1939)</f>
        <v>0</v>
      </c>
      <c r="J1939" s="63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82">
        <v>1939</v>
      </c>
      <c r="B1940" s="83" t="s">
        <v>3927</v>
      </c>
      <c r="C1940" s="85" t="s">
        <v>3928</v>
      </c>
      <c r="D1940" s="47"/>
      <c r="E1940" s="47"/>
      <c r="F1940" s="48"/>
      <c r="G1940" s="62" t="str">
        <f>IFERROR(INDEX(StockInData[Expiry],MATCH(ProductMaster[[#This Row],[Product ID]],StockInData[Product ID],0)),"")</f>
        <v/>
      </c>
      <c r="H1940" s="47"/>
      <c r="I1940" s="61">
        <f>SUMIFS(StockInData[Quantity],StockInData[Product ID],ProductMaster!$B1940)-SUMIFS(StockOutData[Quantity],StockOutData[Product ID],ProductMaster!$B1940)</f>
        <v>0</v>
      </c>
      <c r="J1940" s="63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3" t="s">
        <v>3929</v>
      </c>
      <c r="C1941" s="85" t="s">
        <v>3930</v>
      </c>
      <c r="D1941" s="47"/>
      <c r="E1941" s="47"/>
      <c r="F1941" s="48"/>
      <c r="G1941" s="62" t="str">
        <f>IFERROR(INDEX(StockInData[Expiry],MATCH(ProductMaster[[#This Row],[Product ID]],StockInData[Product ID],0)),"")</f>
        <v/>
      </c>
      <c r="H1941" s="47"/>
      <c r="I1941" s="61">
        <f>SUMIFS(StockInData[Quantity],StockInData[Product ID],ProductMaster!$B1941)-SUMIFS(StockOutData[Quantity],StockOutData[Product ID],ProductMaster!$B1941)</f>
        <v>0</v>
      </c>
      <c r="J1941" s="63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82">
        <v>1941</v>
      </c>
      <c r="B1942" s="83" t="s">
        <v>3931</v>
      </c>
      <c r="C1942" s="85" t="s">
        <v>3932</v>
      </c>
      <c r="D1942" s="47"/>
      <c r="E1942" s="47"/>
      <c r="F1942" s="48"/>
      <c r="G1942" s="62" t="str">
        <f>IFERROR(INDEX(StockInData[Expiry],MATCH(ProductMaster[[#This Row],[Product ID]],StockInData[Product ID],0)),"")</f>
        <v/>
      </c>
      <c r="H1942" s="47"/>
      <c r="I1942" s="61">
        <f>SUMIFS(StockInData[Quantity],StockInData[Product ID],ProductMaster!$B1942)-SUMIFS(StockOutData[Quantity],StockOutData[Product ID],ProductMaster!$B1942)</f>
        <v>0</v>
      </c>
      <c r="J1942" s="63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3" t="s">
        <v>3933</v>
      </c>
      <c r="C1943" s="85" t="s">
        <v>3934</v>
      </c>
      <c r="D1943" s="47"/>
      <c r="E1943" s="47"/>
      <c r="F1943" s="48"/>
      <c r="G1943" s="62" t="str">
        <f>IFERROR(INDEX(StockInData[Expiry],MATCH(ProductMaster[[#This Row],[Product ID]],StockInData[Product ID],0)),"")</f>
        <v/>
      </c>
      <c r="H1943" s="47"/>
      <c r="I1943" s="61">
        <f>SUMIFS(StockInData[Quantity],StockInData[Product ID],ProductMaster!$B1943)-SUMIFS(StockOutData[Quantity],StockOutData[Product ID],ProductMaster!$B1943)</f>
        <v>0</v>
      </c>
      <c r="J1943" s="63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82">
        <v>1943</v>
      </c>
      <c r="B1944" s="83" t="s">
        <v>3935</v>
      </c>
      <c r="C1944" s="85" t="s">
        <v>3936</v>
      </c>
      <c r="D1944" s="47"/>
      <c r="E1944" s="47"/>
      <c r="F1944" s="48"/>
      <c r="G1944" s="62" t="str">
        <f>IFERROR(INDEX(StockInData[Expiry],MATCH(ProductMaster[[#This Row],[Product ID]],StockInData[Product ID],0)),"")</f>
        <v/>
      </c>
      <c r="H1944" s="47"/>
      <c r="I1944" s="61">
        <f>SUMIFS(StockInData[Quantity],StockInData[Product ID],ProductMaster!$B1944)-SUMIFS(StockOutData[Quantity],StockOutData[Product ID],ProductMaster!$B1944)</f>
        <v>0</v>
      </c>
      <c r="J1944" s="63">
        <f>SUMIFS(StockInData[Value],StockInData[Product ID],ProductMaster!$B1944)-SUMIFS(StockOutData[Value],StockOutData[Product ID],ProductMaster!$B1944)</f>
        <v>0</v>
      </c>
    </row>
    <row r="1945" spans="1:10" hidden="1" x14ac:dyDescent="0.25">
      <c r="A1945" s="60">
        <v>1944</v>
      </c>
      <c r="B1945" s="83" t="s">
        <v>3937</v>
      </c>
      <c r="C1945" s="85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2">
        <v>1945</v>
      </c>
      <c r="B1946" s="83" t="s">
        <v>3939</v>
      </c>
      <c r="C1946" s="85" t="s">
        <v>3940</v>
      </c>
      <c r="D1946" s="47"/>
      <c r="E1946" s="47"/>
      <c r="F1946" s="48"/>
      <c r="G1946" s="62" t="str">
        <f>IFERROR(INDEX(StockInData[Expiry],MATCH(ProductMaster[[#This Row],[Product ID]],StockInData[Product ID],0)),"")</f>
        <v/>
      </c>
      <c r="H1946" s="47"/>
      <c r="I1946" s="61">
        <f>SUMIFS(StockInData[Quantity],StockInData[Product ID],ProductMaster!$B1946)-SUMIFS(StockOutData[Quantity],StockOutData[Product ID],ProductMaster!$B1946)</f>
        <v>0</v>
      </c>
      <c r="J1946" s="63">
        <f>SUMIFS(StockInData[Value],StockInData[Product ID],ProductMaster!$B1946)-SUMIFS(StockOutData[Value],StockOutData[Product ID],ProductMaster!$B1946)</f>
        <v>0</v>
      </c>
    </row>
    <row r="1947" spans="1:10" hidden="1" x14ac:dyDescent="0.25">
      <c r="A1947" s="60">
        <v>1946</v>
      </c>
      <c r="B1947" s="83" t="s">
        <v>3941</v>
      </c>
      <c r="C1947" s="85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2">
        <v>1947</v>
      </c>
      <c r="B1948" s="83" t="s">
        <v>3943</v>
      </c>
      <c r="C1948" s="85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3" t="s">
        <v>3945</v>
      </c>
      <c r="C1949" s="85" t="s">
        <v>3946</v>
      </c>
      <c r="D1949" s="47"/>
      <c r="E1949" s="47"/>
      <c r="F1949" s="48"/>
      <c r="G1949" s="62" t="str">
        <f>IFERROR(INDEX(StockInData[Expiry],MATCH(ProductMaster[[#This Row],[Product ID]],StockInData[Product ID],0)),"")</f>
        <v/>
      </c>
      <c r="H1949" s="47"/>
      <c r="I1949" s="61">
        <f>SUMIFS(StockInData[Quantity],StockInData[Product ID],ProductMaster!$B1949)-SUMIFS(StockOutData[Quantity],StockOutData[Product ID],ProductMaster!$B1949)</f>
        <v>0</v>
      </c>
      <c r="J1949" s="63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82">
        <v>1949</v>
      </c>
      <c r="B1950" s="83" t="s">
        <v>3947</v>
      </c>
      <c r="C1950" s="85" t="s">
        <v>3948</v>
      </c>
      <c r="D1950" s="47"/>
      <c r="E1950" s="47"/>
      <c r="F1950" s="48"/>
      <c r="G1950" s="62" t="str">
        <f>IFERROR(INDEX(StockInData[Expiry],MATCH(ProductMaster[[#This Row],[Product ID]],StockInData[Product ID],0)),"")</f>
        <v/>
      </c>
      <c r="H1950" s="47"/>
      <c r="I1950" s="61">
        <f>SUMIFS(StockInData[Quantity],StockInData[Product ID],ProductMaster!$B1950)-SUMIFS(StockOutData[Quantity],StockOutData[Product ID],ProductMaster!$B1950)</f>
        <v>0</v>
      </c>
      <c r="J1950" s="63">
        <f>SUMIFS(StockInData[Value],StockInData[Product ID],ProductMaster!$B1950)-SUMIFS(StockOutData[Value],StockOutData[Product ID],ProductMaster!$B1950)</f>
        <v>0</v>
      </c>
    </row>
    <row r="1951" spans="1:10" hidden="1" x14ac:dyDescent="0.25">
      <c r="A1951" s="60">
        <v>1950</v>
      </c>
      <c r="B1951" s="83" t="s">
        <v>3949</v>
      </c>
      <c r="C1951" s="85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2">
        <v>1951</v>
      </c>
      <c r="B1952" s="83" t="s">
        <v>3951</v>
      </c>
      <c r="C1952" s="85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3" t="s">
        <v>3953</v>
      </c>
      <c r="C1953" s="85" t="s">
        <v>3954</v>
      </c>
      <c r="D1953" s="47"/>
      <c r="E1953" s="47"/>
      <c r="F1953" s="48"/>
      <c r="G1953" s="62" t="str">
        <f>IFERROR(INDEX(StockInData[Expiry],MATCH(ProductMaster[[#This Row],[Product ID]],StockInData[Product ID],0)),"")</f>
        <v/>
      </c>
      <c r="H1953" s="47"/>
      <c r="I1953" s="61">
        <f>SUMIFS(StockInData[Quantity],StockInData[Product ID],ProductMaster!$B1953)-SUMIFS(StockOutData[Quantity],StockOutData[Product ID],ProductMaster!$B1953)</f>
        <v>0</v>
      </c>
      <c r="J1953" s="63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82">
        <v>1953</v>
      </c>
      <c r="B1954" s="83" t="s">
        <v>3955</v>
      </c>
      <c r="C1954" s="85" t="s">
        <v>3956</v>
      </c>
      <c r="D1954" s="47"/>
      <c r="E1954" s="47"/>
      <c r="F1954" s="48"/>
      <c r="G1954" s="62" t="str">
        <f>IFERROR(INDEX(StockInData[Expiry],MATCH(ProductMaster[[#This Row],[Product ID]],StockInData[Product ID],0)),"")</f>
        <v/>
      </c>
      <c r="H1954" s="47"/>
      <c r="I1954" s="61">
        <f>SUMIFS(StockInData[Quantity],StockInData[Product ID],ProductMaster!$B1954)-SUMIFS(StockOutData[Quantity],StockOutData[Product ID],ProductMaster!$B1954)</f>
        <v>0</v>
      </c>
      <c r="J1954" s="63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3" t="s">
        <v>3957</v>
      </c>
      <c r="C1955" s="85" t="s">
        <v>3958</v>
      </c>
      <c r="D1955" s="47"/>
      <c r="E1955" s="47"/>
      <c r="F1955" s="48"/>
      <c r="G1955" s="62" t="str">
        <f>IFERROR(INDEX(StockInData[Expiry],MATCH(ProductMaster[[#This Row],[Product ID]],StockInData[Product ID],0)),"")</f>
        <v/>
      </c>
      <c r="H1955" s="47"/>
      <c r="I1955" s="61">
        <f>SUMIFS(StockInData[Quantity],StockInData[Product ID],ProductMaster!$B1955)-SUMIFS(StockOutData[Quantity],StockOutData[Product ID],ProductMaster!$B1955)</f>
        <v>0</v>
      </c>
      <c r="J1955" s="63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82">
        <v>1955</v>
      </c>
      <c r="B1956" s="83" t="s">
        <v>3959</v>
      </c>
      <c r="C1956" s="85" t="s">
        <v>3960</v>
      </c>
      <c r="D1956" s="47"/>
      <c r="E1956" s="47"/>
      <c r="F1956" s="48"/>
      <c r="G1956" s="62" t="str">
        <f>IFERROR(INDEX(StockInData[Expiry],MATCH(ProductMaster[[#This Row],[Product ID]],StockInData[Product ID],0)),"")</f>
        <v/>
      </c>
      <c r="H1956" s="47"/>
      <c r="I1956" s="61">
        <f>SUMIFS(StockInData[Quantity],StockInData[Product ID],ProductMaster!$B1956)-SUMIFS(StockOutData[Quantity],StockOutData[Product ID],ProductMaster!$B1956)</f>
        <v>0</v>
      </c>
      <c r="J1956" s="63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0">
        <v>1956</v>
      </c>
      <c r="B1957" s="83" t="s">
        <v>3961</v>
      </c>
      <c r="C1957" s="85" t="s">
        <v>3962</v>
      </c>
      <c r="D1957" s="47"/>
      <c r="E1957" s="47"/>
      <c r="F1957" s="48"/>
      <c r="G1957" s="62" t="str">
        <f>IFERROR(INDEX(StockInData[Expiry],MATCH(ProductMaster[[#This Row],[Product ID]],StockInData[Product ID],0)),"")</f>
        <v/>
      </c>
      <c r="H1957" s="47"/>
      <c r="I1957" s="61">
        <f>SUMIFS(StockInData[Quantity],StockInData[Product ID],ProductMaster!$B1957)-SUMIFS(StockOutData[Quantity],StockOutData[Product ID],ProductMaster!$B1957)</f>
        <v>0</v>
      </c>
      <c r="J1957" s="63">
        <f>SUMIFS(StockInData[Value],StockInData[Product ID],ProductMaster!$B1957)-SUMIFS(StockOutData[Value],StockOutData[Product ID],ProductMaster!$B1957)</f>
        <v>0</v>
      </c>
    </row>
    <row r="1958" spans="1:10" hidden="1" x14ac:dyDescent="0.25">
      <c r="A1958" s="82">
        <v>1957</v>
      </c>
      <c r="B1958" s="83" t="s">
        <v>3963</v>
      </c>
      <c r="C1958" s="85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3" t="s">
        <v>3965</v>
      </c>
      <c r="C1959" s="85" t="s">
        <v>3966</v>
      </c>
      <c r="D1959" s="47"/>
      <c r="E1959" s="47"/>
      <c r="F1959" s="48"/>
      <c r="G1959" s="62" t="str">
        <f>IFERROR(INDEX(StockInData[Expiry],MATCH(ProductMaster[[#This Row],[Product ID]],StockInData[Product ID],0)),"")</f>
        <v/>
      </c>
      <c r="H1959" s="47"/>
      <c r="I1959" s="61">
        <f>SUMIFS(StockInData[Quantity],StockInData[Product ID],ProductMaster!$B1959)-SUMIFS(StockOutData[Quantity],StockOutData[Product ID],ProductMaster!$B1959)</f>
        <v>0</v>
      </c>
      <c r="J1959" s="63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82">
        <v>1959</v>
      </c>
      <c r="B1960" s="83" t="s">
        <v>3967</v>
      </c>
      <c r="C1960" s="85" t="s">
        <v>3968</v>
      </c>
      <c r="D1960" s="47"/>
      <c r="E1960" s="47"/>
      <c r="F1960" s="48"/>
      <c r="G1960" s="62" t="str">
        <f>IFERROR(INDEX(StockInData[Expiry],MATCH(ProductMaster[[#This Row],[Product ID]],StockInData[Product ID],0)),"")</f>
        <v/>
      </c>
      <c r="H1960" s="47"/>
      <c r="I1960" s="61">
        <f>SUMIFS(StockInData[Quantity],StockInData[Product ID],ProductMaster!$B1960)-SUMIFS(StockOutData[Quantity],StockOutData[Product ID],ProductMaster!$B1960)</f>
        <v>0</v>
      </c>
      <c r="J1960" s="63">
        <f>SUMIFS(StockInData[Value],StockInData[Product ID],ProductMaster!$B1960)-SUMIFS(StockOutData[Value],StockOutData[Product ID],ProductMaster!$B1960)</f>
        <v>0</v>
      </c>
    </row>
    <row r="1961" spans="1:10" hidden="1" x14ac:dyDescent="0.25">
      <c r="A1961" s="60">
        <v>1960</v>
      </c>
      <c r="B1961" s="83" t="s">
        <v>3969</v>
      </c>
      <c r="C1961" s="85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82">
        <v>1961</v>
      </c>
      <c r="B1962" s="83" t="s">
        <v>3971</v>
      </c>
      <c r="C1962" s="85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3" t="s">
        <v>3973</v>
      </c>
      <c r="C1963" s="85" t="s">
        <v>3974</v>
      </c>
      <c r="D1963" s="47"/>
      <c r="E1963" s="47"/>
      <c r="F1963" s="48"/>
      <c r="G1963" s="62" t="str">
        <f>IFERROR(INDEX(StockInData[Expiry],MATCH(ProductMaster[[#This Row],[Product ID]],StockInData[Product ID],0)),"")</f>
        <v/>
      </c>
      <c r="H1963" s="47"/>
      <c r="I1963" s="61">
        <f>SUMIFS(StockInData[Quantity],StockInData[Product ID],ProductMaster!$B1963)-SUMIFS(StockOutData[Quantity],StockOutData[Product ID],ProductMaster!$B1963)</f>
        <v>0</v>
      </c>
      <c r="J1963" s="63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82">
        <v>1963</v>
      </c>
      <c r="B1964" s="83" t="s">
        <v>3975</v>
      </c>
      <c r="C1964" s="85" t="s">
        <v>3976</v>
      </c>
      <c r="D1964" s="47"/>
      <c r="E1964" s="47"/>
      <c r="F1964" s="48"/>
      <c r="G1964" s="62" t="str">
        <f>IFERROR(INDEX(StockInData[Expiry],MATCH(ProductMaster[[#This Row],[Product ID]],StockInData[Product ID],0)),"")</f>
        <v/>
      </c>
      <c r="H1964" s="47"/>
      <c r="I1964" s="61">
        <f>SUMIFS(StockInData[Quantity],StockInData[Product ID],ProductMaster!$B1964)-SUMIFS(StockOutData[Quantity],StockOutData[Product ID],ProductMaster!$B1964)</f>
        <v>0</v>
      </c>
      <c r="J1964" s="63">
        <f>SUMIFS(StockInData[Value],StockInData[Product ID],ProductMaster!$B1964)-SUMIFS(StockOutData[Value],StockOutData[Product ID],ProductMaster!$B1964)</f>
        <v>0</v>
      </c>
    </row>
    <row r="1965" spans="1:10" hidden="1" x14ac:dyDescent="0.25">
      <c r="A1965" s="60">
        <v>1964</v>
      </c>
      <c r="B1965" s="83" t="s">
        <v>3977</v>
      </c>
      <c r="C1965" s="85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82">
        <v>1965</v>
      </c>
      <c r="B1966" s="83" t="s">
        <v>3979</v>
      </c>
      <c r="C1966" s="85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3" t="s">
        <v>3981</v>
      </c>
      <c r="C1967" s="85" t="s">
        <v>3982</v>
      </c>
      <c r="D1967" s="47"/>
      <c r="E1967" s="47"/>
      <c r="F1967" s="48"/>
      <c r="G1967" s="62" t="str">
        <f>IFERROR(INDEX(StockInData[Expiry],MATCH(ProductMaster[[#This Row],[Product ID]],StockInData[Product ID],0)),"")</f>
        <v/>
      </c>
      <c r="H1967" s="47"/>
      <c r="I1967" s="61">
        <f>SUMIFS(StockInData[Quantity],StockInData[Product ID],ProductMaster!$B1967)-SUMIFS(StockOutData[Quantity],StockOutData[Product ID],ProductMaster!$B1967)</f>
        <v>0</v>
      </c>
      <c r="J1967" s="63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82">
        <v>1967</v>
      </c>
      <c r="B1968" s="83" t="s">
        <v>3983</v>
      </c>
      <c r="C1968" s="85" t="s">
        <v>3984</v>
      </c>
      <c r="D1968" s="47"/>
      <c r="E1968" s="47"/>
      <c r="F1968" s="48"/>
      <c r="G1968" s="62" t="str">
        <f>IFERROR(INDEX(StockInData[Expiry],MATCH(ProductMaster[[#This Row],[Product ID]],StockInData[Product ID],0)),"")</f>
        <v/>
      </c>
      <c r="H1968" s="47"/>
      <c r="I1968" s="61">
        <f>SUMIFS(StockInData[Quantity],StockInData[Product ID],ProductMaster!$B1968)-SUMIFS(StockOutData[Quantity],StockOutData[Product ID],ProductMaster!$B1968)</f>
        <v>0</v>
      </c>
      <c r="J1968" s="63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3" t="s">
        <v>3985</v>
      </c>
      <c r="C1969" s="85" t="s">
        <v>3986</v>
      </c>
      <c r="D1969" s="47"/>
      <c r="E1969" s="47"/>
      <c r="F1969" s="48"/>
      <c r="G1969" s="62" t="str">
        <f>IFERROR(INDEX(StockInData[Expiry],MATCH(ProductMaster[[#This Row],[Product ID]],StockInData[Product ID],0)),"")</f>
        <v/>
      </c>
      <c r="H1969" s="47"/>
      <c r="I1969" s="61">
        <f>SUMIFS(StockInData[Quantity],StockInData[Product ID],ProductMaster!$B1969)-SUMIFS(StockOutData[Quantity],StockOutData[Product ID],ProductMaster!$B1969)</f>
        <v>0</v>
      </c>
      <c r="J1969" s="63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82">
        <v>1969</v>
      </c>
      <c r="B1970" s="83" t="s">
        <v>3987</v>
      </c>
      <c r="C1970" s="85" t="s">
        <v>3988</v>
      </c>
      <c r="D1970" s="47"/>
      <c r="E1970" s="47"/>
      <c r="F1970" s="48"/>
      <c r="G1970" s="62" t="str">
        <f>IFERROR(INDEX(StockInData[Expiry],MATCH(ProductMaster[[#This Row],[Product ID]],StockInData[Product ID],0)),"")</f>
        <v/>
      </c>
      <c r="H1970" s="47"/>
      <c r="I1970" s="61">
        <f>SUMIFS(StockInData[Quantity],StockInData[Product ID],ProductMaster!$B1970)-SUMIFS(StockOutData[Quantity],StockOutData[Product ID],ProductMaster!$B1970)</f>
        <v>0</v>
      </c>
      <c r="J1970" s="63">
        <f>SUMIFS(StockInData[Value],StockInData[Product ID],ProductMaster!$B1970)-SUMIFS(StockOutData[Value],StockOutData[Product ID],ProductMaster!$B1970)</f>
        <v>0</v>
      </c>
    </row>
    <row r="1971" spans="1:10" hidden="1" x14ac:dyDescent="0.25">
      <c r="A1971" s="60">
        <v>1970</v>
      </c>
      <c r="B1971" s="83" t="s">
        <v>3989</v>
      </c>
      <c r="C1971" s="85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2">
        <v>1971</v>
      </c>
      <c r="B1972" s="83" t="s">
        <v>3991</v>
      </c>
      <c r="C1972" s="85" t="s">
        <v>3992</v>
      </c>
      <c r="D1972" s="47"/>
      <c r="E1972" s="47"/>
      <c r="F1972" s="48"/>
      <c r="G1972" s="62" t="str">
        <f>IFERROR(INDEX(StockInData[Expiry],MATCH(ProductMaster[[#This Row],[Product ID]],StockInData[Product ID],0)),"")</f>
        <v/>
      </c>
      <c r="H1972" s="47"/>
      <c r="I1972" s="61">
        <f>SUMIFS(StockInData[Quantity],StockInData[Product ID],ProductMaster!$B1972)-SUMIFS(StockOutData[Quantity],StockOutData[Product ID],ProductMaster!$B1972)</f>
        <v>0</v>
      </c>
      <c r="J1972" s="63">
        <f>SUMIFS(StockInData[Value],StockInData[Product ID],ProductMaster!$B1972)-SUMIFS(StockOutData[Value],StockOutData[Product ID],ProductMaster!$B1972)</f>
        <v>0</v>
      </c>
    </row>
    <row r="1973" spans="1:10" hidden="1" x14ac:dyDescent="0.25">
      <c r="A1973" s="60">
        <v>1972</v>
      </c>
      <c r="B1973" s="83" t="s">
        <v>3993</v>
      </c>
      <c r="C1973" s="85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82">
        <v>1973</v>
      </c>
      <c r="B1974" s="83" t="s">
        <v>3995</v>
      </c>
      <c r="C1974" s="85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3" t="s">
        <v>3997</v>
      </c>
      <c r="C1975" s="85" t="s">
        <v>3998</v>
      </c>
      <c r="D1975" s="47"/>
      <c r="E1975" s="47"/>
      <c r="F1975" s="48"/>
      <c r="G1975" s="62" t="str">
        <f>IFERROR(INDEX(StockInData[Expiry],MATCH(ProductMaster[[#This Row],[Product ID]],StockInData[Product ID],0)),"")</f>
        <v/>
      </c>
      <c r="H1975" s="47"/>
      <c r="I1975" s="61">
        <f>SUMIFS(StockInData[Quantity],StockInData[Product ID],ProductMaster!$B1975)-SUMIFS(StockOutData[Quantity],StockOutData[Product ID],ProductMaster!$B1975)</f>
        <v>0</v>
      </c>
      <c r="J1975" s="63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82">
        <v>1975</v>
      </c>
      <c r="B1976" s="83" t="s">
        <v>3999</v>
      </c>
      <c r="C1976" s="85" t="s">
        <v>4000</v>
      </c>
      <c r="D1976" s="47"/>
      <c r="E1976" s="47"/>
      <c r="F1976" s="48"/>
      <c r="G1976" s="62" t="str">
        <f>IFERROR(INDEX(StockInData[Expiry],MATCH(ProductMaster[[#This Row],[Product ID]],StockInData[Product ID],0)),"")</f>
        <v/>
      </c>
      <c r="H1976" s="47"/>
      <c r="I1976" s="61">
        <f>SUMIFS(StockInData[Quantity],StockInData[Product ID],ProductMaster!$B1976)-SUMIFS(StockOutData[Quantity],StockOutData[Product ID],ProductMaster!$B1976)</f>
        <v>0</v>
      </c>
      <c r="J1976" s="63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3" t="s">
        <v>4001</v>
      </c>
      <c r="C1977" s="85" t="s">
        <v>4002</v>
      </c>
      <c r="D1977" s="47"/>
      <c r="E1977" s="47"/>
      <c r="F1977" s="48"/>
      <c r="G1977" s="62" t="str">
        <f>IFERROR(INDEX(StockInData[Expiry],MATCH(ProductMaster[[#This Row],[Product ID]],StockInData[Product ID],0)),"")</f>
        <v/>
      </c>
      <c r="H1977" s="47"/>
      <c r="I1977" s="61">
        <f>SUMIFS(StockInData[Quantity],StockInData[Product ID],ProductMaster!$B1977)-SUMIFS(StockOutData[Quantity],StockOutData[Product ID],ProductMaster!$B1977)</f>
        <v>0</v>
      </c>
      <c r="J1977" s="63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82">
        <v>1977</v>
      </c>
      <c r="B1978" s="83" t="s">
        <v>4003</v>
      </c>
      <c r="C1978" s="85" t="s">
        <v>4004</v>
      </c>
      <c r="D1978" s="47"/>
      <c r="E1978" s="47"/>
      <c r="F1978" s="48"/>
      <c r="G1978" s="62" t="str">
        <f>IFERROR(INDEX(StockInData[Expiry],MATCH(ProductMaster[[#This Row],[Product ID]],StockInData[Product ID],0)),"")</f>
        <v/>
      </c>
      <c r="H1978" s="47"/>
      <c r="I1978" s="61">
        <f>SUMIFS(StockInData[Quantity],StockInData[Product ID],ProductMaster!$B1978)-SUMIFS(StockOutData[Quantity],StockOutData[Product ID],ProductMaster!$B1978)</f>
        <v>0</v>
      </c>
      <c r="J1978" s="63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0">
        <v>1978</v>
      </c>
      <c r="B1979" s="83" t="s">
        <v>4005</v>
      </c>
      <c r="C1979" s="85" t="s">
        <v>4006</v>
      </c>
      <c r="D1979" s="47"/>
      <c r="E1979" s="47"/>
      <c r="F1979" s="48"/>
      <c r="G1979" s="62" t="str">
        <f>IFERROR(INDEX(StockInData[Expiry],MATCH(ProductMaster[[#This Row],[Product ID]],StockInData[Product ID],0)),"")</f>
        <v/>
      </c>
      <c r="H1979" s="47"/>
      <c r="I1979" s="61">
        <f>SUMIFS(StockInData[Quantity],StockInData[Product ID],ProductMaster!$B1979)-SUMIFS(StockOutData[Quantity],StockOutData[Product ID],ProductMaster!$B1979)</f>
        <v>0</v>
      </c>
      <c r="J1979" s="63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82">
        <v>1979</v>
      </c>
      <c r="B1980" s="83" t="s">
        <v>4007</v>
      </c>
      <c r="C1980" s="85" t="s">
        <v>4008</v>
      </c>
      <c r="D1980" s="47"/>
      <c r="E1980" s="47"/>
      <c r="F1980" s="48"/>
      <c r="G1980" s="62" t="str">
        <f>IFERROR(INDEX(StockInData[Expiry],MATCH(ProductMaster[[#This Row],[Product ID]],StockInData[Product ID],0)),"")</f>
        <v/>
      </c>
      <c r="H1980" s="47"/>
      <c r="I1980" s="61">
        <f>SUMIFS(StockInData[Quantity],StockInData[Product ID],ProductMaster!$B1980)-SUMIFS(StockOutData[Quantity],StockOutData[Product ID],ProductMaster!$B1980)</f>
        <v>0</v>
      </c>
      <c r="J1980" s="63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3" t="s">
        <v>4009</v>
      </c>
      <c r="C1981" s="85" t="s">
        <v>4010</v>
      </c>
      <c r="D1981" s="47"/>
      <c r="E1981" s="47"/>
      <c r="F1981" s="48"/>
      <c r="G1981" s="62" t="str">
        <f>IFERROR(INDEX(StockInData[Expiry],MATCH(ProductMaster[[#This Row],[Product ID]],StockInData[Product ID],0)),"")</f>
        <v/>
      </c>
      <c r="H1981" s="47"/>
      <c r="I1981" s="61">
        <f>SUMIFS(StockInData[Quantity],StockInData[Product ID],ProductMaster!$B1981)-SUMIFS(StockOutData[Quantity],StockOutData[Product ID],ProductMaster!$B1981)</f>
        <v>0</v>
      </c>
      <c r="J1981" s="63">
        <f>SUMIFS(StockInData[Value],StockInData[Product ID],ProductMaster!$B1981)-SUMIFS(StockOutData[Value],StockOutData[Product ID],ProductMaster!$B1981)</f>
        <v>0</v>
      </c>
    </row>
    <row r="1982" spans="1:10" hidden="1" x14ac:dyDescent="0.25">
      <c r="A1982" s="82">
        <v>1981</v>
      </c>
      <c r="B1982" s="83" t="s">
        <v>4011</v>
      </c>
      <c r="C1982" s="85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3" t="s">
        <v>4013</v>
      </c>
      <c r="C1983" s="85" t="s">
        <v>4014</v>
      </c>
      <c r="D1983" s="47"/>
      <c r="E1983" s="47"/>
      <c r="F1983" s="48"/>
      <c r="G1983" s="62" t="str">
        <f>IFERROR(INDEX(StockInData[Expiry],MATCH(ProductMaster[[#This Row],[Product ID]],StockInData[Product ID],0)),"")</f>
        <v/>
      </c>
      <c r="H1983" s="47"/>
      <c r="I1983" s="61">
        <f>SUMIFS(StockInData[Quantity],StockInData[Product ID],ProductMaster!$B1983)-SUMIFS(StockOutData[Quantity],StockOutData[Product ID],ProductMaster!$B1983)</f>
        <v>0</v>
      </c>
      <c r="J1983" s="63">
        <f>SUMIFS(StockInData[Value],StockInData[Product ID],ProductMaster!$B1983)-SUMIFS(StockOutData[Value],StockOutData[Product ID],ProductMaster!$B1983)</f>
        <v>0</v>
      </c>
    </row>
    <row r="1984" spans="1:10" hidden="1" x14ac:dyDescent="0.25">
      <c r="A1984" s="82">
        <v>1983</v>
      </c>
      <c r="B1984" s="83" t="s">
        <v>4015</v>
      </c>
      <c r="C1984" s="85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3" t="s">
        <v>4017</v>
      </c>
      <c r="C1985" s="85" t="s">
        <v>4018</v>
      </c>
      <c r="D1985" s="47"/>
      <c r="E1985" s="47"/>
      <c r="F1985" s="48"/>
      <c r="G1985" s="62" t="str">
        <f>IFERROR(INDEX(StockInData[Expiry],MATCH(ProductMaster[[#This Row],[Product ID]],StockInData[Product ID],0)),"")</f>
        <v/>
      </c>
      <c r="H1985" s="47"/>
      <c r="I1985" s="61">
        <f>SUMIFS(StockInData[Quantity],StockInData[Product ID],ProductMaster!$B1985)-SUMIFS(StockOutData[Quantity],StockOutData[Product ID],ProductMaster!$B1985)</f>
        <v>0</v>
      </c>
      <c r="J1985" s="63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82">
        <v>1985</v>
      </c>
      <c r="B1986" s="83" t="s">
        <v>4019</v>
      </c>
      <c r="C1986" s="85" t="s">
        <v>4020</v>
      </c>
      <c r="D1986" s="47"/>
      <c r="E1986" s="47"/>
      <c r="F1986" s="48"/>
      <c r="G1986" s="62" t="str">
        <f>IFERROR(INDEX(StockInData[Expiry],MATCH(ProductMaster[[#This Row],[Product ID]],StockInData[Product ID],0)),"")</f>
        <v/>
      </c>
      <c r="H1986" s="47"/>
      <c r="I1986" s="61">
        <f>SUMIFS(StockInData[Quantity],StockInData[Product ID],ProductMaster!$B1986)-SUMIFS(StockOutData[Quantity],StockOutData[Product ID],ProductMaster!$B1986)</f>
        <v>0</v>
      </c>
      <c r="J1986" s="63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3" t="s">
        <v>4021</v>
      </c>
      <c r="C1987" s="85" t="s">
        <v>4022</v>
      </c>
      <c r="D1987" s="47"/>
      <c r="E1987" s="47"/>
      <c r="F1987" s="48"/>
      <c r="G1987" s="62" t="str">
        <f>IFERROR(INDEX(StockInData[Expiry],MATCH(ProductMaster[[#This Row],[Product ID]],StockInData[Product ID],0)),"")</f>
        <v/>
      </c>
      <c r="H1987" s="47"/>
      <c r="I1987" s="61">
        <f>SUMIFS(StockInData[Quantity],StockInData[Product ID],ProductMaster!$B1987)-SUMIFS(StockOutData[Quantity],StockOutData[Product ID],ProductMaster!$B1987)</f>
        <v>0</v>
      </c>
      <c r="J1987" s="63">
        <f>SUMIFS(StockInData[Value],StockInData[Product ID],ProductMaster!$B1987)-SUMIFS(StockOutData[Value],StockOutData[Product ID],ProductMaster!$B1987)</f>
        <v>0</v>
      </c>
    </row>
    <row r="1988" spans="1:10" hidden="1" x14ac:dyDescent="0.25">
      <c r="A1988" s="82">
        <v>1987</v>
      </c>
      <c r="B1988" s="83" t="s">
        <v>4023</v>
      </c>
      <c r="C1988" s="85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3" t="s">
        <v>4025</v>
      </c>
      <c r="C1989" s="85" t="s">
        <v>4026</v>
      </c>
      <c r="D1989" s="47"/>
      <c r="E1989" s="47"/>
      <c r="F1989" s="48"/>
      <c r="G1989" s="62" t="str">
        <f>IFERROR(INDEX(StockInData[Expiry],MATCH(ProductMaster[[#This Row],[Product ID]],StockInData[Product ID],0)),"")</f>
        <v/>
      </c>
      <c r="H1989" s="47"/>
      <c r="I1989" s="61">
        <f>SUMIFS(StockInData[Quantity],StockInData[Product ID],ProductMaster!$B1989)-SUMIFS(StockOutData[Quantity],StockOutData[Product ID],ProductMaster!$B1989)</f>
        <v>0</v>
      </c>
      <c r="J1989" s="63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82">
        <v>1989</v>
      </c>
      <c r="B1990" s="83" t="s">
        <v>4027</v>
      </c>
      <c r="C1990" s="85" t="s">
        <v>4028</v>
      </c>
      <c r="D1990" s="47"/>
      <c r="E1990" s="47"/>
      <c r="F1990" s="48"/>
      <c r="G1990" s="62" t="str">
        <f>IFERROR(INDEX(StockInData[Expiry],MATCH(ProductMaster[[#This Row],[Product ID]],StockInData[Product ID],0)),"")</f>
        <v/>
      </c>
      <c r="H1990" s="47"/>
      <c r="I1990" s="61">
        <f>SUMIFS(StockInData[Quantity],StockInData[Product ID],ProductMaster!$B1990)-SUMIFS(StockOutData[Quantity],StockOutData[Product ID],ProductMaster!$B1990)</f>
        <v>0</v>
      </c>
      <c r="J1990" s="63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3" t="s">
        <v>4029</v>
      </c>
      <c r="C1991" s="85" t="s">
        <v>4030</v>
      </c>
      <c r="D1991" s="47"/>
      <c r="E1991" s="47"/>
      <c r="F1991" s="48"/>
      <c r="G1991" s="62" t="str">
        <f>IFERROR(INDEX(StockInData[Expiry],MATCH(ProductMaster[[#This Row],[Product ID]],StockInData[Product ID],0)),"")</f>
        <v/>
      </c>
      <c r="H1991" s="47"/>
      <c r="I1991" s="61">
        <f>SUMIFS(StockInData[Quantity],StockInData[Product ID],ProductMaster!$B1991)-SUMIFS(StockOutData[Quantity],StockOutData[Product ID],ProductMaster!$B1991)</f>
        <v>0</v>
      </c>
      <c r="J1991" s="63">
        <f>SUMIFS(StockInData[Value],StockInData[Product ID],ProductMaster!$B1991)-SUMIFS(StockOutData[Value],StockOutData[Product ID],ProductMaster!$B1991)</f>
        <v>0</v>
      </c>
    </row>
    <row r="1992" spans="1:10" hidden="1" x14ac:dyDescent="0.25">
      <c r="A1992" s="82">
        <v>1991</v>
      </c>
      <c r="B1992" s="83" t="s">
        <v>4031</v>
      </c>
      <c r="C1992" s="85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3" t="s">
        <v>4033</v>
      </c>
      <c r="C1993" s="85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2">
        <v>1993</v>
      </c>
      <c r="B1994" s="83" t="s">
        <v>4035</v>
      </c>
      <c r="C1994" s="85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3" t="s">
        <v>4037</v>
      </c>
      <c r="C1995" s="85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2">
        <v>1995</v>
      </c>
      <c r="B1996" s="83" t="s">
        <v>4039</v>
      </c>
      <c r="C1996" s="85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3" t="s">
        <v>4041</v>
      </c>
      <c r="C1997" s="85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2">
        <v>1997</v>
      </c>
      <c r="B1998" s="83" t="s">
        <v>4043</v>
      </c>
      <c r="C1998" s="85" t="s">
        <v>4044</v>
      </c>
      <c r="D1998" s="47"/>
      <c r="E1998" s="47"/>
      <c r="F1998" s="48"/>
      <c r="G1998" s="62" t="str">
        <f>IFERROR(INDEX(StockInData[Expiry],MATCH(ProductMaster[[#This Row],[Product ID]],StockInData[Product ID],0)),"")</f>
        <v/>
      </c>
      <c r="H1998" s="47"/>
      <c r="I1998" s="61">
        <f>SUMIFS(StockInData[Quantity],StockInData[Product ID],ProductMaster!$B1998)-SUMIFS(StockOutData[Quantity],StockOutData[Product ID],ProductMaster!$B1998)</f>
        <v>0</v>
      </c>
      <c r="J1998" s="63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3" t="s">
        <v>4045</v>
      </c>
      <c r="C1999" s="85" t="s">
        <v>4046</v>
      </c>
      <c r="D1999" s="47"/>
      <c r="E1999" s="47"/>
      <c r="F1999" s="48"/>
      <c r="G1999" s="62" t="str">
        <f>IFERROR(INDEX(StockInData[Expiry],MATCH(ProductMaster[[#This Row],[Product ID]],StockInData[Product ID],0)),"")</f>
        <v/>
      </c>
      <c r="H1999" s="47"/>
      <c r="I1999" s="61">
        <f>SUMIFS(StockInData[Quantity],StockInData[Product ID],ProductMaster!$B1999)-SUMIFS(StockOutData[Quantity],StockOutData[Product ID],ProductMaster!$B1999)</f>
        <v>0</v>
      </c>
      <c r="J1999" s="63">
        <f>SUMIFS(StockInData[Value],StockInData[Product ID],ProductMaster!$B1999)-SUMIFS(StockOutData[Value],StockOutData[Product ID],ProductMaster!$B1999)</f>
        <v>0</v>
      </c>
    </row>
    <row r="2000" spans="1:10" hidden="1" x14ac:dyDescent="0.25">
      <c r="A2000" s="82">
        <v>1999</v>
      </c>
      <c r="B2000" s="83" t="s">
        <v>4047</v>
      </c>
      <c r="C2000" s="85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3" t="s">
        <v>4049</v>
      </c>
      <c r="C2001" s="85" t="s">
        <v>4050</v>
      </c>
      <c r="D2001" s="47"/>
      <c r="E2001" s="47"/>
      <c r="F2001" s="48"/>
      <c r="G2001" s="62" t="str">
        <f>IFERROR(INDEX(StockInData[Expiry],MATCH(ProductMaster[[#This Row],[Product ID]],StockInData[Product ID],0)),"")</f>
        <v/>
      </c>
      <c r="H2001" s="47"/>
      <c r="I2001" s="61">
        <f>SUMIFS(StockInData[Quantity],StockInData[Product ID],ProductMaster!$B2001)-SUMIFS(StockOutData[Quantity],StockOutData[Product ID],ProductMaster!$B2001)</f>
        <v>0</v>
      </c>
      <c r="J2001" s="63">
        <f>SUMIFS(StockInData[Value],StockInData[Product ID],ProductMaster!$B2001)-SUMIFS(StockOutData[Value],StockOutData[Product ID],ProductMaster!$B2001)</f>
        <v>0</v>
      </c>
    </row>
    <row r="2002" spans="1:10" hidden="1" x14ac:dyDescent="0.25">
      <c r="A2002" s="82">
        <v>2001</v>
      </c>
      <c r="B2002" s="83" t="s">
        <v>4051</v>
      </c>
      <c r="C2002" s="85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3" t="s">
        <v>4053</v>
      </c>
      <c r="C2003" s="85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2">
        <v>2003</v>
      </c>
      <c r="B2004" s="83" t="s">
        <v>4055</v>
      </c>
      <c r="C2004" s="85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3" t="s">
        <v>4057</v>
      </c>
      <c r="C2005" s="85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2">
        <v>2005</v>
      </c>
      <c r="B2006" s="83" t="s">
        <v>4059</v>
      </c>
      <c r="C2006" s="85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3" t="s">
        <v>4061</v>
      </c>
      <c r="C2007" s="85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2">
        <v>2007</v>
      </c>
      <c r="B2008" s="83" t="s">
        <v>4063</v>
      </c>
      <c r="C2008" s="85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3" t="s">
        <v>4065</v>
      </c>
      <c r="C2009" s="85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2">
        <v>2009</v>
      </c>
      <c r="B2010" s="83" t="s">
        <v>4067</v>
      </c>
      <c r="C2010" s="85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3" t="s">
        <v>4069</v>
      </c>
      <c r="C2011" s="85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2">
        <v>2011</v>
      </c>
      <c r="B2012" s="83" t="s">
        <v>4071</v>
      </c>
      <c r="C2012" s="85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3" t="s">
        <v>4073</v>
      </c>
      <c r="C2013" s="85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2">
        <v>2013</v>
      </c>
      <c r="B2014" s="83" t="s">
        <v>4075</v>
      </c>
      <c r="C2014" s="85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3" t="s">
        <v>4077</v>
      </c>
      <c r="C2015" s="85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2">
        <v>2015</v>
      </c>
      <c r="B2016" s="83" t="s">
        <v>4079</v>
      </c>
      <c r="C2016" s="85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3" t="s">
        <v>4081</v>
      </c>
      <c r="C2017" s="85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2">
        <v>2017</v>
      </c>
      <c r="B2018" s="83" t="s">
        <v>4083</v>
      </c>
      <c r="C2018" s="85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3" t="s">
        <v>4085</v>
      </c>
      <c r="C2019" s="85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2">
        <v>2019</v>
      </c>
      <c r="B2020" s="83" t="s">
        <v>4087</v>
      </c>
      <c r="C2020" s="85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3" t="s">
        <v>4089</v>
      </c>
      <c r="C2021" s="85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2">
        <v>2021</v>
      </c>
      <c r="B2022" s="83" t="s">
        <v>4091</v>
      </c>
      <c r="C2022" s="85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3" t="s">
        <v>4093</v>
      </c>
      <c r="C2023" s="85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2">
        <v>2023</v>
      </c>
      <c r="B2024" s="83" t="s">
        <v>4095</v>
      </c>
      <c r="C2024" s="85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3" t="s">
        <v>4097</v>
      </c>
      <c r="C2025" s="85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2">
        <v>2025</v>
      </c>
      <c r="B2026" s="83" t="s">
        <v>4099</v>
      </c>
      <c r="C2026" s="85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3" t="s">
        <v>4101</v>
      </c>
      <c r="C2027" s="85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2">
        <v>2027</v>
      </c>
      <c r="B2028" s="83" t="s">
        <v>4103</v>
      </c>
      <c r="C2028" s="85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3" t="s">
        <v>4105</v>
      </c>
      <c r="C2029" s="85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2">
        <v>2029</v>
      </c>
      <c r="B2030" s="83" t="s">
        <v>4107</v>
      </c>
      <c r="C2030" s="85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3" t="s">
        <v>4109</v>
      </c>
      <c r="C2031" s="85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2">
        <v>2031</v>
      </c>
      <c r="B2032" s="83" t="s">
        <v>4111</v>
      </c>
      <c r="C2032" s="85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3" t="s">
        <v>4113</v>
      </c>
      <c r="C2033" s="85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2">
        <v>2033</v>
      </c>
      <c r="B2034" s="83" t="s">
        <v>4115</v>
      </c>
      <c r="C2034" s="85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3" t="s">
        <v>4117</v>
      </c>
      <c r="C2035" s="85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2">
        <v>2035</v>
      </c>
      <c r="B2036" s="83" t="s">
        <v>4119</v>
      </c>
      <c r="C2036" s="85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3" t="s">
        <v>4121</v>
      </c>
      <c r="C2037" s="85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2">
        <v>2037</v>
      </c>
      <c r="B2038" s="83" t="s">
        <v>4123</v>
      </c>
      <c r="C2038" s="85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3" t="s">
        <v>4125</v>
      </c>
      <c r="C2039" s="85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2">
        <v>2039</v>
      </c>
      <c r="B2040" s="83" t="s">
        <v>4127</v>
      </c>
      <c r="C2040" s="85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3" t="s">
        <v>4129</v>
      </c>
      <c r="C2041" s="85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2">
        <v>2041</v>
      </c>
      <c r="B2042" s="83" t="s">
        <v>4131</v>
      </c>
      <c r="C2042" s="85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3" t="s">
        <v>4133</v>
      </c>
      <c r="C2043" s="85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2">
        <v>2043</v>
      </c>
      <c r="B2044" s="83" t="s">
        <v>4135</v>
      </c>
      <c r="C2044" s="85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3" t="s">
        <v>4137</v>
      </c>
      <c r="C2045" s="85" t="s">
        <v>4138</v>
      </c>
      <c r="D2045" s="47"/>
      <c r="E2045" s="47"/>
      <c r="F2045" s="48"/>
      <c r="G2045" s="62" t="str">
        <f>IFERROR(INDEX(StockInData[Expiry],MATCH(ProductMaster[[#This Row],[Product ID]],StockInData[Product ID],0)),"")</f>
        <v/>
      </c>
      <c r="H2045" s="47"/>
      <c r="I2045" s="61">
        <f>SUMIFS(StockInData[Quantity],StockInData[Product ID],ProductMaster!$B2045)-SUMIFS(StockOutData[Quantity],StockOutData[Product ID],ProductMaster!$B2045)</f>
        <v>0</v>
      </c>
      <c r="J2045" s="63">
        <f>SUMIFS(StockInData[Value],StockInData[Product ID],ProductMaster!$B2045)-SUMIFS(StockOutData[Value],StockOutData[Product ID],ProductMaster!$B2045)</f>
        <v>0</v>
      </c>
    </row>
    <row r="2046" spans="1:10" hidden="1" x14ac:dyDescent="0.25">
      <c r="A2046" s="82">
        <v>2045</v>
      </c>
      <c r="B2046" s="83" t="s">
        <v>4139</v>
      </c>
      <c r="C2046" s="85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3" t="s">
        <v>4141</v>
      </c>
      <c r="C2047" s="85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2">
        <v>2047</v>
      </c>
      <c r="B2048" s="83" t="s">
        <v>4143</v>
      </c>
      <c r="C2048" s="85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3" t="s">
        <v>4145</v>
      </c>
      <c r="C2049" s="85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2">
        <v>2049</v>
      </c>
      <c r="B2050" s="83" t="s">
        <v>4147</v>
      </c>
      <c r="C2050" s="85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3" t="s">
        <v>4149</v>
      </c>
      <c r="C2051" s="85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2">
        <v>2051</v>
      </c>
      <c r="B2052" s="83" t="s">
        <v>4151</v>
      </c>
      <c r="C2052" s="85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3" t="s">
        <v>4153</v>
      </c>
      <c r="C2053" s="85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2">
        <v>2053</v>
      </c>
      <c r="B2054" s="83" t="s">
        <v>4155</v>
      </c>
      <c r="C2054" s="85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3" t="s">
        <v>4157</v>
      </c>
      <c r="C2055" s="85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2">
        <v>2055</v>
      </c>
      <c r="B2056" s="83" t="s">
        <v>4159</v>
      </c>
      <c r="C2056" s="85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3" t="s">
        <v>4161</v>
      </c>
      <c r="C2057" s="85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2">
        <v>2057</v>
      </c>
      <c r="B2058" s="83" t="s">
        <v>4163</v>
      </c>
      <c r="C2058" s="85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3" t="s">
        <v>4165</v>
      </c>
      <c r="C2059" s="85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2">
        <v>2059</v>
      </c>
      <c r="B2060" s="83" t="s">
        <v>4167</v>
      </c>
      <c r="C2060" s="85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3" t="s">
        <v>4169</v>
      </c>
      <c r="C2061" s="85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2">
        <v>2061</v>
      </c>
      <c r="B2062" s="83" t="s">
        <v>4171</v>
      </c>
      <c r="C2062" s="85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3" t="s">
        <v>4173</v>
      </c>
      <c r="C2063" s="85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2">
        <v>2063</v>
      </c>
      <c r="B2064" s="83" t="s">
        <v>4175</v>
      </c>
      <c r="C2064" s="85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3" t="s">
        <v>4177</v>
      </c>
      <c r="C2065" s="85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82">
        <v>2065</v>
      </c>
      <c r="B2066" s="83" t="s">
        <v>4179</v>
      </c>
      <c r="C2066" s="85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3" t="s">
        <v>4181</v>
      </c>
      <c r="C2067" s="85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2">
        <v>2067</v>
      </c>
      <c r="B2068" s="83" t="s">
        <v>4183</v>
      </c>
      <c r="C2068" s="85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3" t="s">
        <v>4185</v>
      </c>
      <c r="C2069" s="85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2">
        <v>2069</v>
      </c>
      <c r="B2070" s="83" t="s">
        <v>4187</v>
      </c>
      <c r="C2070" s="85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3" t="s">
        <v>4189</v>
      </c>
      <c r="C2071" s="85" t="s">
        <v>4190</v>
      </c>
      <c r="D2071" s="47"/>
      <c r="E2071" s="47"/>
      <c r="F2071" s="48"/>
      <c r="G2071" s="62" t="str">
        <f>IFERROR(INDEX(StockInData[Expiry],MATCH(ProductMaster[[#This Row],[Product ID]],StockInData[Product ID],0)),"")</f>
        <v/>
      </c>
      <c r="H2071" s="47"/>
      <c r="I2071" s="61">
        <f>SUMIFS(StockInData[Quantity],StockInData[Product ID],ProductMaster!$B2071)-SUMIFS(StockOutData[Quantity],StockOutData[Product ID],ProductMaster!$B2071)</f>
        <v>0</v>
      </c>
      <c r="J2071" s="63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82">
        <v>2071</v>
      </c>
      <c r="B2072" s="83" t="s">
        <v>4191</v>
      </c>
      <c r="C2072" s="85" t="s">
        <v>4192</v>
      </c>
      <c r="D2072" s="47"/>
      <c r="E2072" s="47"/>
      <c r="F2072" s="48"/>
      <c r="G2072" s="62" t="str">
        <f>IFERROR(INDEX(StockInData[Expiry],MATCH(ProductMaster[[#This Row],[Product ID]],StockInData[Product ID],0)),"")</f>
        <v/>
      </c>
      <c r="H2072" s="47"/>
      <c r="I2072" s="61">
        <f>SUMIFS(StockInData[Quantity],StockInData[Product ID],ProductMaster!$B2072)-SUMIFS(StockOutData[Quantity],StockOutData[Product ID],ProductMaster!$B2072)</f>
        <v>0</v>
      </c>
      <c r="J2072" s="63">
        <f>SUMIFS(StockInData[Value],StockInData[Product ID],ProductMaster!$B2072)-SUMIFS(StockOutData[Value],StockOutData[Product ID],ProductMaster!$B2072)</f>
        <v>0</v>
      </c>
    </row>
    <row r="2073" spans="1:10" hidden="1" x14ac:dyDescent="0.25">
      <c r="A2073" s="60">
        <v>2072</v>
      </c>
      <c r="B2073" s="83" t="s">
        <v>4193</v>
      </c>
      <c r="C2073" s="85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2">
        <v>2073</v>
      </c>
      <c r="B2074" s="83" t="s">
        <v>4195</v>
      </c>
      <c r="C2074" s="85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3" t="s">
        <v>4197</v>
      </c>
      <c r="C2075" s="85" t="s">
        <v>4198</v>
      </c>
      <c r="D2075" s="47"/>
      <c r="E2075" s="47"/>
      <c r="F2075" s="48"/>
      <c r="G2075" s="62" t="str">
        <f>IFERROR(INDEX(StockInData[Expiry],MATCH(ProductMaster[[#This Row],[Product ID]],StockInData[Product ID],0)),"")</f>
        <v/>
      </c>
      <c r="H2075" s="47"/>
      <c r="I2075" s="61">
        <f>SUMIFS(StockInData[Quantity],StockInData[Product ID],ProductMaster!$B2075)-SUMIFS(StockOutData[Quantity],StockOutData[Product ID],ProductMaster!$B2075)</f>
        <v>0</v>
      </c>
      <c r="J2075" s="63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82">
        <v>2075</v>
      </c>
      <c r="B2076" s="83" t="s">
        <v>4199</v>
      </c>
      <c r="C2076" s="85" t="s">
        <v>4200</v>
      </c>
      <c r="D2076" s="47"/>
      <c r="E2076" s="47"/>
      <c r="F2076" s="48"/>
      <c r="G2076" s="62" t="str">
        <f>IFERROR(INDEX(StockInData[Expiry],MATCH(ProductMaster[[#This Row],[Product ID]],StockInData[Product ID],0)),"")</f>
        <v/>
      </c>
      <c r="H2076" s="47"/>
      <c r="I2076" s="61">
        <f>SUMIFS(StockInData[Quantity],StockInData[Product ID],ProductMaster!$B2076)-SUMIFS(StockOutData[Quantity],StockOutData[Product ID],ProductMaster!$B2076)</f>
        <v>0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3" t="s">
        <v>4201</v>
      </c>
      <c r="C2077" s="85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82">
        <v>2077</v>
      </c>
      <c r="B2078" s="83" t="s">
        <v>4203</v>
      </c>
      <c r="C2078" s="85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3" t="s">
        <v>4205</v>
      </c>
      <c r="C2079" s="85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82">
        <v>2079</v>
      </c>
      <c r="B2080" s="83" t="s">
        <v>4207</v>
      </c>
      <c r="C2080" s="85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3" t="s">
        <v>4209</v>
      </c>
      <c r="C2081" s="85" t="s">
        <v>4210</v>
      </c>
      <c r="D2081" s="47"/>
      <c r="E2081" s="47"/>
      <c r="F2081" s="48"/>
      <c r="G2081" s="62" t="str">
        <f>IFERROR(INDEX(StockInData[Expiry],MATCH(ProductMaster[[#This Row],[Product ID]],StockInData[Product ID],0)),"")</f>
        <v/>
      </c>
      <c r="H2081" s="47"/>
      <c r="I2081" s="61">
        <f>SUMIFS(StockInData[Quantity],StockInData[Product ID],ProductMaster!$B2081)-SUMIFS(StockOutData[Quantity],StockOutData[Product ID],ProductMaster!$B2081)</f>
        <v>0</v>
      </c>
      <c r="J2081" s="63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82">
        <v>2081</v>
      </c>
      <c r="B2082" s="83" t="s">
        <v>4211</v>
      </c>
      <c r="C2082" s="85" t="s">
        <v>4212</v>
      </c>
      <c r="D2082" s="47"/>
      <c r="E2082" s="47"/>
      <c r="F2082" s="48"/>
      <c r="G2082" s="62" t="str">
        <f>IFERROR(INDEX(StockInData[Expiry],MATCH(ProductMaster[[#This Row],[Product ID]],StockInData[Product ID],0)),"")</f>
        <v/>
      </c>
      <c r="H2082" s="47"/>
      <c r="I2082" s="61">
        <f>SUMIFS(StockInData[Quantity],StockInData[Product ID],ProductMaster!$B2082)-SUMIFS(StockOutData[Quantity],StockOutData[Product ID],ProductMaster!$B2082)</f>
        <v>0</v>
      </c>
      <c r="J2082" s="63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3" t="s">
        <v>4213</v>
      </c>
      <c r="C2083" s="85" t="s">
        <v>4214</v>
      </c>
      <c r="D2083" s="47"/>
      <c r="E2083" s="47"/>
      <c r="F2083" s="48"/>
      <c r="G2083" s="62" t="str">
        <f>IFERROR(INDEX(StockInData[Expiry],MATCH(ProductMaster[[#This Row],[Product ID]],StockInData[Product ID],0)),"")</f>
        <v/>
      </c>
      <c r="H2083" s="47"/>
      <c r="I2083" s="61">
        <f>SUMIFS(StockInData[Quantity],StockInData[Product ID],ProductMaster!$B2083)-SUMIFS(StockOutData[Quantity],StockOutData[Product ID],ProductMaster!$B2083)</f>
        <v>0</v>
      </c>
      <c r="J2083" s="63">
        <f>SUMIFS(StockInData[Value],StockInData[Product ID],ProductMaster!$B2083)-SUMIFS(StockOutData[Value],StockOutData[Product ID],ProductMaster!$B2083)</f>
        <v>0</v>
      </c>
    </row>
    <row r="2084" spans="1:10" hidden="1" x14ac:dyDescent="0.25">
      <c r="A2084" s="82">
        <v>2083</v>
      </c>
      <c r="B2084" s="83" t="s">
        <v>4215</v>
      </c>
      <c r="C2084" s="85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3" t="s">
        <v>4217</v>
      </c>
      <c r="C2085" s="85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2">
        <v>2085</v>
      </c>
      <c r="B2086" s="83" t="s">
        <v>4219</v>
      </c>
      <c r="C2086" s="85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3" t="s">
        <v>4221</v>
      </c>
      <c r="C2087" s="85" t="s">
        <v>4222</v>
      </c>
      <c r="D2087" s="47"/>
      <c r="E2087" s="47"/>
      <c r="F2087" s="48"/>
      <c r="G2087" s="62" t="str">
        <f>IFERROR(INDEX(StockInData[Expiry],MATCH(ProductMaster[[#This Row],[Product ID]],StockInData[Product ID],0)),"")</f>
        <v/>
      </c>
      <c r="H2087" s="47"/>
      <c r="I2087" s="61">
        <f>SUMIFS(StockInData[Quantity],StockInData[Product ID],ProductMaster!$B2087)-SUMIFS(StockOutData[Quantity],StockOutData[Product ID],ProductMaster!$B2087)</f>
        <v>0</v>
      </c>
      <c r="J2087" s="63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82">
        <v>2087</v>
      </c>
      <c r="B2088" s="83" t="s">
        <v>4223</v>
      </c>
      <c r="C2088" s="85" t="s">
        <v>4224</v>
      </c>
      <c r="D2088" s="47"/>
      <c r="E2088" s="47"/>
      <c r="F2088" s="48"/>
      <c r="G2088" s="62" t="str">
        <f>IFERROR(INDEX(StockInData[Expiry],MATCH(ProductMaster[[#This Row],[Product ID]],StockInData[Product ID],0)),"")</f>
        <v/>
      </c>
      <c r="H2088" s="47"/>
      <c r="I2088" s="61">
        <f>SUMIFS(StockInData[Quantity],StockInData[Product ID],ProductMaster!$B2088)-SUMIFS(StockOutData[Quantity],StockOutData[Product ID],ProductMaster!$B2088)</f>
        <v>0</v>
      </c>
      <c r="J2088" s="63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3" t="s">
        <v>4225</v>
      </c>
      <c r="C2089" s="85" t="s">
        <v>4226</v>
      </c>
      <c r="D2089" s="47"/>
      <c r="E2089" s="47"/>
      <c r="F2089" s="48"/>
      <c r="G2089" s="62" t="str">
        <f>IFERROR(INDEX(StockInData[Expiry],MATCH(ProductMaster[[#This Row],[Product ID]],StockInData[Product ID],0)),"")</f>
        <v/>
      </c>
      <c r="H2089" s="47"/>
      <c r="I2089" s="61">
        <f>SUMIFS(StockInData[Quantity],StockInData[Product ID],ProductMaster!$B2089)-SUMIFS(StockOutData[Quantity],StockOutData[Product ID],ProductMaster!$B2089)</f>
        <v>0</v>
      </c>
      <c r="J2089" s="63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82">
        <v>2089</v>
      </c>
      <c r="B2090" s="83" t="s">
        <v>4227</v>
      </c>
      <c r="C2090" s="85" t="s">
        <v>4228</v>
      </c>
      <c r="D2090" s="47"/>
      <c r="E2090" s="47"/>
      <c r="F2090" s="48"/>
      <c r="G2090" s="62" t="str">
        <f>IFERROR(INDEX(StockInData[Expiry],MATCH(ProductMaster[[#This Row],[Product ID]],StockInData[Product ID],0)),"")</f>
        <v/>
      </c>
      <c r="H2090" s="47"/>
      <c r="I2090" s="61">
        <f>SUMIFS(StockInData[Quantity],StockInData[Product ID],ProductMaster!$B2090)-SUMIFS(StockOutData[Quantity],StockOutData[Product ID],ProductMaster!$B2090)</f>
        <v>0</v>
      </c>
      <c r="J2090" s="63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3" t="s">
        <v>4229</v>
      </c>
      <c r="C2091" s="85" t="s">
        <v>4230</v>
      </c>
      <c r="D2091" s="47"/>
      <c r="E2091" s="47"/>
      <c r="F2091" s="48"/>
      <c r="G2091" s="62" t="str">
        <f>IFERROR(INDEX(StockInData[Expiry],MATCH(ProductMaster[[#This Row],[Product ID]],StockInData[Product ID],0)),"")</f>
        <v/>
      </c>
      <c r="H2091" s="47"/>
      <c r="I2091" s="61">
        <f>SUMIFS(StockInData[Quantity],StockInData[Product ID],ProductMaster!$B2091)-SUMIFS(StockOutData[Quantity],StockOutData[Product ID],ProductMaster!$B2091)</f>
        <v>0</v>
      </c>
      <c r="J2091" s="63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82">
        <v>2091</v>
      </c>
      <c r="B2092" s="83" t="s">
        <v>4231</v>
      </c>
      <c r="C2092" s="85" t="s">
        <v>4232</v>
      </c>
      <c r="D2092" s="47"/>
      <c r="E2092" s="47"/>
      <c r="F2092" s="48"/>
      <c r="G2092" s="62" t="str">
        <f>IFERROR(INDEX(StockInData[Expiry],MATCH(ProductMaster[[#This Row],[Product ID]],StockInData[Product ID],0)),"")</f>
        <v/>
      </c>
      <c r="H2092" s="47"/>
      <c r="I2092" s="61">
        <f>SUMIFS(StockInData[Quantity],StockInData[Product ID],ProductMaster!$B2092)-SUMIFS(StockOutData[Quantity],StockOutData[Product ID],ProductMaster!$B2092)</f>
        <v>0</v>
      </c>
      <c r="J2092" s="63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3" t="s">
        <v>4233</v>
      </c>
      <c r="C2093" s="85" t="s">
        <v>4234</v>
      </c>
      <c r="D2093" s="47"/>
      <c r="E2093" s="47"/>
      <c r="F2093" s="48"/>
      <c r="G2093" s="62" t="str">
        <f>IFERROR(INDEX(StockInData[Expiry],MATCH(ProductMaster[[#This Row],[Product ID]],StockInData[Product ID],0)),"")</f>
        <v/>
      </c>
      <c r="H2093" s="47"/>
      <c r="I2093" s="61">
        <f>SUMIFS(StockInData[Quantity],StockInData[Product ID],ProductMaster!$B2093)-SUMIFS(StockOutData[Quantity],StockOutData[Product ID],ProductMaster!$B2093)</f>
        <v>0</v>
      </c>
      <c r="J2093" s="63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82">
        <v>2093</v>
      </c>
      <c r="B2094" s="83" t="s">
        <v>4235</v>
      </c>
      <c r="C2094" s="85" t="s">
        <v>4236</v>
      </c>
      <c r="D2094" s="47"/>
      <c r="E2094" s="47"/>
      <c r="F2094" s="48"/>
      <c r="G2094" s="62" t="str">
        <f>IFERROR(INDEX(StockInData[Expiry],MATCH(ProductMaster[[#This Row],[Product ID]],StockInData[Product ID],0)),"")</f>
        <v/>
      </c>
      <c r="H2094" s="47"/>
      <c r="I2094" s="61">
        <f>SUMIFS(StockInData[Quantity],StockInData[Product ID],ProductMaster!$B2094)-SUMIFS(StockOutData[Quantity],StockOutData[Product ID],ProductMaster!$B2094)</f>
        <v>0</v>
      </c>
      <c r="J2094" s="63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0">
        <v>2094</v>
      </c>
      <c r="B2095" s="83" t="s">
        <v>4237</v>
      </c>
      <c r="C2095" s="85" t="s">
        <v>4238</v>
      </c>
      <c r="D2095" s="47"/>
      <c r="E2095" s="47"/>
      <c r="F2095" s="48"/>
      <c r="G2095" s="62" t="str">
        <f>IFERROR(INDEX(StockInData[Expiry],MATCH(ProductMaster[[#This Row],[Product ID]],StockInData[Product ID],0)),"")</f>
        <v/>
      </c>
      <c r="H2095" s="47"/>
      <c r="I2095" s="61">
        <f>SUMIFS(StockInData[Quantity],StockInData[Product ID],ProductMaster!$B2095)-SUMIFS(StockOutData[Quantity],StockOutData[Product ID],ProductMaster!$B2095)</f>
        <v>0</v>
      </c>
      <c r="J2095" s="63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82">
        <v>2095</v>
      </c>
      <c r="B2096" s="83" t="s">
        <v>4239</v>
      </c>
      <c r="C2096" s="85" t="s">
        <v>4240</v>
      </c>
      <c r="D2096" s="47"/>
      <c r="E2096" s="47"/>
      <c r="F2096" s="48"/>
      <c r="G2096" s="62" t="str">
        <f>IFERROR(INDEX(StockInData[Expiry],MATCH(ProductMaster[[#This Row],[Product ID]],StockInData[Product ID],0)),"")</f>
        <v/>
      </c>
      <c r="H2096" s="47"/>
      <c r="I2096" s="61">
        <f>SUMIFS(StockInData[Quantity],StockInData[Product ID],ProductMaster!$B2096)-SUMIFS(StockOutData[Quantity],StockOutData[Product ID],ProductMaster!$B2096)</f>
        <v>0</v>
      </c>
      <c r="J2096" s="63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3" t="s">
        <v>4241</v>
      </c>
      <c r="C2097" s="85" t="s">
        <v>4242</v>
      </c>
      <c r="D2097" s="47"/>
      <c r="E2097" s="47"/>
      <c r="F2097" s="48"/>
      <c r="G2097" s="62" t="str">
        <f>IFERROR(INDEX(StockInData[Expiry],MATCH(ProductMaster[[#This Row],[Product ID]],StockInData[Product ID],0)),"")</f>
        <v/>
      </c>
      <c r="H2097" s="47"/>
      <c r="I2097" s="61">
        <f>SUMIFS(StockInData[Quantity],StockInData[Product ID],ProductMaster!$B2097)-SUMIFS(StockOutData[Quantity],StockOutData[Product ID],ProductMaster!$B2097)</f>
        <v>0</v>
      </c>
      <c r="J2097" s="63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82">
        <v>2097</v>
      </c>
      <c r="B2098" s="83" t="s">
        <v>4243</v>
      </c>
      <c r="C2098" s="85" t="s">
        <v>4244</v>
      </c>
      <c r="D2098" s="47"/>
      <c r="E2098" s="47"/>
      <c r="F2098" s="48"/>
      <c r="G2098" s="62" t="str">
        <f>IFERROR(INDEX(StockInData[Expiry],MATCH(ProductMaster[[#This Row],[Product ID]],StockInData[Product ID],0)),"")</f>
        <v/>
      </c>
      <c r="H2098" s="47"/>
      <c r="I2098" s="61">
        <f>SUMIFS(StockInData[Quantity],StockInData[Product ID],ProductMaster!$B2098)-SUMIFS(StockOutData[Quantity],StockOutData[Product ID],ProductMaster!$B2098)</f>
        <v>0</v>
      </c>
      <c r="J2098" s="63">
        <f>SUMIFS(StockInData[Value],StockInData[Product ID],ProductMaster!$B2098)-SUMIFS(StockOutData[Value],StockOutData[Product ID],ProductMaster!$B2098)</f>
        <v>0</v>
      </c>
    </row>
    <row r="2099" spans="1:10" hidden="1" x14ac:dyDescent="0.25">
      <c r="A2099" s="60">
        <v>2098</v>
      </c>
      <c r="B2099" s="83" t="s">
        <v>4245</v>
      </c>
      <c r="C2099" s="85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2">
        <v>2099</v>
      </c>
      <c r="B2100" s="83" t="s">
        <v>4247</v>
      </c>
      <c r="C2100" s="85" t="s">
        <v>4248</v>
      </c>
      <c r="D2100" s="47"/>
      <c r="E2100" s="47"/>
      <c r="F2100" s="48"/>
      <c r="G2100" s="62" t="str">
        <f>IFERROR(INDEX(StockInData[Expiry],MATCH(ProductMaster[[#This Row],[Product ID]],StockInData[Product ID],0)),"")</f>
        <v/>
      </c>
      <c r="H2100" s="47"/>
      <c r="I2100" s="61">
        <f>SUMIFS(StockInData[Quantity],StockInData[Product ID],ProductMaster!$B2100)-SUMIFS(StockOutData[Quantity],StockOutData[Product ID],ProductMaster!$B2100)</f>
        <v>0</v>
      </c>
      <c r="J2100" s="63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0">
        <v>2100</v>
      </c>
      <c r="B2101" s="83" t="s">
        <v>4249</v>
      </c>
      <c r="C2101" s="85" t="s">
        <v>4250</v>
      </c>
      <c r="D2101" s="47"/>
      <c r="E2101" s="47"/>
      <c r="F2101" s="48"/>
      <c r="G2101" s="62" t="str">
        <f>IFERROR(INDEX(StockInData[Expiry],MATCH(ProductMaster[[#This Row],[Product ID]],StockInData[Product ID],0)),"")</f>
        <v/>
      </c>
      <c r="H2101" s="47"/>
      <c r="I2101" s="61">
        <f>SUMIFS(StockInData[Quantity],StockInData[Product ID],ProductMaster!$B2101)-SUMIFS(StockOutData[Quantity],StockOutData[Product ID],ProductMaster!$B2101)</f>
        <v>0</v>
      </c>
      <c r="J2101" s="63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82">
        <v>2101</v>
      </c>
      <c r="B2102" s="83" t="s">
        <v>4251</v>
      </c>
      <c r="C2102" s="85" t="s">
        <v>4252</v>
      </c>
      <c r="D2102" s="47"/>
      <c r="E2102" s="47"/>
      <c r="F2102" s="48"/>
      <c r="G2102" s="62" t="str">
        <f>IFERROR(INDEX(StockInData[Expiry],MATCH(ProductMaster[[#This Row],[Product ID]],StockInData[Product ID],0)),"")</f>
        <v/>
      </c>
      <c r="H2102" s="47"/>
      <c r="I2102" s="61">
        <f>SUMIFS(StockInData[Quantity],StockInData[Product ID],ProductMaster!$B2102)-SUMIFS(StockOutData[Quantity],StockOutData[Product ID],ProductMaster!$B2102)</f>
        <v>0</v>
      </c>
      <c r="J2102" s="63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3" t="s">
        <v>4253</v>
      </c>
      <c r="C2103" s="85" t="s">
        <v>4254</v>
      </c>
      <c r="D2103" s="47"/>
      <c r="E2103" s="47"/>
      <c r="F2103" s="48"/>
      <c r="G2103" s="62" t="str">
        <f>IFERROR(INDEX(StockInData[Expiry],MATCH(ProductMaster[[#This Row],[Product ID]],StockInData[Product ID],0)),"")</f>
        <v/>
      </c>
      <c r="H2103" s="47"/>
      <c r="I2103" s="61">
        <f>SUMIFS(StockInData[Quantity],StockInData[Product ID],ProductMaster!$B2103)-SUMIFS(StockOutData[Quantity],StockOutData[Product ID],ProductMaster!$B2103)</f>
        <v>0</v>
      </c>
      <c r="J2103" s="63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82">
        <v>2103</v>
      </c>
      <c r="B2104" s="83" t="s">
        <v>4255</v>
      </c>
      <c r="C2104" s="85" t="s">
        <v>4256</v>
      </c>
      <c r="D2104" s="47"/>
      <c r="E2104" s="47"/>
      <c r="F2104" s="48"/>
      <c r="G2104" s="62" t="str">
        <f>IFERROR(INDEX(StockInData[Expiry],MATCH(ProductMaster[[#This Row],[Product ID]],StockInData[Product ID],0)),"")</f>
        <v/>
      </c>
      <c r="H2104" s="47"/>
      <c r="I2104" s="61">
        <f>SUMIFS(StockInData[Quantity],StockInData[Product ID],ProductMaster!$B2104)-SUMIFS(StockOutData[Quantity],StockOutData[Product ID],ProductMaster!$B2104)</f>
        <v>0</v>
      </c>
      <c r="J2104" s="63">
        <f>SUMIFS(StockInData[Value],StockInData[Product ID],ProductMaster!$B2104)-SUMIFS(StockOutData[Value],StockOutData[Product ID],ProductMaster!$B2104)</f>
        <v>0</v>
      </c>
    </row>
    <row r="2105" spans="1:10" hidden="1" x14ac:dyDescent="0.25">
      <c r="A2105" s="60">
        <v>2104</v>
      </c>
      <c r="B2105" s="83" t="s">
        <v>4257</v>
      </c>
      <c r="C2105" s="85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2">
        <v>2105</v>
      </c>
      <c r="B2106" s="83" t="s">
        <v>4259</v>
      </c>
      <c r="C2106" s="85" t="s">
        <v>4260</v>
      </c>
      <c r="D2106" s="47"/>
      <c r="E2106" s="47"/>
      <c r="F2106" s="48"/>
      <c r="G2106" s="62" t="str">
        <f>IFERROR(INDEX(StockInData[Expiry],MATCH(ProductMaster[[#This Row],[Product ID]],StockInData[Product ID],0)),"")</f>
        <v/>
      </c>
      <c r="H2106" s="47"/>
      <c r="I2106" s="61">
        <f>SUMIFS(StockInData[Quantity],StockInData[Product ID],ProductMaster!$B2106)-SUMIFS(StockOutData[Quantity],StockOutData[Product ID],ProductMaster!$B2106)</f>
        <v>0</v>
      </c>
      <c r="J2106" s="63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3" t="s">
        <v>4261</v>
      </c>
      <c r="C2107" s="85" t="s">
        <v>4262</v>
      </c>
      <c r="D2107" s="47"/>
      <c r="E2107" s="47"/>
      <c r="F2107" s="48"/>
      <c r="G2107" s="62" t="str">
        <f>IFERROR(INDEX(StockInData[Expiry],MATCH(ProductMaster[[#This Row],[Product ID]],StockInData[Product ID],0)),"")</f>
        <v/>
      </c>
      <c r="H2107" s="47"/>
      <c r="I2107" s="61">
        <f>SUMIFS(StockInData[Quantity],StockInData[Product ID],ProductMaster!$B2107)-SUMIFS(StockOutData[Quantity],StockOutData[Product ID],ProductMaster!$B2107)</f>
        <v>0</v>
      </c>
      <c r="J2107" s="63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82">
        <v>2107</v>
      </c>
      <c r="B2108" s="83" t="s">
        <v>4263</v>
      </c>
      <c r="C2108" s="85" t="s">
        <v>4264</v>
      </c>
      <c r="D2108" s="47"/>
      <c r="E2108" s="47"/>
      <c r="F2108" s="48"/>
      <c r="G2108" s="62" t="str">
        <f>IFERROR(INDEX(StockInData[Expiry],MATCH(ProductMaster[[#This Row],[Product ID]],StockInData[Product ID],0)),"")</f>
        <v/>
      </c>
      <c r="H2108" s="47"/>
      <c r="I2108" s="61">
        <f>SUMIFS(StockInData[Quantity],StockInData[Product ID],ProductMaster!$B2108)-SUMIFS(StockOutData[Quantity],StockOutData[Product ID],ProductMaster!$B2108)</f>
        <v>0</v>
      </c>
      <c r="J2108" s="63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3" t="s">
        <v>4265</v>
      </c>
      <c r="C2109" s="85" t="s">
        <v>4266</v>
      </c>
      <c r="D2109" s="47"/>
      <c r="E2109" s="47"/>
      <c r="F2109" s="48"/>
      <c r="G2109" s="62" t="str">
        <f>IFERROR(INDEX(StockInData[Expiry],MATCH(ProductMaster[[#This Row],[Product ID]],StockInData[Product ID],0)),"")</f>
        <v/>
      </c>
      <c r="H2109" s="47"/>
      <c r="I2109" s="61">
        <f>SUMIFS(StockInData[Quantity],StockInData[Product ID],ProductMaster!$B2109)-SUMIFS(StockOutData[Quantity],StockOutData[Product ID],ProductMaster!$B2109)</f>
        <v>0</v>
      </c>
      <c r="J2109" s="63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82">
        <v>2109</v>
      </c>
      <c r="B2110" s="83" t="s">
        <v>4267</v>
      </c>
      <c r="C2110" s="85" t="s">
        <v>4268</v>
      </c>
      <c r="D2110" s="47"/>
      <c r="E2110" s="47"/>
      <c r="F2110" s="48"/>
      <c r="G2110" s="62" t="str">
        <f>IFERROR(INDEX(StockInData[Expiry],MATCH(ProductMaster[[#This Row],[Product ID]],StockInData[Product ID],0)),"")</f>
        <v/>
      </c>
      <c r="H2110" s="47"/>
      <c r="I2110" s="61">
        <f>SUMIFS(StockInData[Quantity],StockInData[Product ID],ProductMaster!$B2110)-SUMIFS(StockOutData[Quantity],StockOutData[Product ID],ProductMaster!$B2110)</f>
        <v>0</v>
      </c>
      <c r="J2110" s="63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3" t="s">
        <v>4269</v>
      </c>
      <c r="C2111" s="85" t="s">
        <v>4270</v>
      </c>
      <c r="D2111" s="47"/>
      <c r="E2111" s="47"/>
      <c r="F2111" s="48"/>
      <c r="G2111" s="62" t="str">
        <f>IFERROR(INDEX(StockInData[Expiry],MATCH(ProductMaster[[#This Row],[Product ID]],StockInData[Product ID],0)),"")</f>
        <v/>
      </c>
      <c r="H2111" s="47"/>
      <c r="I2111" s="61">
        <f>SUMIFS(StockInData[Quantity],StockInData[Product ID],ProductMaster!$B2111)-SUMIFS(StockOutData[Quantity],StockOutData[Product ID],ProductMaster!$B2111)</f>
        <v>0</v>
      </c>
      <c r="J2111" s="63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82">
        <v>2111</v>
      </c>
      <c r="B2112" s="83" t="s">
        <v>4271</v>
      </c>
      <c r="C2112" s="85" t="s">
        <v>4272</v>
      </c>
      <c r="D2112" s="47"/>
      <c r="E2112" s="47"/>
      <c r="F2112" s="48"/>
      <c r="G2112" s="62" t="str">
        <f>IFERROR(INDEX(StockInData[Expiry],MATCH(ProductMaster[[#This Row],[Product ID]],StockInData[Product ID],0)),"")</f>
        <v/>
      </c>
      <c r="H2112" s="47"/>
      <c r="I2112" s="61">
        <f>SUMIFS(StockInData[Quantity],StockInData[Product ID],ProductMaster!$B2112)-SUMIFS(StockOutData[Quantity],StockOutData[Product ID],ProductMaster!$B2112)</f>
        <v>0</v>
      </c>
      <c r="J2112" s="63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3" t="s">
        <v>4273</v>
      </c>
      <c r="C2113" s="85" t="s">
        <v>4274</v>
      </c>
      <c r="D2113" s="47"/>
      <c r="E2113" s="47"/>
      <c r="F2113" s="48"/>
      <c r="G2113" s="62" t="str">
        <f>IFERROR(INDEX(StockInData[Expiry],MATCH(ProductMaster[[#This Row],[Product ID]],StockInData[Product ID],0)),"")</f>
        <v/>
      </c>
      <c r="H2113" s="47"/>
      <c r="I2113" s="61">
        <f>SUMIFS(StockInData[Quantity],StockInData[Product ID],ProductMaster!$B2113)-SUMIFS(StockOutData[Quantity],StockOutData[Product ID],ProductMaster!$B2113)</f>
        <v>0</v>
      </c>
      <c r="J2113" s="63">
        <f>SUMIFS(StockInData[Value],StockInData[Product ID],ProductMaster!$B2113)-SUMIFS(StockOutData[Value],StockOutData[Product ID],ProductMaster!$B2113)</f>
        <v>0</v>
      </c>
    </row>
    <row r="2114" spans="1:10" hidden="1" x14ac:dyDescent="0.25">
      <c r="A2114" s="82">
        <v>2113</v>
      </c>
      <c r="B2114" s="83" t="s">
        <v>4275</v>
      </c>
      <c r="C2114" s="85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3" t="s">
        <v>4277</v>
      </c>
      <c r="C2115" s="85" t="s">
        <v>4278</v>
      </c>
      <c r="D2115" s="47"/>
      <c r="E2115" s="47"/>
      <c r="F2115" s="48"/>
      <c r="G2115" s="62" t="str">
        <f>IFERROR(INDEX(StockInData[Expiry],MATCH(ProductMaster[[#This Row],[Product ID]],StockInData[Product ID],0)),"")</f>
        <v/>
      </c>
      <c r="H2115" s="47"/>
      <c r="I2115" s="61">
        <f>SUMIFS(StockInData[Quantity],StockInData[Product ID],ProductMaster!$B2115)-SUMIFS(StockOutData[Quantity],StockOutData[Product ID],ProductMaster!$B2115)</f>
        <v>0</v>
      </c>
      <c r="J2115" s="63">
        <f>SUMIFS(StockInData[Value],StockInData[Product ID],ProductMaster!$B2115)-SUMIFS(StockOutData[Value],StockOutData[Product ID],ProductMaster!$B2115)</f>
        <v>0</v>
      </c>
    </row>
    <row r="2116" spans="1:10" hidden="1" x14ac:dyDescent="0.25">
      <c r="A2116" s="82">
        <v>2115</v>
      </c>
      <c r="B2116" s="83" t="s">
        <v>4279</v>
      </c>
      <c r="C2116" s="85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3" t="s">
        <v>4281</v>
      </c>
      <c r="C2117" s="85" t="s">
        <v>4282</v>
      </c>
      <c r="D2117" s="47"/>
      <c r="E2117" s="47"/>
      <c r="F2117" s="48"/>
      <c r="G2117" s="62" t="str">
        <f>IFERROR(INDEX(StockInData[Expiry],MATCH(ProductMaster[[#This Row],[Product ID]],StockInData[Product ID],0)),"")</f>
        <v/>
      </c>
      <c r="H2117" s="47"/>
      <c r="I2117" s="61">
        <f>SUMIFS(StockInData[Quantity],StockInData[Product ID],ProductMaster!$B2117)-SUMIFS(StockOutData[Quantity],StockOutData[Product ID],ProductMaster!$B2117)</f>
        <v>0</v>
      </c>
      <c r="J2117" s="63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82">
        <v>2117</v>
      </c>
      <c r="B2118" s="83" t="s">
        <v>4283</v>
      </c>
      <c r="C2118" s="85" t="s">
        <v>4284</v>
      </c>
      <c r="D2118" s="47"/>
      <c r="E2118" s="47"/>
      <c r="F2118" s="48"/>
      <c r="G2118" s="62" t="str">
        <f>IFERROR(INDEX(StockInData[Expiry],MATCH(ProductMaster[[#This Row],[Product ID]],StockInData[Product ID],0)),"")</f>
        <v/>
      </c>
      <c r="H2118" s="47"/>
      <c r="I2118" s="61">
        <f>SUMIFS(StockInData[Quantity],StockInData[Product ID],ProductMaster!$B2118)-SUMIFS(StockOutData[Quantity],StockOutData[Product ID],ProductMaster!$B2118)</f>
        <v>0</v>
      </c>
      <c r="J2118" s="63">
        <f>SUMIFS(StockInData[Value],StockInData[Product ID],ProductMaster!$B2118)-SUMIFS(StockOutData[Value],StockOutData[Product ID],ProductMaster!$B2118)</f>
        <v>0</v>
      </c>
    </row>
    <row r="2119" spans="1:10" hidden="1" x14ac:dyDescent="0.25">
      <c r="A2119" s="60">
        <v>2118</v>
      </c>
      <c r="B2119" s="83" t="s">
        <v>4285</v>
      </c>
      <c r="C2119" s="85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2">
        <v>2119</v>
      </c>
      <c r="B2120" s="83" t="s">
        <v>4287</v>
      </c>
      <c r="C2120" s="85" t="s">
        <v>4288</v>
      </c>
      <c r="D2120" s="47"/>
      <c r="E2120" s="47"/>
      <c r="F2120" s="48"/>
      <c r="G2120" s="62" t="str">
        <f>IFERROR(INDEX(StockInData[Expiry],MATCH(ProductMaster[[#This Row],[Product ID]],StockInData[Product ID],0)),"")</f>
        <v/>
      </c>
      <c r="H2120" s="47"/>
      <c r="I2120" s="61">
        <f>SUMIFS(StockInData[Quantity],StockInData[Product ID],ProductMaster!$B2120)-SUMIFS(StockOutData[Quantity],StockOutData[Product ID],ProductMaster!$B2120)</f>
        <v>0</v>
      </c>
      <c r="J2120" s="63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3" t="s">
        <v>4289</v>
      </c>
      <c r="C2121" s="85" t="s">
        <v>4290</v>
      </c>
      <c r="D2121" s="47"/>
      <c r="E2121" s="47"/>
      <c r="F2121" s="48"/>
      <c r="G2121" s="62" t="str">
        <f>IFERROR(INDEX(StockInData[Expiry],MATCH(ProductMaster[[#This Row],[Product ID]],StockInData[Product ID],0)),"")</f>
        <v/>
      </c>
      <c r="H2121" s="47"/>
      <c r="I2121" s="61">
        <f>SUMIFS(StockInData[Quantity],StockInData[Product ID],ProductMaster!$B2121)-SUMIFS(StockOutData[Quantity],StockOutData[Product ID],ProductMaster!$B2121)</f>
        <v>0</v>
      </c>
      <c r="J2121" s="63">
        <f>SUMIFS(StockInData[Value],StockInData[Product ID],ProductMaster!$B2121)-SUMIFS(StockOutData[Value],StockOutData[Product ID],ProductMaster!$B2121)</f>
        <v>0</v>
      </c>
    </row>
    <row r="2122" spans="1:10" hidden="1" x14ac:dyDescent="0.25">
      <c r="A2122" s="82">
        <v>2121</v>
      </c>
      <c r="B2122" s="83" t="s">
        <v>4291</v>
      </c>
      <c r="C2122" s="85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3" t="s">
        <v>4293</v>
      </c>
      <c r="C2123" s="85" t="s">
        <v>4294</v>
      </c>
      <c r="D2123" s="47"/>
      <c r="E2123" s="47"/>
      <c r="F2123" s="48"/>
      <c r="G2123" s="62" t="str">
        <f>IFERROR(INDEX(StockInData[Expiry],MATCH(ProductMaster[[#This Row],[Product ID]],StockInData[Product ID],0)),"")</f>
        <v/>
      </c>
      <c r="H2123" s="47"/>
      <c r="I2123" s="61">
        <f>SUMIFS(StockInData[Quantity],StockInData[Product ID],ProductMaster!$B2123)-SUMIFS(StockOutData[Quantity],StockOutData[Product ID],ProductMaster!$B2123)</f>
        <v>0</v>
      </c>
      <c r="J2123" s="63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82">
        <v>2123</v>
      </c>
      <c r="B2124" s="83" t="s">
        <v>4295</v>
      </c>
      <c r="C2124" s="85" t="s">
        <v>4296</v>
      </c>
      <c r="D2124" s="47"/>
      <c r="E2124" s="47"/>
      <c r="F2124" s="48"/>
      <c r="G2124" s="62" t="str">
        <f>IFERROR(INDEX(StockInData[Expiry],MATCH(ProductMaster[[#This Row],[Product ID]],StockInData[Product ID],0)),"")</f>
        <v/>
      </c>
      <c r="H2124" s="47"/>
      <c r="I2124" s="61">
        <f>SUMIFS(StockInData[Quantity],StockInData[Product ID],ProductMaster!$B2124)-SUMIFS(StockOutData[Quantity],StockOutData[Product ID],ProductMaster!$B2124)</f>
        <v>0</v>
      </c>
      <c r="J2124" s="63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3" t="s">
        <v>4297</v>
      </c>
      <c r="C2125" s="85" t="s">
        <v>4298</v>
      </c>
      <c r="D2125" s="47"/>
      <c r="E2125" s="47"/>
      <c r="F2125" s="48"/>
      <c r="G2125" s="62" t="str">
        <f>IFERROR(INDEX(StockInData[Expiry],MATCH(ProductMaster[[#This Row],[Product ID]],StockInData[Product ID],0)),"")</f>
        <v/>
      </c>
      <c r="H2125" s="47"/>
      <c r="I2125" s="61">
        <f>SUMIFS(StockInData[Quantity],StockInData[Product ID],ProductMaster!$B2125)-SUMIFS(StockOutData[Quantity],StockOutData[Product ID],ProductMaster!$B2125)</f>
        <v>0</v>
      </c>
      <c r="J2125" s="63">
        <f>SUMIFS(StockInData[Value],StockInData[Product ID],ProductMaster!$B2125)-SUMIFS(StockOutData[Value],StockOutData[Product ID],ProductMaster!$B2125)</f>
        <v>0</v>
      </c>
    </row>
    <row r="2126" spans="1:10" x14ac:dyDescent="0.25">
      <c r="A2126" s="82">
        <v>2125</v>
      </c>
      <c r="B2126" s="83" t="s">
        <v>4299</v>
      </c>
      <c r="C2126" s="85" t="s">
        <v>4300</v>
      </c>
      <c r="D2126" s="47"/>
      <c r="E2126" s="47"/>
      <c r="F2126" s="48"/>
      <c r="G2126" s="62" t="str">
        <f>IFERROR(INDEX(StockInData[Expiry],MATCH(ProductMaster[[#This Row],[Product ID]],StockInData[Product ID],0)),"")</f>
        <v/>
      </c>
      <c r="H2126" s="47"/>
      <c r="I2126" s="61">
        <f>SUMIFS(StockInData[Quantity],StockInData[Product ID],ProductMaster!$B2126)-SUMIFS(StockOutData[Quantity],StockOutData[Product ID],ProductMaster!$B2126)</f>
        <v>0</v>
      </c>
      <c r="J2126" s="63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3" t="s">
        <v>4301</v>
      </c>
      <c r="C2127" s="85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2">
        <v>2127</v>
      </c>
      <c r="B2128" s="83" t="s">
        <v>4303</v>
      </c>
      <c r="C2128" s="85" t="s">
        <v>4304</v>
      </c>
      <c r="D2128" s="47"/>
      <c r="E2128" s="47"/>
      <c r="F2128" s="48"/>
      <c r="G2128" s="62" t="str">
        <f>IFERROR(INDEX(StockInData[Expiry],MATCH(ProductMaster[[#This Row],[Product ID]],StockInData[Product ID],0)),"")</f>
        <v/>
      </c>
      <c r="H2128" s="47"/>
      <c r="I2128" s="61">
        <f>SUMIFS(StockInData[Quantity],StockInData[Product ID],ProductMaster!$B2128)-SUMIFS(StockOutData[Quantity],StockOutData[Product ID],ProductMaster!$B2128)</f>
        <v>0</v>
      </c>
      <c r="J2128" s="63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3" t="s">
        <v>4305</v>
      </c>
      <c r="C2129" s="85" t="s">
        <v>4306</v>
      </c>
      <c r="D2129" s="47"/>
      <c r="E2129" s="47"/>
      <c r="F2129" s="48"/>
      <c r="G2129" s="62" t="str">
        <f>IFERROR(INDEX(StockInData[Expiry],MATCH(ProductMaster[[#This Row],[Product ID]],StockInData[Product ID],0)),"")</f>
        <v/>
      </c>
      <c r="H2129" s="47"/>
      <c r="I2129" s="61">
        <f>SUMIFS(StockInData[Quantity],StockInData[Product ID],ProductMaster!$B2129)-SUMIFS(StockOutData[Quantity],StockOutData[Product ID],ProductMaster!$B2129)</f>
        <v>0</v>
      </c>
      <c r="J2129" s="63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82">
        <v>2129</v>
      </c>
      <c r="B2130" s="83" t="s">
        <v>4307</v>
      </c>
      <c r="C2130" s="85" t="s">
        <v>4308</v>
      </c>
      <c r="D2130" s="47"/>
      <c r="E2130" s="47"/>
      <c r="F2130" s="48"/>
      <c r="G2130" s="62" t="str">
        <f>IFERROR(INDEX(StockInData[Expiry],MATCH(ProductMaster[[#This Row],[Product ID]],StockInData[Product ID],0)),"")</f>
        <v/>
      </c>
      <c r="H2130" s="47"/>
      <c r="I2130" s="61">
        <f>SUMIFS(StockInData[Quantity],StockInData[Product ID],ProductMaster!$B2130)-SUMIFS(StockOutData[Quantity],StockOutData[Product ID],ProductMaster!$B2130)</f>
        <v>0</v>
      </c>
      <c r="J2130" s="63">
        <f>SUMIFS(StockInData[Value],StockInData[Product ID],ProductMaster!$B2130)-SUMIFS(StockOutData[Value],StockOutData[Product ID],ProductMaster!$B2130)</f>
        <v>0</v>
      </c>
    </row>
    <row r="2131" spans="1:10" hidden="1" x14ac:dyDescent="0.25">
      <c r="A2131" s="60">
        <v>2130</v>
      </c>
      <c r="B2131" s="83" t="s">
        <v>4309</v>
      </c>
      <c r="C2131" s="85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2">
        <v>2131</v>
      </c>
      <c r="B2132" s="83" t="s">
        <v>4311</v>
      </c>
      <c r="C2132" s="85" t="s">
        <v>4312</v>
      </c>
      <c r="D2132" s="47"/>
      <c r="E2132" s="47"/>
      <c r="F2132" s="48"/>
      <c r="G2132" s="62" t="str">
        <f>IFERROR(INDEX(StockInData[Expiry],MATCH(ProductMaster[[#This Row],[Product ID]],StockInData[Product ID],0)),"")</f>
        <v/>
      </c>
      <c r="H2132" s="47"/>
      <c r="I2132" s="61">
        <f>SUMIFS(StockInData[Quantity],StockInData[Product ID],ProductMaster!$B2132)-SUMIFS(StockOutData[Quantity],StockOutData[Product ID],ProductMaster!$B2132)</f>
        <v>0</v>
      </c>
      <c r="J2132" s="63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3" t="s">
        <v>4313</v>
      </c>
      <c r="C2133" s="85" t="s">
        <v>4314</v>
      </c>
      <c r="D2133" s="47"/>
      <c r="E2133" s="47"/>
      <c r="F2133" s="48"/>
      <c r="G2133" s="62" t="str">
        <f>IFERROR(INDEX(StockInData[Expiry],MATCH(ProductMaster[[#This Row],[Product ID]],StockInData[Product ID],0)),"")</f>
        <v/>
      </c>
      <c r="H2133" s="47"/>
      <c r="I2133" s="61">
        <f>SUMIFS(StockInData[Quantity],StockInData[Product ID],ProductMaster!$B2133)-SUMIFS(StockOutData[Quantity],StockOutData[Product ID],ProductMaster!$B2133)</f>
        <v>0</v>
      </c>
      <c r="J2133" s="63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82">
        <v>2133</v>
      </c>
      <c r="B2134" s="83" t="s">
        <v>4315</v>
      </c>
      <c r="C2134" s="85" t="s">
        <v>4316</v>
      </c>
      <c r="D2134" s="47"/>
      <c r="E2134" s="47"/>
      <c r="F2134" s="48"/>
      <c r="G2134" s="62" t="str">
        <f>IFERROR(INDEX(StockInData[Expiry],MATCH(ProductMaster[[#This Row],[Product ID]],StockInData[Product ID],0)),"")</f>
        <v/>
      </c>
      <c r="H2134" s="47"/>
      <c r="I2134" s="61">
        <f>SUMIFS(StockInData[Quantity],StockInData[Product ID],ProductMaster!$B2134)-SUMIFS(StockOutData[Quantity],StockOutData[Product ID],ProductMaster!$B2134)</f>
        <v>0</v>
      </c>
      <c r="J2134" s="63">
        <f>SUMIFS(StockInData[Value],StockInData[Product ID],ProductMaster!$B2134)-SUMIFS(StockOutData[Value],StockOutData[Product ID],ProductMaster!$B2134)</f>
        <v>0</v>
      </c>
    </row>
    <row r="2135" spans="1:10" hidden="1" x14ac:dyDescent="0.25">
      <c r="A2135" s="60">
        <v>2134</v>
      </c>
      <c r="B2135" s="83" t="s">
        <v>4317</v>
      </c>
      <c r="C2135" s="85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2">
        <v>2135</v>
      </c>
      <c r="B2136" s="83" t="s">
        <v>4319</v>
      </c>
      <c r="C2136" s="85" t="s">
        <v>4320</v>
      </c>
      <c r="D2136" s="47"/>
      <c r="E2136" s="47"/>
      <c r="F2136" s="48"/>
      <c r="G2136" s="62" t="str">
        <f>IFERROR(INDEX(StockInData[Expiry],MATCH(ProductMaster[[#This Row],[Product ID]],StockInData[Product ID],0)),"")</f>
        <v/>
      </c>
      <c r="H2136" s="47"/>
      <c r="I2136" s="61">
        <f>SUMIFS(StockInData[Quantity],StockInData[Product ID],ProductMaster!$B2136)-SUMIFS(StockOutData[Quantity],StockOutData[Product ID],ProductMaster!$B2136)</f>
        <v>0</v>
      </c>
      <c r="J2136" s="63">
        <f>SUMIFS(StockInData[Value],StockInData[Product ID],ProductMaster!$B2136)-SUMIFS(StockOutData[Value],StockOutData[Product ID],ProductMaster!$B2136)</f>
        <v>0</v>
      </c>
    </row>
    <row r="2137" spans="1:10" hidden="1" x14ac:dyDescent="0.25">
      <c r="A2137" s="60">
        <v>2136</v>
      </c>
      <c r="B2137" s="83" t="s">
        <v>4321</v>
      </c>
      <c r="C2137" s="85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2">
        <v>2137</v>
      </c>
      <c r="B2138" s="83" t="s">
        <v>4323</v>
      </c>
      <c r="C2138" s="85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3" t="s">
        <v>4325</v>
      </c>
      <c r="C2139" s="85" t="s">
        <v>4326</v>
      </c>
      <c r="D2139" s="47"/>
      <c r="E2139" s="47"/>
      <c r="F2139" s="48"/>
      <c r="G2139" s="62" t="str">
        <f>IFERROR(INDEX(StockInData[Expiry],MATCH(ProductMaster[[#This Row],[Product ID]],StockInData[Product ID],0)),"")</f>
        <v/>
      </c>
      <c r="H2139" s="47"/>
      <c r="I2139" s="61">
        <f>SUMIFS(StockInData[Quantity],StockInData[Product ID],ProductMaster!$B2139)-SUMIFS(StockOutData[Quantity],StockOutData[Product ID],ProductMaster!$B2139)</f>
        <v>0</v>
      </c>
      <c r="J2139" s="63">
        <f>SUMIFS(StockInData[Value],StockInData[Product ID],ProductMaster!$B2139)-SUMIFS(StockOutData[Value],StockOutData[Product ID],ProductMaster!$B2139)</f>
        <v>0</v>
      </c>
    </row>
    <row r="2140" spans="1:10" x14ac:dyDescent="0.25">
      <c r="A2140" s="82">
        <v>2139</v>
      </c>
      <c r="B2140" s="83" t="s">
        <v>4327</v>
      </c>
      <c r="C2140" s="85" t="s">
        <v>4328</v>
      </c>
      <c r="D2140" s="47"/>
      <c r="E2140" s="47"/>
      <c r="F2140" s="48"/>
      <c r="G2140" s="62" t="str">
        <f>IFERROR(INDEX(StockInData[Expiry],MATCH(ProductMaster[[#This Row],[Product ID]],StockInData[Product ID],0)),"")</f>
        <v/>
      </c>
      <c r="H2140" s="47"/>
      <c r="I2140" s="61">
        <f>SUMIFS(StockInData[Quantity],StockInData[Product ID],ProductMaster!$B2140)-SUMIFS(StockOutData[Quantity],StockOutData[Product ID],ProductMaster!$B2140)</f>
        <v>0</v>
      </c>
      <c r="J2140" s="63">
        <f>SUMIFS(StockInData[Value],StockInData[Product ID],ProductMaster!$B2140)-SUMIFS(StockOutData[Value],StockOutData[Product ID],ProductMaster!$B2140)</f>
        <v>0</v>
      </c>
    </row>
    <row r="2141" spans="1:10" x14ac:dyDescent="0.25">
      <c r="A2141" s="60">
        <v>2140</v>
      </c>
      <c r="B2141" s="83" t="s">
        <v>4329</v>
      </c>
      <c r="C2141" s="85" t="s">
        <v>4330</v>
      </c>
      <c r="D2141" s="47"/>
      <c r="E2141" s="47"/>
      <c r="F2141" s="48"/>
      <c r="G2141" s="62" t="str">
        <f>IFERROR(INDEX(StockInData[Expiry],MATCH(ProductMaster[[#This Row],[Product ID]],StockInData[Product ID],0)),"")</f>
        <v/>
      </c>
      <c r="H2141" s="47"/>
      <c r="I2141" s="61">
        <f>SUMIFS(StockInData[Quantity],StockInData[Product ID],ProductMaster!$B2141)-SUMIFS(StockOutData[Quantity],StockOutData[Product ID],ProductMaster!$B2141)</f>
        <v>0</v>
      </c>
      <c r="J2141" s="63">
        <f>SUMIFS(StockInData[Value],StockInData[Product ID],ProductMaster!$B2141)-SUMIFS(StockOutData[Value],StockOutData[Product ID],ProductMaster!$B2141)</f>
        <v>0</v>
      </c>
    </row>
    <row r="2142" spans="1:10" hidden="1" x14ac:dyDescent="0.25">
      <c r="A2142" s="82">
        <v>2141</v>
      </c>
      <c r="B2142" s="83" t="s">
        <v>4331</v>
      </c>
      <c r="C2142" s="85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x14ac:dyDescent="0.25">
      <c r="A2143" s="60">
        <v>2142</v>
      </c>
      <c r="B2143" s="83" t="s">
        <v>4333</v>
      </c>
      <c r="C2143" s="85" t="s">
        <v>4334</v>
      </c>
      <c r="D2143" s="47"/>
      <c r="E2143" s="47"/>
      <c r="F2143" s="48"/>
      <c r="G2143" s="62" t="str">
        <f>IFERROR(INDEX(StockInData[Expiry],MATCH(ProductMaster[[#This Row],[Product ID]],StockInData[Product ID],0)),"")</f>
        <v/>
      </c>
      <c r="H2143" s="47"/>
      <c r="I2143" s="61">
        <f>SUMIFS(StockInData[Quantity],StockInData[Product ID],ProductMaster!$B2143)-SUMIFS(StockOutData[Quantity],StockOutData[Product ID],ProductMaster!$B2143)</f>
        <v>0</v>
      </c>
      <c r="J2143" s="63">
        <f>SUMIFS(StockInData[Value],StockInData[Product ID],ProductMaster!$B2143)-SUMIFS(StockOutData[Value],StockOutData[Product ID],ProductMaster!$B2143)</f>
        <v>0</v>
      </c>
    </row>
    <row r="2144" spans="1:10" x14ac:dyDescent="0.25">
      <c r="A2144" s="82">
        <v>2143</v>
      </c>
      <c r="B2144" s="83" t="s">
        <v>4335</v>
      </c>
      <c r="C2144" s="85" t="s">
        <v>4336</v>
      </c>
      <c r="D2144" s="47"/>
      <c r="E2144" s="47"/>
      <c r="F2144" s="48"/>
      <c r="G2144" s="62" t="str">
        <f>IFERROR(INDEX(StockInData[Expiry],MATCH(ProductMaster[[#This Row],[Product ID]],StockInData[Product ID],0)),"")</f>
        <v/>
      </c>
      <c r="H2144" s="47"/>
      <c r="I2144" s="61">
        <f>SUMIFS(StockInData[Quantity],StockInData[Product ID],ProductMaster!$B2144)-SUMIFS(StockOutData[Quantity],StockOutData[Product ID],ProductMaster!$B2144)</f>
        <v>0</v>
      </c>
      <c r="J2144" s="63">
        <f>SUMIFS(StockInData[Value],StockInData[Product ID],ProductMaster!$B2144)-SUMIFS(StockOutData[Value],StockOutData[Product ID],ProductMaster!$B2144)</f>
        <v>0</v>
      </c>
    </row>
    <row r="2145" spans="1:10" x14ac:dyDescent="0.25">
      <c r="A2145" s="60">
        <v>2144</v>
      </c>
      <c r="B2145" s="83" t="s">
        <v>4337</v>
      </c>
      <c r="C2145" s="85" t="s">
        <v>4338</v>
      </c>
      <c r="D2145" s="47"/>
      <c r="E2145" s="47"/>
      <c r="F2145" s="48"/>
      <c r="G2145" s="62" t="str">
        <f>IFERROR(INDEX(StockInData[Expiry],MATCH(ProductMaster[[#This Row],[Product ID]],StockInData[Product ID],0)),"")</f>
        <v/>
      </c>
      <c r="H2145" s="47"/>
      <c r="I2145" s="61">
        <f>SUMIFS(StockInData[Quantity],StockInData[Product ID],ProductMaster!$B2145)-SUMIFS(StockOutData[Quantity],StockOutData[Product ID],ProductMaster!$B2145)</f>
        <v>0</v>
      </c>
      <c r="J2145" s="63">
        <f>SUMIFS(StockInData[Value],StockInData[Product ID],ProductMaster!$B2145)-SUMIFS(StockOutData[Value],StockOutData[Product ID],ProductMaster!$B2145)</f>
        <v>0</v>
      </c>
    </row>
    <row r="2146" spans="1:10" hidden="1" x14ac:dyDescent="0.25">
      <c r="A2146" s="82">
        <v>2145</v>
      </c>
      <c r="B2146" s="83" t="s">
        <v>4339</v>
      </c>
      <c r="C2146" s="85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3" t="s">
        <v>4341</v>
      </c>
      <c r="C2147" s="85" t="s">
        <v>4342</v>
      </c>
      <c r="D2147" s="47"/>
      <c r="E2147" s="47"/>
      <c r="F2147" s="48"/>
      <c r="G2147" s="62" t="str">
        <f>IFERROR(INDEX(StockInData[Expiry],MATCH(ProductMaster[[#This Row],[Product ID]],StockInData[Product ID],0)),"")</f>
        <v/>
      </c>
      <c r="H2147" s="47"/>
      <c r="I2147" s="61">
        <f>SUMIFS(StockInData[Quantity],StockInData[Product ID],ProductMaster!$B2147)-SUMIFS(StockOutData[Quantity],StockOutData[Product ID],ProductMaster!$B2147)</f>
        <v>0</v>
      </c>
      <c r="J2147" s="63">
        <f>SUMIFS(StockInData[Value],StockInData[Product ID],ProductMaster!$B2147)-SUMIFS(StockOutData[Value],StockOutData[Product ID],ProductMaster!$B2147)</f>
        <v>0</v>
      </c>
    </row>
    <row r="2148" spans="1:10" hidden="1" x14ac:dyDescent="0.25">
      <c r="A2148" s="82">
        <v>2147</v>
      </c>
      <c r="B2148" s="83" t="s">
        <v>4343</v>
      </c>
      <c r="C2148" s="85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3" t="s">
        <v>4345</v>
      </c>
      <c r="C2149" s="85" t="s">
        <v>4346</v>
      </c>
      <c r="D2149" s="47"/>
      <c r="E2149" s="47"/>
      <c r="F2149" s="48"/>
      <c r="G2149" s="62" t="str">
        <f>IFERROR(INDEX(StockInData[Expiry],MATCH(ProductMaster[[#This Row],[Product ID]],StockInData[Product ID],0)),"")</f>
        <v/>
      </c>
      <c r="H2149" s="47"/>
      <c r="I2149" s="61">
        <f>SUMIFS(StockInData[Quantity],StockInData[Product ID],ProductMaster!$B2149)-SUMIFS(StockOutData[Quantity],StockOutData[Product ID],ProductMaster!$B2149)</f>
        <v>0</v>
      </c>
      <c r="J2149" s="63">
        <f>SUMIFS(StockInData[Value],StockInData[Product ID],ProductMaster!$B2149)-SUMIFS(StockOutData[Value],StockOutData[Product ID],ProductMaster!$B2149)</f>
        <v>0</v>
      </c>
    </row>
    <row r="2150" spans="1:10" hidden="1" x14ac:dyDescent="0.25">
      <c r="A2150" s="82">
        <v>2149</v>
      </c>
      <c r="B2150" s="83" t="s">
        <v>4347</v>
      </c>
      <c r="C2150" s="85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3" t="s">
        <v>4349</v>
      </c>
      <c r="C2151" s="85" t="s">
        <v>4350</v>
      </c>
      <c r="D2151" s="47"/>
      <c r="E2151" s="47"/>
      <c r="F2151" s="48"/>
      <c r="G2151" s="62" t="str">
        <f>IFERROR(INDEX(StockInData[Expiry],MATCH(ProductMaster[[#This Row],[Product ID]],StockInData[Product ID],0)),"")</f>
        <v/>
      </c>
      <c r="H2151" s="47"/>
      <c r="I2151" s="61">
        <f>SUMIFS(StockInData[Quantity],StockInData[Product ID],ProductMaster!$B2151)-SUMIFS(StockOutData[Quantity],StockOutData[Product ID],ProductMaster!$B2151)</f>
        <v>0</v>
      </c>
      <c r="J2151" s="63">
        <f>SUMIFS(StockInData[Value],StockInData[Product ID],ProductMaster!$B2151)-SUMIFS(StockOutData[Value],StockOutData[Product ID],ProductMaster!$B2151)</f>
        <v>0</v>
      </c>
    </row>
    <row r="2152" spans="1:10" hidden="1" x14ac:dyDescent="0.25">
      <c r="A2152" s="82">
        <v>2151</v>
      </c>
      <c r="B2152" s="83" t="s">
        <v>4351</v>
      </c>
      <c r="C2152" s="85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3" t="s">
        <v>4353</v>
      </c>
      <c r="C2153" s="85" t="s">
        <v>4354</v>
      </c>
      <c r="D2153" s="47"/>
      <c r="E2153" s="47"/>
      <c r="F2153" s="48"/>
      <c r="G2153" s="62" t="str">
        <f>IFERROR(INDEX(StockInData[Expiry],MATCH(ProductMaster[[#This Row],[Product ID]],StockInData[Product ID],0)),"")</f>
        <v/>
      </c>
      <c r="H2153" s="47"/>
      <c r="I2153" s="61">
        <f>SUMIFS(StockInData[Quantity],StockInData[Product ID],ProductMaster!$B2153)-SUMIFS(StockOutData[Quantity],StockOutData[Product ID],ProductMaster!$B2153)</f>
        <v>0</v>
      </c>
      <c r="J2153" s="63">
        <f>SUMIFS(StockInData[Value],StockInData[Product ID],ProductMaster!$B2153)-SUMIFS(StockOutData[Value],StockOutData[Product ID],ProductMaster!$B2153)</f>
        <v>0</v>
      </c>
    </row>
    <row r="2154" spans="1:10" x14ac:dyDescent="0.25">
      <c r="A2154" s="82">
        <v>2153</v>
      </c>
      <c r="B2154" s="83" t="s">
        <v>4355</v>
      </c>
      <c r="C2154" s="85" t="s">
        <v>4356</v>
      </c>
      <c r="D2154" s="47"/>
      <c r="E2154" s="47"/>
      <c r="F2154" s="48"/>
      <c r="G2154" s="62" t="str">
        <f>IFERROR(INDEX(StockInData[Expiry],MATCH(ProductMaster[[#This Row],[Product ID]],StockInData[Product ID],0)),"")</f>
        <v/>
      </c>
      <c r="H2154" s="47"/>
      <c r="I2154" s="61">
        <f>SUMIFS(StockInData[Quantity],StockInData[Product ID],ProductMaster!$B2154)-SUMIFS(StockOutData[Quantity],StockOutData[Product ID],ProductMaster!$B2154)</f>
        <v>0</v>
      </c>
      <c r="J2154" s="63">
        <f>SUMIFS(StockInData[Value],StockInData[Product ID],ProductMaster!$B2154)-SUMIFS(StockOutData[Value],StockOutData[Product ID],ProductMaster!$B2154)</f>
        <v>0</v>
      </c>
    </row>
    <row r="2155" spans="1:10" hidden="1" x14ac:dyDescent="0.25">
      <c r="A2155" s="60">
        <v>2154</v>
      </c>
      <c r="B2155" s="83" t="s">
        <v>4357</v>
      </c>
      <c r="C2155" s="85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2">
        <v>2155</v>
      </c>
      <c r="B2156" s="83" t="s">
        <v>4359</v>
      </c>
      <c r="C2156" s="85" t="s">
        <v>4360</v>
      </c>
      <c r="D2156" s="47"/>
      <c r="E2156" s="47"/>
      <c r="F2156" s="48"/>
      <c r="G2156" s="62" t="str">
        <f>IFERROR(INDEX(StockInData[Expiry],MATCH(ProductMaster[[#This Row],[Product ID]],StockInData[Product ID],0)),"")</f>
        <v/>
      </c>
      <c r="H2156" s="47"/>
      <c r="I2156" s="61">
        <f>SUMIFS(StockInData[Quantity],StockInData[Product ID],ProductMaster!$B2156)-SUMIFS(StockOutData[Quantity],StockOutData[Product ID],ProductMaster!$B2156)</f>
        <v>0</v>
      </c>
      <c r="J2156" s="63">
        <f>SUMIFS(StockInData[Value],StockInData[Product ID],ProductMaster!$B2156)-SUMIFS(StockOutData[Value],StockOutData[Product ID],ProductMaster!$B2156)</f>
        <v>0</v>
      </c>
    </row>
    <row r="2157" spans="1:10" hidden="1" x14ac:dyDescent="0.25">
      <c r="A2157" s="60">
        <v>2156</v>
      </c>
      <c r="B2157" s="83" t="s">
        <v>4361</v>
      </c>
      <c r="C2157" s="85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2">
        <v>2157</v>
      </c>
      <c r="B2158" s="83" t="s">
        <v>4363</v>
      </c>
      <c r="C2158" s="85" t="s">
        <v>4364</v>
      </c>
      <c r="D2158" s="47"/>
      <c r="E2158" s="47"/>
      <c r="F2158" s="48"/>
      <c r="G2158" s="62" t="str">
        <f>IFERROR(INDEX(StockInData[Expiry],MATCH(ProductMaster[[#This Row],[Product ID]],StockInData[Product ID],0)),"")</f>
        <v/>
      </c>
      <c r="H2158" s="47"/>
      <c r="I2158" s="61">
        <f>SUMIFS(StockInData[Quantity],StockInData[Product ID],ProductMaster!$B2158)-SUMIFS(StockOutData[Quantity],StockOutData[Product ID],ProductMaster!$B2158)</f>
        <v>0</v>
      </c>
      <c r="J2158" s="63">
        <f>SUMIFS(StockInData[Value],StockInData[Product ID],ProductMaster!$B2158)-SUMIFS(StockOutData[Value],StockOutData[Product ID],ProductMaster!$B2158)</f>
        <v>0</v>
      </c>
    </row>
    <row r="2159" spans="1:10" hidden="1" x14ac:dyDescent="0.25">
      <c r="A2159" s="60">
        <v>2158</v>
      </c>
      <c r="B2159" s="83" t="s">
        <v>4365</v>
      </c>
      <c r="C2159" s="85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2">
        <v>2159</v>
      </c>
      <c r="B2160" s="83" t="s">
        <v>4367</v>
      </c>
      <c r="C2160" s="85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3" t="s">
        <v>4369</v>
      </c>
      <c r="C2161" s="85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2">
        <v>2161</v>
      </c>
      <c r="B2162" s="83" t="s">
        <v>4371</v>
      </c>
      <c r="C2162" s="85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3" t="s">
        <v>4373</v>
      </c>
      <c r="C2163" s="85" t="s">
        <v>4374</v>
      </c>
      <c r="D2163" s="47"/>
      <c r="E2163" s="47"/>
      <c r="F2163" s="48"/>
      <c r="G2163" s="62" t="str">
        <f>IFERROR(INDEX(StockInData[Expiry],MATCH(ProductMaster[[#This Row],[Product ID]],StockInData[Product ID],0)),"")</f>
        <v/>
      </c>
      <c r="H2163" s="47"/>
      <c r="I2163" s="61">
        <f>SUMIFS(StockInData[Quantity],StockInData[Product ID],ProductMaster!$B2163)-SUMIFS(StockOutData[Quantity],StockOutData[Product ID],ProductMaster!$B2163)</f>
        <v>0</v>
      </c>
      <c r="J2163" s="63">
        <f>SUMIFS(StockInData[Value],StockInData[Product ID],ProductMaster!$B2163)-SUMIFS(StockOutData[Value],StockOutData[Product ID],ProductMaster!$B2163)</f>
        <v>0</v>
      </c>
    </row>
    <row r="2164" spans="1:10" x14ac:dyDescent="0.25">
      <c r="A2164" s="82">
        <v>2163</v>
      </c>
      <c r="B2164" s="83" t="s">
        <v>4375</v>
      </c>
      <c r="C2164" s="85" t="s">
        <v>4376</v>
      </c>
      <c r="D2164" s="47"/>
      <c r="E2164" s="47"/>
      <c r="F2164" s="48"/>
      <c r="G2164" s="62" t="str">
        <f>IFERROR(INDEX(StockInData[Expiry],MATCH(ProductMaster[[#This Row],[Product ID]],StockInData[Product ID],0)),"")</f>
        <v/>
      </c>
      <c r="H2164" s="47"/>
      <c r="I2164" s="61">
        <f>SUMIFS(StockInData[Quantity],StockInData[Product ID],ProductMaster!$B2164)-SUMIFS(StockOutData[Quantity],StockOutData[Product ID],ProductMaster!$B2164)</f>
        <v>0</v>
      </c>
      <c r="J2164" s="63">
        <f>SUMIFS(StockInData[Value],StockInData[Product ID],ProductMaster!$B2164)-SUMIFS(StockOutData[Value],StockOutData[Product ID],ProductMaster!$B2164)</f>
        <v>0</v>
      </c>
    </row>
    <row r="2165" spans="1:10" x14ac:dyDescent="0.25">
      <c r="A2165" s="60">
        <v>2164</v>
      </c>
      <c r="B2165" s="83" t="s">
        <v>4377</v>
      </c>
      <c r="C2165" s="85" t="s">
        <v>4378</v>
      </c>
      <c r="D2165" s="47"/>
      <c r="E2165" s="47"/>
      <c r="F2165" s="48"/>
      <c r="G2165" s="62" t="str">
        <f>IFERROR(INDEX(StockInData[Expiry],MATCH(ProductMaster[[#This Row],[Product ID]],StockInData[Product ID],0)),"")</f>
        <v/>
      </c>
      <c r="H2165" s="47"/>
      <c r="I2165" s="61">
        <f>SUMIFS(StockInData[Quantity],StockInData[Product ID],ProductMaster!$B2165)-SUMIFS(StockOutData[Quantity],StockOutData[Product ID],ProductMaster!$B2165)</f>
        <v>0</v>
      </c>
      <c r="J2165" s="63">
        <f>SUMIFS(StockInData[Value],StockInData[Product ID],ProductMaster!$B2165)-SUMIFS(StockOutData[Value],StockOutData[Product ID],ProductMaster!$B2165)</f>
        <v>0</v>
      </c>
    </row>
    <row r="2166" spans="1:10" x14ac:dyDescent="0.25">
      <c r="A2166" s="82">
        <v>2165</v>
      </c>
      <c r="B2166" s="83" t="s">
        <v>4379</v>
      </c>
      <c r="C2166" s="85" t="s">
        <v>4380</v>
      </c>
      <c r="D2166" s="47"/>
      <c r="E2166" s="47"/>
      <c r="F2166" s="48"/>
      <c r="G2166" s="62" t="str">
        <f>IFERROR(INDEX(StockInData[Expiry],MATCH(ProductMaster[[#This Row],[Product ID]],StockInData[Product ID],0)),"")</f>
        <v/>
      </c>
      <c r="H2166" s="47"/>
      <c r="I2166" s="61">
        <f>SUMIFS(StockInData[Quantity],StockInData[Product ID],ProductMaster!$B2166)-SUMIFS(StockOutData[Quantity],StockOutData[Product ID],ProductMaster!$B2166)</f>
        <v>0</v>
      </c>
      <c r="J2166" s="63">
        <f>SUMIFS(StockInData[Value],StockInData[Product ID],ProductMaster!$B2166)-SUMIFS(StockOutData[Value],StockOutData[Product ID],ProductMaster!$B2166)</f>
        <v>0</v>
      </c>
    </row>
    <row r="2167" spans="1:10" x14ac:dyDescent="0.25">
      <c r="A2167" s="60">
        <v>2166</v>
      </c>
      <c r="B2167" s="83" t="s">
        <v>4381</v>
      </c>
      <c r="C2167" s="85" t="s">
        <v>4382</v>
      </c>
      <c r="D2167" s="47"/>
      <c r="E2167" s="47"/>
      <c r="F2167" s="48"/>
      <c r="G2167" s="62" t="str">
        <f>IFERROR(INDEX(StockInData[Expiry],MATCH(ProductMaster[[#This Row],[Product ID]],StockInData[Product ID],0)),"")</f>
        <v/>
      </c>
      <c r="H2167" s="47"/>
      <c r="I2167" s="61">
        <f>SUMIFS(StockInData[Quantity],StockInData[Product ID],ProductMaster!$B2167)-SUMIFS(StockOutData[Quantity],StockOutData[Product ID],ProductMaster!$B2167)</f>
        <v>0</v>
      </c>
      <c r="J2167" s="63">
        <f>SUMIFS(StockInData[Value],StockInData[Product ID],ProductMaster!$B2167)-SUMIFS(StockOutData[Value],StockOutData[Product ID],ProductMaster!$B2167)</f>
        <v>0</v>
      </c>
    </row>
    <row r="2168" spans="1:10" x14ac:dyDescent="0.25">
      <c r="A2168" s="82">
        <v>2167</v>
      </c>
      <c r="B2168" s="83" t="s">
        <v>4383</v>
      </c>
      <c r="C2168" s="85" t="s">
        <v>4384</v>
      </c>
      <c r="D2168" s="47"/>
      <c r="E2168" s="47"/>
      <c r="F2168" s="48"/>
      <c r="G2168" s="62" t="str">
        <f>IFERROR(INDEX(StockInData[Expiry],MATCH(ProductMaster[[#This Row],[Product ID]],StockInData[Product ID],0)),"")</f>
        <v/>
      </c>
      <c r="H2168" s="47"/>
      <c r="I2168" s="61">
        <f>SUMIFS(StockInData[Quantity],StockInData[Product ID],ProductMaster!$B2168)-SUMIFS(StockOutData[Quantity],StockOutData[Product ID],ProductMaster!$B2168)</f>
        <v>0</v>
      </c>
      <c r="J2168" s="63">
        <f>SUMIFS(StockInData[Value],StockInData[Product ID],ProductMaster!$B2168)-SUMIFS(StockOutData[Value],StockOutData[Product ID],ProductMaster!$B2168)</f>
        <v>0</v>
      </c>
    </row>
    <row r="2169" spans="1:10" x14ac:dyDescent="0.25">
      <c r="A2169" s="60">
        <v>2168</v>
      </c>
      <c r="B2169" s="83" t="s">
        <v>4385</v>
      </c>
      <c r="C2169" s="85" t="s">
        <v>4386</v>
      </c>
      <c r="D2169" s="47"/>
      <c r="E2169" s="47"/>
      <c r="F2169" s="48"/>
      <c r="G2169" s="62" t="str">
        <f>IFERROR(INDEX(StockInData[Expiry],MATCH(ProductMaster[[#This Row],[Product ID]],StockInData[Product ID],0)),"")</f>
        <v/>
      </c>
      <c r="H2169" s="47"/>
      <c r="I2169" s="61">
        <f>SUMIFS(StockInData[Quantity],StockInData[Product ID],ProductMaster!$B2169)-SUMIFS(StockOutData[Quantity],StockOutData[Product ID],ProductMaster!$B2169)</f>
        <v>0</v>
      </c>
      <c r="J2169" s="63">
        <f>SUMIFS(StockInData[Value],StockInData[Product ID],ProductMaster!$B2169)-SUMIFS(StockOutData[Value],StockOutData[Product ID],ProductMaster!$B2169)</f>
        <v>0</v>
      </c>
    </row>
    <row r="2170" spans="1:10" x14ac:dyDescent="0.25">
      <c r="A2170" s="82">
        <v>2169</v>
      </c>
      <c r="B2170" s="83" t="s">
        <v>4387</v>
      </c>
      <c r="C2170" s="85" t="s">
        <v>4388</v>
      </c>
      <c r="D2170" s="47"/>
      <c r="E2170" s="47"/>
      <c r="F2170" s="48"/>
      <c r="G2170" s="62" t="str">
        <f>IFERROR(INDEX(StockInData[Expiry],MATCH(ProductMaster[[#This Row],[Product ID]],StockInData[Product ID],0)),"")</f>
        <v/>
      </c>
      <c r="H2170" s="47"/>
      <c r="I2170" s="61">
        <f>SUMIFS(StockInData[Quantity],StockInData[Product ID],ProductMaster!$B2170)-SUMIFS(StockOutData[Quantity],StockOutData[Product ID],ProductMaster!$B2170)</f>
        <v>0</v>
      </c>
      <c r="J2170" s="63">
        <f>SUMIFS(StockInData[Value],StockInData[Product ID],ProductMaster!$B2170)-SUMIFS(StockOutData[Value],StockOutData[Product ID],ProductMaster!$B2170)</f>
        <v>0</v>
      </c>
    </row>
    <row r="2171" spans="1:10" x14ac:dyDescent="0.25">
      <c r="A2171" s="60">
        <v>2170</v>
      </c>
      <c r="B2171" s="83" t="s">
        <v>4389</v>
      </c>
      <c r="C2171" s="85" t="s">
        <v>4390</v>
      </c>
      <c r="D2171" s="47"/>
      <c r="E2171" s="47"/>
      <c r="F2171" s="48"/>
      <c r="G2171" s="62" t="str">
        <f>IFERROR(INDEX(StockInData[Expiry],MATCH(ProductMaster[[#This Row],[Product ID]],StockInData[Product ID],0)),"")</f>
        <v/>
      </c>
      <c r="H2171" s="47"/>
      <c r="I2171" s="61">
        <f>SUMIFS(StockInData[Quantity],StockInData[Product ID],ProductMaster!$B2171)-SUMIFS(StockOutData[Quantity],StockOutData[Product ID],ProductMaster!$B2171)</f>
        <v>0</v>
      </c>
      <c r="J2171" s="63">
        <f>SUMIFS(StockInData[Value],StockInData[Product ID],ProductMaster!$B2171)-SUMIFS(StockOutData[Value],StockOutData[Product ID],ProductMaster!$B2171)</f>
        <v>0</v>
      </c>
    </row>
    <row r="2172" spans="1:10" x14ac:dyDescent="0.25">
      <c r="A2172" s="82">
        <v>2171</v>
      </c>
      <c r="B2172" s="83" t="s">
        <v>4391</v>
      </c>
      <c r="C2172" s="85" t="s">
        <v>4392</v>
      </c>
      <c r="D2172" s="47"/>
      <c r="E2172" s="47"/>
      <c r="F2172" s="48"/>
      <c r="G2172" s="62" t="str">
        <f>IFERROR(INDEX(StockInData[Expiry],MATCH(ProductMaster[[#This Row],[Product ID]],StockInData[Product ID],0)),"")</f>
        <v/>
      </c>
      <c r="H2172" s="47"/>
      <c r="I2172" s="61">
        <f>SUMIFS(StockInData[Quantity],StockInData[Product ID],ProductMaster!$B2172)-SUMIFS(StockOutData[Quantity],StockOutData[Product ID],ProductMaster!$B2172)</f>
        <v>0</v>
      </c>
      <c r="J2172" s="63">
        <f>SUMIFS(StockInData[Value],StockInData[Product ID],ProductMaster!$B2172)-SUMIFS(StockOutData[Value],StockOutData[Product ID],ProductMaster!$B2172)</f>
        <v>0</v>
      </c>
    </row>
    <row r="2173" spans="1:10" x14ac:dyDescent="0.25">
      <c r="A2173" s="60">
        <v>2172</v>
      </c>
      <c r="B2173" s="83" t="s">
        <v>4393</v>
      </c>
      <c r="C2173" s="85" t="s">
        <v>4394</v>
      </c>
      <c r="D2173" s="47"/>
      <c r="E2173" s="47"/>
      <c r="F2173" s="48"/>
      <c r="G2173" s="62" t="str">
        <f>IFERROR(INDEX(StockInData[Expiry],MATCH(ProductMaster[[#This Row],[Product ID]],StockInData[Product ID],0)),"")</f>
        <v/>
      </c>
      <c r="H2173" s="47"/>
      <c r="I2173" s="61">
        <f>SUMIFS(StockInData[Quantity],StockInData[Product ID],ProductMaster!$B2173)-SUMIFS(StockOutData[Quantity],StockOutData[Product ID],ProductMaster!$B2173)</f>
        <v>0</v>
      </c>
      <c r="J2173" s="63">
        <f>SUMIFS(StockInData[Value],StockInData[Product ID],ProductMaster!$B2173)-SUMIFS(StockOutData[Value],StockOutData[Product ID],ProductMaster!$B2173)</f>
        <v>0</v>
      </c>
    </row>
    <row r="2174" spans="1:10" x14ac:dyDescent="0.25">
      <c r="A2174" s="82">
        <v>2173</v>
      </c>
      <c r="B2174" s="83" t="s">
        <v>4395</v>
      </c>
      <c r="C2174" s="85" t="s">
        <v>4396</v>
      </c>
      <c r="D2174" s="47"/>
      <c r="E2174" s="47"/>
      <c r="F2174" s="48"/>
      <c r="G2174" s="62" t="str">
        <f>IFERROR(INDEX(StockInData[Expiry],MATCH(ProductMaster[[#This Row],[Product ID]],StockInData[Product ID],0)),"")</f>
        <v/>
      </c>
      <c r="H2174" s="47"/>
      <c r="I2174" s="61">
        <f>SUMIFS(StockInData[Quantity],StockInData[Product ID],ProductMaster!$B2174)-SUMIFS(StockOutData[Quantity],StockOutData[Product ID],ProductMaster!$B2174)</f>
        <v>0</v>
      </c>
      <c r="J2174" s="63">
        <f>SUMIFS(StockInData[Value],StockInData[Product ID],ProductMaster!$B2174)-SUMIFS(StockOutData[Value],StockOutData[Product ID],ProductMaster!$B2174)</f>
        <v>0</v>
      </c>
    </row>
    <row r="2175" spans="1:10" x14ac:dyDescent="0.25">
      <c r="A2175" s="60">
        <v>2174</v>
      </c>
      <c r="B2175" s="83" t="s">
        <v>4397</v>
      </c>
      <c r="C2175" s="85" t="s">
        <v>4398</v>
      </c>
      <c r="D2175" s="47"/>
      <c r="E2175" s="47"/>
      <c r="F2175" s="48"/>
      <c r="G2175" s="62" t="str">
        <f>IFERROR(INDEX(StockInData[Expiry],MATCH(ProductMaster[[#This Row],[Product ID]],StockInData[Product ID],0)),"")</f>
        <v/>
      </c>
      <c r="H2175" s="47"/>
      <c r="I2175" s="61">
        <f>SUMIFS(StockInData[Quantity],StockInData[Product ID],ProductMaster!$B2175)-SUMIFS(StockOutData[Quantity],StockOutData[Product ID],ProductMaster!$B2175)</f>
        <v>0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2">
        <v>2175</v>
      </c>
      <c r="B2176" s="83" t="s">
        <v>4399</v>
      </c>
      <c r="C2176" s="85" t="s">
        <v>4400</v>
      </c>
      <c r="D2176" s="47"/>
      <c r="E2176" s="47"/>
      <c r="F2176" s="48"/>
      <c r="G2176" s="62" t="str">
        <f>IFERROR(INDEX(StockInData[Expiry],MATCH(ProductMaster[[#This Row],[Product ID]],StockInData[Product ID],0)),"")</f>
        <v/>
      </c>
      <c r="H2176" s="47"/>
      <c r="I2176" s="61">
        <f>SUMIFS(StockInData[Quantity],StockInData[Product ID],ProductMaster!$B2176)-SUMIFS(StockOutData[Quantity],StockOutData[Product ID],ProductMaster!$B2176)</f>
        <v>0</v>
      </c>
      <c r="J2176" s="63">
        <f>SUMIFS(StockInData[Value],StockInData[Product ID],ProductMaster!$B2176)-SUMIFS(StockOutData[Value],StockOutData[Product ID],ProductMaster!$B2176)</f>
        <v>0</v>
      </c>
    </row>
    <row r="2177" spans="1:10" x14ac:dyDescent="0.25">
      <c r="A2177" s="60">
        <v>2176</v>
      </c>
      <c r="B2177" s="83" t="s">
        <v>4401</v>
      </c>
      <c r="C2177" s="85" t="s">
        <v>4402</v>
      </c>
      <c r="D2177" s="47"/>
      <c r="E2177" s="47"/>
      <c r="F2177" s="48"/>
      <c r="G2177" s="62" t="str">
        <f>IFERROR(INDEX(StockInData[Expiry],MATCH(ProductMaster[[#This Row],[Product ID]],StockInData[Product ID],0)),"")</f>
        <v/>
      </c>
      <c r="H2177" s="47"/>
      <c r="I2177" s="61">
        <f>SUMIFS(StockInData[Quantity],StockInData[Product ID],ProductMaster!$B2177)-SUMIFS(StockOutData[Quantity],StockOutData[Product ID],ProductMaster!$B2177)</f>
        <v>0</v>
      </c>
      <c r="J2177" s="63">
        <f>SUMIFS(StockInData[Value],StockInData[Product ID],ProductMaster!$B2177)-SUMIFS(StockOutData[Value],StockOutData[Product ID],ProductMaster!$B2177)</f>
        <v>0</v>
      </c>
    </row>
    <row r="2178" spans="1:10" x14ac:dyDescent="0.25">
      <c r="A2178" s="82">
        <v>2177</v>
      </c>
      <c r="B2178" s="83" t="s">
        <v>4403</v>
      </c>
      <c r="C2178" s="85" t="s">
        <v>4404</v>
      </c>
      <c r="D2178" s="47"/>
      <c r="E2178" s="47"/>
      <c r="F2178" s="48"/>
      <c r="G2178" s="62" t="str">
        <f>IFERROR(INDEX(StockInData[Expiry],MATCH(ProductMaster[[#This Row],[Product ID]],StockInData[Product ID],0)),"")</f>
        <v/>
      </c>
      <c r="H2178" s="47"/>
      <c r="I2178" s="61">
        <f>SUMIFS(StockInData[Quantity],StockInData[Product ID],ProductMaster!$B2178)-SUMIFS(StockOutData[Quantity],StockOutData[Product ID],ProductMaster!$B2178)</f>
        <v>0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3" t="s">
        <v>4405</v>
      </c>
      <c r="C2179" s="85" t="s">
        <v>4406</v>
      </c>
      <c r="D2179" s="47"/>
      <c r="E2179" s="47"/>
      <c r="F2179" s="48"/>
      <c r="G2179" s="62" t="str">
        <f>IFERROR(INDEX(StockInData[Expiry],MATCH(ProductMaster[[#This Row],[Product ID]],StockInData[Product ID],0)),"")</f>
        <v/>
      </c>
      <c r="H2179" s="47"/>
      <c r="I2179" s="61">
        <f>SUMIFS(StockInData[Quantity],StockInData[Product ID],ProductMaster!$B2179)-SUMIFS(StockOutData[Quantity],StockOutData[Product ID],ProductMaster!$B2179)</f>
        <v>0</v>
      </c>
      <c r="J2179" s="63">
        <f>SUMIFS(StockInData[Value],StockInData[Product ID],ProductMaster!$B2179)-SUMIFS(StockOutData[Value],StockOutData[Product ID],ProductMaster!$B2179)</f>
        <v>0</v>
      </c>
    </row>
    <row r="2180" spans="1:10" x14ac:dyDescent="0.25">
      <c r="A2180" s="82">
        <v>2179</v>
      </c>
      <c r="B2180" s="83" t="s">
        <v>4407</v>
      </c>
      <c r="C2180" s="85" t="s">
        <v>4408</v>
      </c>
      <c r="D2180" s="47"/>
      <c r="E2180" s="47"/>
      <c r="F2180" s="48"/>
      <c r="G2180" s="62" t="str">
        <f>IFERROR(INDEX(StockInData[Expiry],MATCH(ProductMaster[[#This Row],[Product ID]],StockInData[Product ID],0)),"")</f>
        <v/>
      </c>
      <c r="H2180" s="47"/>
      <c r="I2180" s="61">
        <f>SUMIFS(StockInData[Quantity],StockInData[Product ID],ProductMaster!$B2180)-SUMIFS(StockOutData[Quantity],StockOutData[Product ID],ProductMaster!$B2180)</f>
        <v>0</v>
      </c>
      <c r="J2180" s="63">
        <f>SUMIFS(StockInData[Value],StockInData[Product ID],ProductMaster!$B2180)-SUMIFS(StockOutData[Value],StockOutData[Product ID],ProductMaster!$B2180)</f>
        <v>0</v>
      </c>
    </row>
    <row r="2181" spans="1:10" hidden="1" x14ac:dyDescent="0.25">
      <c r="A2181" s="60">
        <v>2180</v>
      </c>
      <c r="B2181" s="83" t="s">
        <v>4409</v>
      </c>
      <c r="C2181" s="85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2">
        <v>2181</v>
      </c>
      <c r="B2182" s="83" t="s">
        <v>4411</v>
      </c>
      <c r="C2182" s="85" t="s">
        <v>4412</v>
      </c>
      <c r="D2182" s="47"/>
      <c r="E2182" s="47"/>
      <c r="F2182" s="48"/>
      <c r="G2182" s="62" t="str">
        <f>IFERROR(INDEX(StockInData[Expiry],MATCH(ProductMaster[[#This Row],[Product ID]],StockInData[Product ID],0)),"")</f>
        <v/>
      </c>
      <c r="H2182" s="47"/>
      <c r="I2182" s="61">
        <f>SUMIFS(StockInData[Quantity],StockInData[Product ID],ProductMaster!$B2182)-SUMIFS(StockOutData[Quantity],StockOutData[Product ID],ProductMaster!$B2182)</f>
        <v>0</v>
      </c>
      <c r="J2182" s="63">
        <f>SUMIFS(StockInData[Value],StockInData[Product ID],ProductMaster!$B2182)-SUMIFS(StockOutData[Value],StockOutData[Product ID],ProductMaster!$B2182)</f>
        <v>0</v>
      </c>
    </row>
    <row r="2183" spans="1:10" x14ac:dyDescent="0.25">
      <c r="A2183" s="60">
        <v>2182</v>
      </c>
      <c r="B2183" s="83" t="s">
        <v>4413</v>
      </c>
      <c r="C2183" s="85" t="s">
        <v>4414</v>
      </c>
      <c r="D2183" s="47"/>
      <c r="E2183" s="47"/>
      <c r="F2183" s="48"/>
      <c r="G2183" s="62" t="str">
        <f>IFERROR(INDEX(StockInData[Expiry],MATCH(ProductMaster[[#This Row],[Product ID]],StockInData[Product ID],0)),"")</f>
        <v/>
      </c>
      <c r="H2183" s="47"/>
      <c r="I2183" s="61">
        <f>SUMIFS(StockInData[Quantity],StockInData[Product ID],ProductMaster!$B2183)-SUMIFS(StockOutData[Quantity],StockOutData[Product ID],ProductMaster!$B2183)</f>
        <v>0</v>
      </c>
      <c r="J2183" s="63">
        <f>SUMIFS(StockInData[Value],StockInData[Product ID],ProductMaster!$B2183)-SUMIFS(StockOutData[Value],StockOutData[Product ID],ProductMaster!$B2183)</f>
        <v>0</v>
      </c>
    </row>
    <row r="2184" spans="1:10" x14ac:dyDescent="0.25">
      <c r="A2184" s="82">
        <v>2183</v>
      </c>
      <c r="B2184" s="83" t="s">
        <v>4415</v>
      </c>
      <c r="C2184" s="85" t="s">
        <v>4416</v>
      </c>
      <c r="D2184" s="47"/>
      <c r="E2184" s="47"/>
      <c r="F2184" s="48"/>
      <c r="G2184" s="62" t="str">
        <f>IFERROR(INDEX(StockInData[Expiry],MATCH(ProductMaster[[#This Row],[Product ID]],StockInData[Product ID],0)),"")</f>
        <v/>
      </c>
      <c r="H2184" s="47"/>
      <c r="I2184" s="61">
        <f>SUMIFS(StockInData[Quantity],StockInData[Product ID],ProductMaster!$B2184)-SUMIFS(StockOutData[Quantity],StockOutData[Product ID],ProductMaster!$B2184)</f>
        <v>0</v>
      </c>
      <c r="J2184" s="63">
        <f>SUMIFS(StockInData[Value],StockInData[Product ID],ProductMaster!$B2184)-SUMIFS(StockOutData[Value],StockOutData[Product ID],ProductMaster!$B2184)</f>
        <v>0</v>
      </c>
    </row>
    <row r="2185" spans="1:10" x14ac:dyDescent="0.25">
      <c r="A2185" s="60">
        <v>2184</v>
      </c>
      <c r="B2185" s="83" t="s">
        <v>4417</v>
      </c>
      <c r="C2185" s="85" t="s">
        <v>4418</v>
      </c>
      <c r="D2185" s="47"/>
      <c r="E2185" s="47"/>
      <c r="F2185" s="48"/>
      <c r="G2185" s="62" t="str">
        <f>IFERROR(INDEX(StockInData[Expiry],MATCH(ProductMaster[[#This Row],[Product ID]],StockInData[Product ID],0)),"")</f>
        <v/>
      </c>
      <c r="H2185" s="47"/>
      <c r="I2185" s="61">
        <f>SUMIFS(StockInData[Quantity],StockInData[Product ID],ProductMaster!$B2185)-SUMIFS(StockOutData[Quantity],StockOutData[Product ID],ProductMaster!$B2185)</f>
        <v>0</v>
      </c>
      <c r="J2185" s="63">
        <f>SUMIFS(StockInData[Value],StockInData[Product ID],ProductMaster!$B2185)-SUMIFS(StockOutData[Value],StockOutData[Product ID],ProductMaster!$B2185)</f>
        <v>0</v>
      </c>
    </row>
    <row r="2186" spans="1:10" x14ac:dyDescent="0.25">
      <c r="A2186" s="82">
        <v>2185</v>
      </c>
      <c r="B2186" s="83" t="s">
        <v>4419</v>
      </c>
      <c r="C2186" s="85" t="s">
        <v>4420</v>
      </c>
      <c r="D2186" s="47"/>
      <c r="E2186" s="47"/>
      <c r="F2186" s="48"/>
      <c r="G2186" s="62" t="str">
        <f>IFERROR(INDEX(StockInData[Expiry],MATCH(ProductMaster[[#This Row],[Product ID]],StockInData[Product ID],0)),"")</f>
        <v/>
      </c>
      <c r="H2186" s="47"/>
      <c r="I2186" s="61">
        <f>SUMIFS(StockInData[Quantity],StockInData[Product ID],ProductMaster!$B2186)-SUMIFS(StockOutData[Quantity],StockOutData[Product ID],ProductMaster!$B2186)</f>
        <v>0</v>
      </c>
      <c r="J2186" s="63">
        <f>SUMIFS(StockInData[Value],StockInData[Product ID],ProductMaster!$B2186)-SUMIFS(StockOutData[Value],StockOutData[Product ID],ProductMaster!$B2186)</f>
        <v>0</v>
      </c>
    </row>
    <row r="2187" spans="1:10" hidden="1" x14ac:dyDescent="0.25">
      <c r="A2187" s="60">
        <v>2186</v>
      </c>
      <c r="B2187" s="83" t="s">
        <v>4421</v>
      </c>
      <c r="C2187" s="85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2">
        <v>2187</v>
      </c>
      <c r="B2188" s="83" t="s">
        <v>4423</v>
      </c>
      <c r="C2188" s="85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3" t="s">
        <v>4425</v>
      </c>
      <c r="C2189" s="85" t="s">
        <v>4426</v>
      </c>
      <c r="D2189" s="47"/>
      <c r="E2189" s="47"/>
      <c r="F2189" s="48"/>
      <c r="G2189" s="62" t="str">
        <f>IFERROR(INDEX(StockInData[Expiry],MATCH(ProductMaster[[#This Row],[Product ID]],StockInData[Product ID],0)),"")</f>
        <v/>
      </c>
      <c r="H2189" s="47"/>
      <c r="I2189" s="61">
        <f>SUMIFS(StockInData[Quantity],StockInData[Product ID],ProductMaster!$B2189)-SUMIFS(StockOutData[Quantity],StockOutData[Product ID],ProductMaster!$B2189)</f>
        <v>0</v>
      </c>
      <c r="J2189" s="63">
        <f>SUMIFS(StockInData[Value],StockInData[Product ID],ProductMaster!$B2189)-SUMIFS(StockOutData[Value],StockOutData[Product ID],ProductMaster!$B2189)</f>
        <v>0</v>
      </c>
    </row>
    <row r="2190" spans="1:10" x14ac:dyDescent="0.25">
      <c r="A2190" s="82">
        <v>2189</v>
      </c>
      <c r="B2190" s="83" t="s">
        <v>4427</v>
      </c>
      <c r="C2190" s="85" t="s">
        <v>4428</v>
      </c>
      <c r="D2190" s="47"/>
      <c r="E2190" s="47"/>
      <c r="F2190" s="48"/>
      <c r="G2190" s="62" t="str">
        <f>IFERROR(INDEX(StockInData[Expiry],MATCH(ProductMaster[[#This Row],[Product ID]],StockInData[Product ID],0)),"")</f>
        <v/>
      </c>
      <c r="H2190" s="47"/>
      <c r="I2190" s="61">
        <f>SUMIFS(StockInData[Quantity],StockInData[Product ID],ProductMaster!$B2190)-SUMIFS(StockOutData[Quantity],StockOutData[Product ID],ProductMaster!$B2190)</f>
        <v>0</v>
      </c>
      <c r="J2190" s="63">
        <f>SUMIFS(StockInData[Value],StockInData[Product ID],ProductMaster!$B2190)-SUMIFS(StockOutData[Value],StockOutData[Product ID],ProductMaster!$B2190)</f>
        <v>0</v>
      </c>
    </row>
    <row r="2191" spans="1:10" hidden="1" x14ac:dyDescent="0.25">
      <c r="A2191" s="60">
        <v>2190</v>
      </c>
      <c r="B2191" s="83" t="s">
        <v>4429</v>
      </c>
      <c r="C2191" s="85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2">
        <v>2191</v>
      </c>
      <c r="B2192" s="83" t="s">
        <v>4431</v>
      </c>
      <c r="C2192" s="85" t="s">
        <v>4432</v>
      </c>
      <c r="D2192" s="47"/>
      <c r="E2192" s="47"/>
      <c r="F2192" s="48"/>
      <c r="G2192" s="62" t="str">
        <f>IFERROR(INDEX(StockInData[Expiry],MATCH(ProductMaster[[#This Row],[Product ID]],StockInData[Product ID],0)),"")</f>
        <v/>
      </c>
      <c r="H2192" s="47"/>
      <c r="I2192" s="61">
        <f>SUMIFS(StockInData[Quantity],StockInData[Product ID],ProductMaster!$B2192)-SUMIFS(StockOutData[Quantity],StockOutData[Product ID],ProductMaster!$B2192)</f>
        <v>0</v>
      </c>
      <c r="J2192" s="63">
        <f>SUMIFS(StockInData[Value],StockInData[Product ID],ProductMaster!$B2192)-SUMIFS(StockOutData[Value],StockOutData[Product ID],ProductMaster!$B2192)</f>
        <v>0</v>
      </c>
    </row>
    <row r="2193" spans="1:10" x14ac:dyDescent="0.25">
      <c r="A2193" s="60">
        <v>2192</v>
      </c>
      <c r="B2193" s="83" t="s">
        <v>4433</v>
      </c>
      <c r="C2193" s="85" t="s">
        <v>4434</v>
      </c>
      <c r="D2193" s="47"/>
      <c r="E2193" s="47"/>
      <c r="F2193" s="48"/>
      <c r="G2193" s="62" t="str">
        <f>IFERROR(INDEX(StockInData[Expiry],MATCH(ProductMaster[[#This Row],[Product ID]],StockInData[Product ID],0)),"")</f>
        <v/>
      </c>
      <c r="H2193" s="47"/>
      <c r="I2193" s="61">
        <f>SUMIFS(StockInData[Quantity],StockInData[Product ID],ProductMaster!$B2193)-SUMIFS(StockOutData[Quantity],StockOutData[Product ID],ProductMaster!$B2193)</f>
        <v>0</v>
      </c>
      <c r="J2193" s="63">
        <f>SUMIFS(StockInData[Value],StockInData[Product ID],ProductMaster!$B2193)-SUMIFS(StockOutData[Value],StockOutData[Product ID],ProductMaster!$B2193)</f>
        <v>0</v>
      </c>
    </row>
    <row r="2194" spans="1:10" x14ac:dyDescent="0.25">
      <c r="A2194" s="82">
        <v>2193</v>
      </c>
      <c r="B2194" s="83" t="s">
        <v>4435</v>
      </c>
      <c r="C2194" s="85" t="s">
        <v>4436</v>
      </c>
      <c r="D2194" s="47"/>
      <c r="E2194" s="47"/>
      <c r="F2194" s="48"/>
      <c r="G2194" s="62" t="str">
        <f>IFERROR(INDEX(StockInData[Expiry],MATCH(ProductMaster[[#This Row],[Product ID]],StockInData[Product ID],0)),"")</f>
        <v/>
      </c>
      <c r="H2194" s="47"/>
      <c r="I2194" s="61">
        <f>SUMIFS(StockInData[Quantity],StockInData[Product ID],ProductMaster!$B2194)-SUMIFS(StockOutData[Quantity],StockOutData[Product ID],ProductMaster!$B2194)</f>
        <v>0</v>
      </c>
      <c r="J2194" s="63">
        <f>SUMIFS(StockInData[Value],StockInData[Product ID],ProductMaster!$B2194)-SUMIFS(StockOutData[Value],StockOutData[Product ID],ProductMaster!$B2194)</f>
        <v>0</v>
      </c>
    </row>
    <row r="2195" spans="1:10" x14ac:dyDescent="0.25">
      <c r="A2195" s="60">
        <v>2194</v>
      </c>
      <c r="B2195" s="83" t="s">
        <v>4437</v>
      </c>
      <c r="C2195" s="85" t="s">
        <v>4438</v>
      </c>
      <c r="D2195" s="47"/>
      <c r="E2195" s="47"/>
      <c r="F2195" s="48"/>
      <c r="G2195" s="62" t="str">
        <f>IFERROR(INDEX(StockInData[Expiry],MATCH(ProductMaster[[#This Row],[Product ID]],StockInData[Product ID],0)),"")</f>
        <v/>
      </c>
      <c r="H2195" s="47"/>
      <c r="I2195" s="61">
        <f>SUMIFS(StockInData[Quantity],StockInData[Product ID],ProductMaster!$B2195)-SUMIFS(StockOutData[Quantity],StockOutData[Product ID],ProductMaster!$B2195)</f>
        <v>0</v>
      </c>
      <c r="J2195" s="63">
        <f>SUMIFS(StockInData[Value],StockInData[Product ID],ProductMaster!$B2195)-SUMIFS(StockOutData[Value],StockOutData[Product ID],ProductMaster!$B2195)</f>
        <v>0</v>
      </c>
    </row>
    <row r="2196" spans="1:10" hidden="1" x14ac:dyDescent="0.25">
      <c r="A2196" s="82">
        <v>2195</v>
      </c>
      <c r="B2196" s="83" t="s">
        <v>4439</v>
      </c>
      <c r="C2196" s="85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3" t="s">
        <v>4441</v>
      </c>
      <c r="C2197" s="85" t="s">
        <v>4442</v>
      </c>
      <c r="D2197" s="47"/>
      <c r="E2197" s="47"/>
      <c r="F2197" s="48"/>
      <c r="G2197" s="62" t="str">
        <f>IFERROR(INDEX(StockInData[Expiry],MATCH(ProductMaster[[#This Row],[Product ID]],StockInData[Product ID],0)),"")</f>
        <v/>
      </c>
      <c r="H2197" s="47"/>
      <c r="I2197" s="61">
        <f>SUMIFS(StockInData[Quantity],StockInData[Product ID],ProductMaster!$B2197)-SUMIFS(StockOutData[Quantity],StockOutData[Product ID],ProductMaster!$B2197)</f>
        <v>0</v>
      </c>
      <c r="J2197" s="63">
        <f>SUMIFS(StockInData[Value],StockInData[Product ID],ProductMaster!$B2197)-SUMIFS(StockOutData[Value],StockOutData[Product ID],ProductMaster!$B2197)</f>
        <v>0</v>
      </c>
    </row>
    <row r="2198" spans="1:10" x14ac:dyDescent="0.25">
      <c r="A2198" s="82">
        <v>2197</v>
      </c>
      <c r="B2198" s="83" t="s">
        <v>4443</v>
      </c>
      <c r="C2198" s="85" t="s">
        <v>4444</v>
      </c>
      <c r="D2198" s="47"/>
      <c r="E2198" s="47"/>
      <c r="F2198" s="48"/>
      <c r="G2198" s="62" t="str">
        <f>IFERROR(INDEX(StockInData[Expiry],MATCH(ProductMaster[[#This Row],[Product ID]],StockInData[Product ID],0)),"")</f>
        <v/>
      </c>
      <c r="H2198" s="47"/>
      <c r="I2198" s="61">
        <f>SUMIFS(StockInData[Quantity],StockInData[Product ID],ProductMaster!$B2198)-SUMIFS(StockOutData[Quantity],StockOutData[Product ID],ProductMaster!$B2198)</f>
        <v>0</v>
      </c>
      <c r="J2198" s="63">
        <f>SUMIFS(StockInData[Value],StockInData[Product ID],ProductMaster!$B2198)-SUMIFS(StockOutData[Value],StockOutData[Product ID],ProductMaster!$B2198)</f>
        <v>0</v>
      </c>
    </row>
    <row r="2199" spans="1:10" x14ac:dyDescent="0.25">
      <c r="A2199" s="60">
        <v>2198</v>
      </c>
      <c r="B2199" s="83" t="s">
        <v>4445</v>
      </c>
      <c r="C2199" s="85" t="s">
        <v>4446</v>
      </c>
      <c r="D2199" s="47"/>
      <c r="E2199" s="47"/>
      <c r="F2199" s="48"/>
      <c r="G2199" s="62" t="str">
        <f>IFERROR(INDEX(StockInData[Expiry],MATCH(ProductMaster[[#This Row],[Product ID]],StockInData[Product ID],0)),"")</f>
        <v/>
      </c>
      <c r="H2199" s="47"/>
      <c r="I2199" s="61">
        <f>SUMIFS(StockInData[Quantity],StockInData[Product ID],ProductMaster!$B2199)-SUMIFS(StockOutData[Quantity],StockOutData[Product ID],ProductMaster!$B2199)</f>
        <v>0</v>
      </c>
      <c r="J2199" s="63">
        <f>SUMIFS(StockInData[Value],StockInData[Product ID],ProductMaster!$B2199)-SUMIFS(StockOutData[Value],StockOutData[Product ID],ProductMaster!$B2199)</f>
        <v>0</v>
      </c>
    </row>
    <row r="2200" spans="1:10" hidden="1" x14ac:dyDescent="0.25">
      <c r="A2200" s="82">
        <v>2199</v>
      </c>
      <c r="B2200" s="83" t="s">
        <v>4447</v>
      </c>
      <c r="C2200" s="85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x14ac:dyDescent="0.25">
      <c r="A2201" s="60">
        <v>2200</v>
      </c>
      <c r="B2201" s="83" t="s">
        <v>4449</v>
      </c>
      <c r="C2201" s="85" t="s">
        <v>4450</v>
      </c>
      <c r="D2201" s="47"/>
      <c r="E2201" s="47"/>
      <c r="F2201" s="48"/>
      <c r="G2201" s="62" t="str">
        <f>IFERROR(INDEX(StockInData[Expiry],MATCH(ProductMaster[[#This Row],[Product ID]],StockInData[Product ID],0)),"")</f>
        <v/>
      </c>
      <c r="H2201" s="47"/>
      <c r="I2201" s="61">
        <f>SUMIFS(StockInData[Quantity],StockInData[Product ID],ProductMaster!$B2201)-SUMIFS(StockOutData[Quantity],StockOutData[Product ID],ProductMaster!$B2201)</f>
        <v>0</v>
      </c>
      <c r="J2201" s="63">
        <f>SUMIFS(StockInData[Value],StockInData[Product ID],ProductMaster!$B2201)-SUMIFS(StockOutData[Value],StockOutData[Product ID],ProductMaster!$B2201)</f>
        <v>0</v>
      </c>
    </row>
    <row r="2202" spans="1:10" x14ac:dyDescent="0.25">
      <c r="A2202" s="82">
        <v>2201</v>
      </c>
      <c r="B2202" s="83" t="s">
        <v>4451</v>
      </c>
      <c r="C2202" s="85" t="s">
        <v>4452</v>
      </c>
      <c r="D2202" s="47"/>
      <c r="E2202" s="47"/>
      <c r="F2202" s="48"/>
      <c r="G2202" s="62" t="str">
        <f>IFERROR(INDEX(StockInData[Expiry],MATCH(ProductMaster[[#This Row],[Product ID]],StockInData[Product ID],0)),"")</f>
        <v/>
      </c>
      <c r="H2202" s="47"/>
      <c r="I2202" s="61">
        <f>SUMIFS(StockInData[Quantity],StockInData[Product ID],ProductMaster!$B2202)-SUMIFS(StockOutData[Quantity],StockOutData[Product ID],ProductMaster!$B2202)</f>
        <v>0</v>
      </c>
      <c r="J2202" s="63">
        <f>SUMIFS(StockInData[Value],StockInData[Product ID],ProductMaster!$B2202)-SUMIFS(StockOutData[Value],StockOutData[Product ID],ProductMaster!$B2202)</f>
        <v>0</v>
      </c>
    </row>
    <row r="2203" spans="1:10" x14ac:dyDescent="0.25">
      <c r="A2203" s="60">
        <v>2202</v>
      </c>
      <c r="B2203" s="83" t="s">
        <v>4453</v>
      </c>
      <c r="C2203" s="85" t="s">
        <v>4454</v>
      </c>
      <c r="D2203" s="47"/>
      <c r="E2203" s="47"/>
      <c r="F2203" s="48"/>
      <c r="G2203" s="62" t="str">
        <f>IFERROR(INDEX(StockInData[Expiry],MATCH(ProductMaster[[#This Row],[Product ID]],StockInData[Product ID],0)),"")</f>
        <v/>
      </c>
      <c r="H2203" s="47"/>
      <c r="I2203" s="61">
        <f>SUMIFS(StockInData[Quantity],StockInData[Product ID],ProductMaster!$B2203)-SUMIFS(StockOutData[Quantity],StockOutData[Product ID],ProductMaster!$B2203)</f>
        <v>0</v>
      </c>
      <c r="J2203" s="63">
        <f>SUMIFS(StockInData[Value],StockInData[Product ID],ProductMaster!$B2203)-SUMIFS(StockOutData[Value],StockOutData[Product ID],ProductMaster!$B2203)</f>
        <v>0</v>
      </c>
    </row>
    <row r="2204" spans="1:10" x14ac:dyDescent="0.25">
      <c r="A2204" s="82">
        <v>2203</v>
      </c>
      <c r="B2204" s="83" t="s">
        <v>4455</v>
      </c>
      <c r="C2204" s="85" t="s">
        <v>4456</v>
      </c>
      <c r="D2204" s="47"/>
      <c r="E2204" s="47"/>
      <c r="F2204" s="48"/>
      <c r="G2204" s="62" t="str">
        <f>IFERROR(INDEX(StockInData[Expiry],MATCH(ProductMaster[[#This Row],[Product ID]],StockInData[Product ID],0)),"")</f>
        <v/>
      </c>
      <c r="H2204" s="47"/>
      <c r="I2204" s="61">
        <f>SUMIFS(StockInData[Quantity],StockInData[Product ID],ProductMaster!$B2204)-SUMIFS(StockOutData[Quantity],StockOutData[Product ID],ProductMaster!$B2204)</f>
        <v>0</v>
      </c>
      <c r="J2204" s="63">
        <f>SUMIFS(StockInData[Value],StockInData[Product ID],ProductMaster!$B2204)-SUMIFS(StockOutData[Value],StockOutData[Product ID],ProductMaster!$B2204)</f>
        <v>0</v>
      </c>
    </row>
    <row r="2205" spans="1:10" x14ac:dyDescent="0.25">
      <c r="A2205" s="60">
        <v>2204</v>
      </c>
      <c r="B2205" s="83" t="s">
        <v>4457</v>
      </c>
      <c r="C2205" s="85" t="s">
        <v>4458</v>
      </c>
      <c r="D2205" s="47"/>
      <c r="E2205" s="47"/>
      <c r="F2205" s="48"/>
      <c r="G2205" s="62" t="str">
        <f>IFERROR(INDEX(StockInData[Expiry],MATCH(ProductMaster[[#This Row],[Product ID]],StockInData[Product ID],0)),"")</f>
        <v/>
      </c>
      <c r="H2205" s="47"/>
      <c r="I2205" s="61">
        <f>SUMIFS(StockInData[Quantity],StockInData[Product ID],ProductMaster!$B2205)-SUMIFS(StockOutData[Quantity],StockOutData[Product ID],ProductMaster!$B2205)</f>
        <v>0</v>
      </c>
      <c r="J2205" s="63">
        <f>SUMIFS(StockInData[Value],StockInData[Product ID],ProductMaster!$B2205)-SUMIFS(StockOutData[Value],StockOutData[Product ID],ProductMaster!$B2205)</f>
        <v>0</v>
      </c>
    </row>
    <row r="2206" spans="1:10" x14ac:dyDescent="0.25">
      <c r="A2206" s="82">
        <v>2205</v>
      </c>
      <c r="B2206" s="83" t="s">
        <v>4459</v>
      </c>
      <c r="C2206" s="85" t="s">
        <v>4460</v>
      </c>
      <c r="D2206" s="47"/>
      <c r="E2206" s="47"/>
      <c r="F2206" s="48"/>
      <c r="G2206" s="62" t="str">
        <f>IFERROR(INDEX(StockInData[Expiry],MATCH(ProductMaster[[#This Row],[Product ID]],StockInData[Product ID],0)),"")</f>
        <v/>
      </c>
      <c r="H2206" s="47"/>
      <c r="I2206" s="61">
        <f>SUMIFS(StockInData[Quantity],StockInData[Product ID],ProductMaster!$B2206)-SUMIFS(StockOutData[Quantity],StockOutData[Product ID],ProductMaster!$B2206)</f>
        <v>0</v>
      </c>
      <c r="J2206" s="63">
        <f>SUMIFS(StockInData[Value],StockInData[Product ID],ProductMaster!$B2206)-SUMIFS(StockOutData[Value],StockOutData[Product ID],ProductMaster!$B2206)</f>
        <v>0</v>
      </c>
    </row>
    <row r="2207" spans="1:10" hidden="1" x14ac:dyDescent="0.25">
      <c r="A2207" s="60">
        <v>2206</v>
      </c>
      <c r="B2207" s="83" t="s">
        <v>4461</v>
      </c>
      <c r="C2207" s="85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2">
        <v>2207</v>
      </c>
      <c r="B2208" s="83" t="s">
        <v>4463</v>
      </c>
      <c r="C2208" s="85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hidden="1" x14ac:dyDescent="0.25">
      <c r="A2209" s="60">
        <v>2208</v>
      </c>
      <c r="B2209" s="83" t="s">
        <v>4465</v>
      </c>
      <c r="C2209" s="85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2">
        <v>2209</v>
      </c>
      <c r="B2210" s="83" t="s">
        <v>4467</v>
      </c>
      <c r="C2210" s="85" t="s">
        <v>4468</v>
      </c>
      <c r="D2210" s="47"/>
      <c r="E2210" s="47"/>
      <c r="F2210" s="48"/>
      <c r="G2210" s="62" t="str">
        <f>IFERROR(INDEX(StockInData[Expiry],MATCH(ProductMaster[[#This Row],[Product ID]],StockInData[Product ID],0)),"")</f>
        <v/>
      </c>
      <c r="H2210" s="47"/>
      <c r="I2210" s="61">
        <f>SUMIFS(StockInData[Quantity],StockInData[Product ID],ProductMaster!$B2210)-SUMIFS(StockOutData[Quantity],StockOutData[Product ID],ProductMaster!$B2210)</f>
        <v>0</v>
      </c>
      <c r="J2210" s="63">
        <f>SUMIFS(StockInData[Value],StockInData[Product ID],ProductMaster!$B2210)-SUMIFS(StockOutData[Value],StockOutData[Product ID],ProductMaster!$B2210)</f>
        <v>0</v>
      </c>
    </row>
    <row r="2211" spans="1:10" x14ac:dyDescent="0.25">
      <c r="A2211" s="60">
        <v>2210</v>
      </c>
      <c r="B2211" s="83" t="s">
        <v>4469</v>
      </c>
      <c r="C2211" s="85" t="s">
        <v>4470</v>
      </c>
      <c r="D2211" s="47"/>
      <c r="E2211" s="47"/>
      <c r="F2211" s="48"/>
      <c r="G2211" s="62" t="str">
        <f>IFERROR(INDEX(StockInData[Expiry],MATCH(ProductMaster[[#This Row],[Product ID]],StockInData[Product ID],0)),"")</f>
        <v/>
      </c>
      <c r="H2211" s="47"/>
      <c r="I2211" s="61">
        <f>SUMIFS(StockInData[Quantity],StockInData[Product ID],ProductMaster!$B2211)-SUMIFS(StockOutData[Quantity],StockOutData[Product ID],ProductMaster!$B2211)</f>
        <v>0</v>
      </c>
      <c r="J2211" s="63">
        <f>SUMIFS(StockInData[Value],StockInData[Product ID],ProductMaster!$B2211)-SUMIFS(StockOutData[Value],StockOutData[Product ID],ProductMaster!$B2211)</f>
        <v>0</v>
      </c>
    </row>
    <row r="2212" spans="1:10" x14ac:dyDescent="0.25">
      <c r="A2212" s="82">
        <v>2211</v>
      </c>
      <c r="B2212" s="83" t="s">
        <v>4471</v>
      </c>
      <c r="C2212" s="85" t="s">
        <v>4472</v>
      </c>
      <c r="D2212" s="47"/>
      <c r="E2212" s="47"/>
      <c r="F2212" s="48"/>
      <c r="G2212" s="62" t="str">
        <f>IFERROR(INDEX(StockInData[Expiry],MATCH(ProductMaster[[#This Row],[Product ID]],StockInData[Product ID],0)),"")</f>
        <v/>
      </c>
      <c r="H2212" s="47"/>
      <c r="I2212" s="61">
        <f>SUMIFS(StockInData[Quantity],StockInData[Product ID],ProductMaster!$B2212)-SUMIFS(StockOutData[Quantity],StockOutData[Product ID],ProductMaster!$B2212)</f>
        <v>0</v>
      </c>
      <c r="J2212" s="63">
        <f>SUMIFS(StockInData[Value],StockInData[Product ID],ProductMaster!$B2212)-SUMIFS(StockOutData[Value],StockOutData[Product ID],ProductMaster!$B2212)</f>
        <v>0</v>
      </c>
    </row>
    <row r="2213" spans="1:10" hidden="1" x14ac:dyDescent="0.25">
      <c r="A2213" s="60">
        <v>2212</v>
      </c>
      <c r="B2213" s="83" t="s">
        <v>4473</v>
      </c>
      <c r="C2213" s="85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2">
        <v>2213</v>
      </c>
      <c r="B2214" s="83" t="s">
        <v>4475</v>
      </c>
      <c r="C2214" s="85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3" t="s">
        <v>4477</v>
      </c>
      <c r="C2215" s="85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2">
        <v>2215</v>
      </c>
      <c r="B2216" s="83" t="s">
        <v>4479</v>
      </c>
      <c r="C2216" s="85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3" t="s">
        <v>4481</v>
      </c>
      <c r="C2217" s="85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2">
        <v>2217</v>
      </c>
      <c r="B2218" s="83" t="s">
        <v>4483</v>
      </c>
      <c r="C2218" s="85" t="s">
        <v>4484</v>
      </c>
      <c r="D2218" s="47"/>
      <c r="E2218" s="47"/>
      <c r="F2218" s="48"/>
      <c r="G2218" s="62" t="str">
        <f>IFERROR(INDEX(StockInData[Expiry],MATCH(ProductMaster[[#This Row],[Product ID]],StockInData[Product ID],0)),"")</f>
        <v/>
      </c>
      <c r="H2218" s="47"/>
      <c r="I2218" s="61">
        <f>SUMIFS(StockInData[Quantity],StockInData[Product ID],ProductMaster!$B2218)-SUMIFS(StockOutData[Quantity],StockOutData[Product ID],ProductMaster!$B2218)</f>
        <v>0</v>
      </c>
      <c r="J2218" s="63">
        <f>SUMIFS(StockInData[Value],StockInData[Product ID],ProductMaster!$B2218)-SUMIFS(StockOutData[Value],StockOutData[Product ID],ProductMaster!$B2218)</f>
        <v>0</v>
      </c>
    </row>
    <row r="2219" spans="1:10" x14ac:dyDescent="0.25">
      <c r="A2219" s="60">
        <v>2218</v>
      </c>
      <c r="B2219" s="83" t="s">
        <v>4485</v>
      </c>
      <c r="C2219" s="85" t="s">
        <v>4486</v>
      </c>
      <c r="D2219" s="47"/>
      <c r="E2219" s="47"/>
      <c r="F2219" s="48"/>
      <c r="G2219" s="62" t="str">
        <f>IFERROR(INDEX(StockInData[Expiry],MATCH(ProductMaster[[#This Row],[Product ID]],StockInData[Product ID],0)),"")</f>
        <v/>
      </c>
      <c r="H2219" s="47"/>
      <c r="I2219" s="61">
        <f>SUMIFS(StockInData[Quantity],StockInData[Product ID],ProductMaster!$B2219)-SUMIFS(StockOutData[Quantity],StockOutData[Product ID],ProductMaster!$B2219)</f>
        <v>0</v>
      </c>
      <c r="J2219" s="63">
        <f>SUMIFS(StockInData[Value],StockInData[Product ID],ProductMaster!$B2219)-SUMIFS(StockOutData[Value],StockOutData[Product ID],ProductMaster!$B2219)</f>
        <v>0</v>
      </c>
    </row>
    <row r="2220" spans="1:10" x14ac:dyDescent="0.25">
      <c r="A2220" s="82">
        <v>2219</v>
      </c>
      <c r="B2220" s="83" t="s">
        <v>4487</v>
      </c>
      <c r="C2220" s="85" t="s">
        <v>4488</v>
      </c>
      <c r="D2220" s="47"/>
      <c r="E2220" s="47"/>
      <c r="F2220" s="48"/>
      <c r="G2220" s="62" t="str">
        <f>IFERROR(INDEX(StockInData[Expiry],MATCH(ProductMaster[[#This Row],[Product ID]],StockInData[Product ID],0)),"")</f>
        <v/>
      </c>
      <c r="H2220" s="47"/>
      <c r="I2220" s="61">
        <f>SUMIFS(StockInData[Quantity],StockInData[Product ID],ProductMaster!$B2220)-SUMIFS(StockOutData[Quantity],StockOutData[Product ID],ProductMaster!$B2220)</f>
        <v>0</v>
      </c>
      <c r="J2220" s="63">
        <f>SUMIFS(StockInData[Value],StockInData[Product ID],ProductMaster!$B2220)-SUMIFS(StockOutData[Value],StockOutData[Product ID],ProductMaster!$B2220)</f>
        <v>0</v>
      </c>
    </row>
    <row r="2221" spans="1:10" x14ac:dyDescent="0.25">
      <c r="A2221" s="60">
        <v>2220</v>
      </c>
      <c r="B2221" s="83" t="s">
        <v>4489</v>
      </c>
      <c r="C2221" s="85" t="s">
        <v>4490</v>
      </c>
      <c r="D2221" s="47"/>
      <c r="E2221" s="47"/>
      <c r="F2221" s="48"/>
      <c r="G2221" s="62" t="str">
        <f>IFERROR(INDEX(StockInData[Expiry],MATCH(ProductMaster[[#This Row],[Product ID]],StockInData[Product ID],0)),"")</f>
        <v/>
      </c>
      <c r="H2221" s="47"/>
      <c r="I2221" s="61">
        <f>SUMIFS(StockInData[Quantity],StockInData[Product ID],ProductMaster!$B2221)-SUMIFS(StockOutData[Quantity],StockOutData[Product ID],ProductMaster!$B2221)</f>
        <v>0</v>
      </c>
      <c r="J2221" s="63">
        <f>SUMIFS(StockInData[Value],StockInData[Product ID],ProductMaster!$B2221)-SUMIFS(StockOutData[Value],StockOutData[Product ID],ProductMaster!$B2221)</f>
        <v>0</v>
      </c>
    </row>
    <row r="2222" spans="1:10" x14ac:dyDescent="0.25">
      <c r="A2222" s="82">
        <v>2221</v>
      </c>
      <c r="B2222" s="83" t="s">
        <v>4491</v>
      </c>
      <c r="C2222" s="85" t="s">
        <v>4492</v>
      </c>
      <c r="D2222" s="47"/>
      <c r="E2222" s="47"/>
      <c r="F2222" s="48"/>
      <c r="G2222" s="62" t="str">
        <f>IFERROR(INDEX(StockInData[Expiry],MATCH(ProductMaster[[#This Row],[Product ID]],StockInData[Product ID],0)),"")</f>
        <v/>
      </c>
      <c r="H2222" s="47"/>
      <c r="I2222" s="61">
        <f>SUMIFS(StockInData[Quantity],StockInData[Product ID],ProductMaster!$B2222)-SUMIFS(StockOutData[Quantity],StockOutData[Product ID],ProductMaster!$B2222)</f>
        <v>0</v>
      </c>
      <c r="J2222" s="63">
        <f>SUMIFS(StockInData[Value],StockInData[Product ID],ProductMaster!$B2222)-SUMIFS(StockOutData[Value],StockOutData[Product ID],ProductMaster!$B2222)</f>
        <v>0</v>
      </c>
    </row>
    <row r="2223" spans="1:10" x14ac:dyDescent="0.25">
      <c r="A2223" s="60">
        <v>2222</v>
      </c>
      <c r="B2223" s="83" t="s">
        <v>4493</v>
      </c>
      <c r="C2223" s="85" t="s">
        <v>4494</v>
      </c>
      <c r="D2223" s="47"/>
      <c r="E2223" s="47"/>
      <c r="F2223" s="48"/>
      <c r="G2223" s="62" t="str">
        <f>IFERROR(INDEX(StockInData[Expiry],MATCH(ProductMaster[[#This Row],[Product ID]],StockInData[Product ID],0)),"")</f>
        <v/>
      </c>
      <c r="H2223" s="47"/>
      <c r="I2223" s="61">
        <f>SUMIFS(StockInData[Quantity],StockInData[Product ID],ProductMaster!$B2223)-SUMIFS(StockOutData[Quantity],StockOutData[Product ID],ProductMaster!$B2223)</f>
        <v>0</v>
      </c>
      <c r="J2223" s="63">
        <f>SUMIFS(StockInData[Value],StockInData[Product ID],ProductMaster!$B2223)-SUMIFS(StockOutData[Value],StockOutData[Product ID],ProductMaster!$B2223)</f>
        <v>0</v>
      </c>
    </row>
    <row r="2224" spans="1:10" hidden="1" x14ac:dyDescent="0.25">
      <c r="A2224" s="82">
        <v>2223</v>
      </c>
      <c r="B2224" s="83" t="s">
        <v>4495</v>
      </c>
      <c r="C2224" s="85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3" t="s">
        <v>4497</v>
      </c>
      <c r="C2225" s="85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2">
        <v>2225</v>
      </c>
      <c r="B2226" s="83" t="s">
        <v>4499</v>
      </c>
      <c r="C2226" s="85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3" t="s">
        <v>4501</v>
      </c>
      <c r="C2227" s="85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2">
        <v>2227</v>
      </c>
      <c r="B2228" s="83" t="s">
        <v>4503</v>
      </c>
      <c r="C2228" s="85" t="s">
        <v>4504</v>
      </c>
      <c r="D2228" s="47"/>
      <c r="E2228" s="47"/>
      <c r="F2228" s="48"/>
      <c r="G2228" s="62" t="str">
        <f>IFERROR(INDEX(StockInData[Expiry],MATCH(ProductMaster[[#This Row],[Product ID]],StockInData[Product ID],0)),"")</f>
        <v/>
      </c>
      <c r="H2228" s="47"/>
      <c r="I2228" s="61">
        <f>SUMIFS(StockInData[Quantity],StockInData[Product ID],ProductMaster!$B2228)-SUMIFS(StockOutData[Quantity],StockOutData[Product ID],ProductMaster!$B2228)</f>
        <v>0</v>
      </c>
      <c r="J2228" s="63">
        <f>SUMIFS(StockInData[Value],StockInData[Product ID],ProductMaster!$B2228)-SUMIFS(StockOutData[Value],StockOutData[Product ID],ProductMaster!$B2228)</f>
        <v>0</v>
      </c>
    </row>
    <row r="2229" spans="1:10" hidden="1" x14ac:dyDescent="0.25">
      <c r="A2229" s="60">
        <v>2228</v>
      </c>
      <c r="B2229" s="83" t="s">
        <v>4505</v>
      </c>
      <c r="C2229" s="85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2">
        <v>2229</v>
      </c>
      <c r="B2230" s="83" t="s">
        <v>4507</v>
      </c>
      <c r="C2230" s="85" t="s">
        <v>4508</v>
      </c>
      <c r="D2230" s="47"/>
      <c r="E2230" s="47"/>
      <c r="F2230" s="48"/>
      <c r="G2230" s="62" t="str">
        <f>IFERROR(INDEX(StockInData[Expiry],MATCH(ProductMaster[[#This Row],[Product ID]],StockInData[Product ID],0)),"")</f>
        <v/>
      </c>
      <c r="H2230" s="47"/>
      <c r="I2230" s="61">
        <f>SUMIFS(StockInData[Quantity],StockInData[Product ID],ProductMaster!$B2230)-SUMIFS(StockOutData[Quantity],StockOutData[Product ID],ProductMaster!$B2230)</f>
        <v>0</v>
      </c>
      <c r="J2230" s="63">
        <f>SUMIFS(StockInData[Value],StockInData[Product ID],ProductMaster!$B2230)-SUMIFS(StockOutData[Value],StockOutData[Product ID],ProductMaster!$B2230)</f>
        <v>0</v>
      </c>
    </row>
    <row r="2231" spans="1:10" x14ac:dyDescent="0.25">
      <c r="A2231" s="60">
        <v>2230</v>
      </c>
      <c r="B2231" s="83" t="s">
        <v>4509</v>
      </c>
      <c r="C2231" s="85" t="s">
        <v>4510</v>
      </c>
      <c r="D2231" s="47"/>
      <c r="E2231" s="47"/>
      <c r="F2231" s="48"/>
      <c r="G2231" s="62" t="str">
        <f>IFERROR(INDEX(StockInData[Expiry],MATCH(ProductMaster[[#This Row],[Product ID]],StockInData[Product ID],0)),"")</f>
        <v/>
      </c>
      <c r="H2231" s="47"/>
      <c r="I2231" s="61">
        <f>SUMIFS(StockInData[Quantity],StockInData[Product ID],ProductMaster!$B2231)-SUMIFS(StockOutData[Quantity],StockOutData[Product ID],ProductMaster!$B2231)</f>
        <v>0</v>
      </c>
      <c r="J2231" s="63">
        <f>SUMIFS(StockInData[Value],StockInData[Product ID],ProductMaster!$B2231)-SUMIFS(StockOutData[Value],StockOutData[Product ID],ProductMaster!$B2231)</f>
        <v>0</v>
      </c>
    </row>
    <row r="2232" spans="1:10" hidden="1" x14ac:dyDescent="0.25">
      <c r="A2232" s="82">
        <v>2231</v>
      </c>
      <c r="B2232" s="83" t="s">
        <v>4511</v>
      </c>
      <c r="C2232" s="85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3" t="s">
        <v>4513</v>
      </c>
      <c r="C2233" s="85" t="s">
        <v>4514</v>
      </c>
      <c r="D2233" s="47"/>
      <c r="E2233" s="47"/>
      <c r="F2233" s="48"/>
      <c r="G2233" s="62" t="str">
        <f>IFERROR(INDEX(StockInData[Expiry],MATCH(ProductMaster[[#This Row],[Product ID]],StockInData[Product ID],0)),"")</f>
        <v/>
      </c>
      <c r="H2233" s="47"/>
      <c r="I2233" s="61">
        <f>SUMIFS(StockInData[Quantity],StockInData[Product ID],ProductMaster!$B2233)-SUMIFS(StockOutData[Quantity],StockOutData[Product ID],ProductMaster!$B2233)</f>
        <v>0</v>
      </c>
      <c r="J2233" s="63">
        <f>SUMIFS(StockInData[Value],StockInData[Product ID],ProductMaster!$B2233)-SUMIFS(StockOutData[Value],StockOutData[Product ID],ProductMaster!$B2233)</f>
        <v>0</v>
      </c>
    </row>
    <row r="2234" spans="1:10" x14ac:dyDescent="0.25">
      <c r="A2234" s="82">
        <v>2233</v>
      </c>
      <c r="B2234" s="83" t="s">
        <v>4515</v>
      </c>
      <c r="C2234" s="85" t="s">
        <v>4516</v>
      </c>
      <c r="D2234" s="47"/>
      <c r="E2234" s="47"/>
      <c r="F2234" s="48"/>
      <c r="G2234" s="62" t="str">
        <f>IFERROR(INDEX(StockInData[Expiry],MATCH(ProductMaster[[#This Row],[Product ID]],StockInData[Product ID],0)),"")</f>
        <v/>
      </c>
      <c r="H2234" s="47"/>
      <c r="I2234" s="61">
        <f>SUMIFS(StockInData[Quantity],StockInData[Product ID],ProductMaster!$B2234)-SUMIFS(StockOutData[Quantity],StockOutData[Product ID],ProductMaster!$B2234)</f>
        <v>0</v>
      </c>
      <c r="J2234" s="63">
        <f>SUMIFS(StockInData[Value],StockInData[Product ID],ProductMaster!$B2234)-SUMIFS(StockOutData[Value],StockOutData[Product ID],ProductMaster!$B2234)</f>
        <v>0</v>
      </c>
    </row>
    <row r="2235" spans="1:10" x14ac:dyDescent="0.25">
      <c r="A2235" s="60">
        <v>2234</v>
      </c>
      <c r="B2235" s="83" t="s">
        <v>4517</v>
      </c>
      <c r="C2235" s="85" t="s">
        <v>4518</v>
      </c>
      <c r="D2235" s="47"/>
      <c r="E2235" s="47"/>
      <c r="F2235" s="48"/>
      <c r="G2235" s="62" t="str">
        <f>IFERROR(INDEX(StockInData[Expiry],MATCH(ProductMaster[[#This Row],[Product ID]],StockInData[Product ID],0)),"")</f>
        <v/>
      </c>
      <c r="H2235" s="47"/>
      <c r="I2235" s="61">
        <f>SUMIFS(StockInData[Quantity],StockInData[Product ID],ProductMaster!$B2235)-SUMIFS(StockOutData[Quantity],StockOutData[Product ID],ProductMaster!$B2235)</f>
        <v>0</v>
      </c>
      <c r="J2235" s="63">
        <f>SUMIFS(StockInData[Value],StockInData[Product ID],ProductMaster!$B2235)-SUMIFS(StockOutData[Value],StockOutData[Product ID],ProductMaster!$B2235)</f>
        <v>0</v>
      </c>
    </row>
    <row r="2236" spans="1:10" hidden="1" x14ac:dyDescent="0.25">
      <c r="A2236" s="82">
        <v>2235</v>
      </c>
      <c r="B2236" s="83" t="s">
        <v>4519</v>
      </c>
      <c r="C2236" s="85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3" t="s">
        <v>4521</v>
      </c>
      <c r="C2237" s="85" t="s">
        <v>4522</v>
      </c>
      <c r="D2237" s="47"/>
      <c r="E2237" s="47"/>
      <c r="F2237" s="48"/>
      <c r="G2237" s="62" t="str">
        <f>IFERROR(INDEX(StockInData[Expiry],MATCH(ProductMaster[[#This Row],[Product ID]],StockInData[Product ID],0)),"")</f>
        <v/>
      </c>
      <c r="H2237" s="47"/>
      <c r="I2237" s="61">
        <f>SUMIFS(StockInData[Quantity],StockInData[Product ID],ProductMaster!$B2237)-SUMIFS(StockOutData[Quantity],StockOutData[Product ID],ProductMaster!$B2237)</f>
        <v>0</v>
      </c>
      <c r="J2237" s="63">
        <f>SUMIFS(StockInData[Value],StockInData[Product ID],ProductMaster!$B2237)-SUMIFS(StockOutData[Value],StockOutData[Product ID],ProductMaster!$B2237)</f>
        <v>0</v>
      </c>
    </row>
    <row r="2238" spans="1:10" hidden="1" x14ac:dyDescent="0.25">
      <c r="A2238" s="82">
        <v>2237</v>
      </c>
      <c r="B2238" s="83" t="s">
        <v>4523</v>
      </c>
      <c r="C2238" s="85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3" t="s">
        <v>4525</v>
      </c>
      <c r="C2239" s="85" t="s">
        <v>4526</v>
      </c>
      <c r="D2239" s="47"/>
      <c r="E2239" s="47"/>
      <c r="F2239" s="48"/>
      <c r="G2239" s="62" t="str">
        <f>IFERROR(INDEX(StockInData[Expiry],MATCH(ProductMaster[[#This Row],[Product ID]],StockInData[Product ID],0)),"")</f>
        <v/>
      </c>
      <c r="H2239" s="47"/>
      <c r="I2239" s="61">
        <f>SUMIFS(StockInData[Quantity],StockInData[Product ID],ProductMaster!$B2239)-SUMIFS(StockOutData[Quantity],StockOutData[Product ID],ProductMaster!$B2239)</f>
        <v>0</v>
      </c>
      <c r="J2239" s="63">
        <f>SUMIFS(StockInData[Value],StockInData[Product ID],ProductMaster!$B2239)-SUMIFS(StockOutData[Value],StockOutData[Product ID],ProductMaster!$B2239)</f>
        <v>0</v>
      </c>
    </row>
    <row r="2240" spans="1:10" hidden="1" x14ac:dyDescent="0.25">
      <c r="A2240" s="82">
        <v>2239</v>
      </c>
      <c r="B2240" s="83" t="s">
        <v>4527</v>
      </c>
      <c r="C2240" s="85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3" t="s">
        <v>4529</v>
      </c>
      <c r="C2241" s="85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2">
        <v>2241</v>
      </c>
      <c r="B2242" s="83" t="s">
        <v>4531</v>
      </c>
      <c r="C2242" s="85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hidden="1" x14ac:dyDescent="0.25">
      <c r="A2243" s="60">
        <v>2242</v>
      </c>
      <c r="B2243" s="83" t="s">
        <v>4533</v>
      </c>
      <c r="C2243" s="85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2">
        <v>2243</v>
      </c>
      <c r="B2244" s="83" t="s">
        <v>4535</v>
      </c>
      <c r="C2244" s="85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3" t="s">
        <v>4537</v>
      </c>
      <c r="C2245" s="85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2">
        <v>2245</v>
      </c>
      <c r="B2246" s="83" t="s">
        <v>4539</v>
      </c>
      <c r="C2246" s="85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3" t="s">
        <v>4541</v>
      </c>
      <c r="C2247" s="85" t="s">
        <v>4542</v>
      </c>
      <c r="D2247" s="47"/>
      <c r="E2247" s="47"/>
      <c r="F2247" s="48"/>
      <c r="G2247" s="62" t="str">
        <f>IFERROR(INDEX(StockInData[Expiry],MATCH(ProductMaster[[#This Row],[Product ID]],StockInData[Product ID],0)),"")</f>
        <v/>
      </c>
      <c r="H2247" s="47"/>
      <c r="I2247" s="61">
        <f>SUMIFS(StockInData[Quantity],StockInData[Product ID],ProductMaster!$B2247)-SUMIFS(StockOutData[Quantity],StockOutData[Product ID],ProductMaster!$B2247)</f>
        <v>0</v>
      </c>
      <c r="J2247" s="63">
        <f>SUMIFS(StockInData[Value],StockInData[Product ID],ProductMaster!$B2247)-SUMIFS(StockOutData[Value],StockOutData[Product ID],ProductMaster!$B2247)</f>
        <v>0</v>
      </c>
    </row>
    <row r="2248" spans="1:10" hidden="1" x14ac:dyDescent="0.25">
      <c r="A2248" s="82">
        <v>2247</v>
      </c>
      <c r="B2248" s="83" t="s">
        <v>4543</v>
      </c>
      <c r="C2248" s="85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3" t="s">
        <v>4545</v>
      </c>
      <c r="C2249" s="85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2">
        <v>2249</v>
      </c>
      <c r="B2250" s="83" t="s">
        <v>4547</v>
      </c>
      <c r="C2250" s="85" t="s">
        <v>4548</v>
      </c>
      <c r="D2250" s="47"/>
      <c r="E2250" s="47"/>
      <c r="F2250" s="48"/>
      <c r="G2250" s="62" t="str">
        <f>IFERROR(INDEX(StockInData[Expiry],MATCH(ProductMaster[[#This Row],[Product ID]],StockInData[Product ID],0)),"")</f>
        <v/>
      </c>
      <c r="H2250" s="47"/>
      <c r="I2250" s="61">
        <f>SUMIFS(StockInData[Quantity],StockInData[Product ID],ProductMaster!$B2250)-SUMIFS(StockOutData[Quantity],StockOutData[Product ID],ProductMaster!$B2250)</f>
        <v>0</v>
      </c>
      <c r="J2250" s="63">
        <f>SUMIFS(StockInData[Value],StockInData[Product ID],ProductMaster!$B2250)-SUMIFS(StockOutData[Value],StockOutData[Product ID],ProductMaster!$B2250)</f>
        <v>0</v>
      </c>
    </row>
    <row r="2251" spans="1:10" hidden="1" x14ac:dyDescent="0.25">
      <c r="A2251" s="60">
        <v>2250</v>
      </c>
      <c r="B2251" s="83" t="s">
        <v>4549</v>
      </c>
      <c r="C2251" s="85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2">
        <v>2251</v>
      </c>
      <c r="B2252" s="83" t="s">
        <v>4551</v>
      </c>
      <c r="C2252" s="85" t="s">
        <v>4552</v>
      </c>
      <c r="D2252" s="47"/>
      <c r="E2252" s="47"/>
      <c r="F2252" s="48"/>
      <c r="G2252" s="62" t="str">
        <f>IFERROR(INDEX(StockInData[Expiry],MATCH(ProductMaster[[#This Row],[Product ID]],StockInData[Product ID],0)),"")</f>
        <v/>
      </c>
      <c r="H2252" s="47"/>
      <c r="I2252" s="61">
        <f>SUMIFS(StockInData[Quantity],StockInData[Product ID],ProductMaster!$B2252)-SUMIFS(StockOutData[Quantity],StockOutData[Product ID],ProductMaster!$B2252)</f>
        <v>0</v>
      </c>
      <c r="J2252" s="63">
        <f>SUMIFS(StockInData[Value],StockInData[Product ID],ProductMaster!$B2252)-SUMIFS(StockOutData[Value],StockOutData[Product ID],ProductMaster!$B2252)</f>
        <v>0</v>
      </c>
    </row>
    <row r="2253" spans="1:10" hidden="1" x14ac:dyDescent="0.25">
      <c r="A2253" s="60">
        <v>2252</v>
      </c>
      <c r="B2253" s="83" t="s">
        <v>4553</v>
      </c>
      <c r="C2253" s="85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2">
        <v>2253</v>
      </c>
      <c r="B2254" s="83" t="s">
        <v>4555</v>
      </c>
      <c r="C2254" s="85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3" t="s">
        <v>4557</v>
      </c>
      <c r="C2255" s="85" t="s">
        <v>4558</v>
      </c>
      <c r="D2255" s="47"/>
      <c r="E2255" s="47"/>
      <c r="F2255" s="48"/>
      <c r="G2255" s="62" t="str">
        <f>IFERROR(INDEX(StockInData[Expiry],MATCH(ProductMaster[[#This Row],[Product ID]],StockInData[Product ID],0)),"")</f>
        <v/>
      </c>
      <c r="H2255" s="47"/>
      <c r="I2255" s="61">
        <f>SUMIFS(StockInData[Quantity],StockInData[Product ID],ProductMaster!$B2255)-SUMIFS(StockOutData[Quantity],StockOutData[Product ID],ProductMaster!$B2255)</f>
        <v>0</v>
      </c>
      <c r="J2255" s="63">
        <f>SUMIFS(StockInData[Value],StockInData[Product ID],ProductMaster!$B2255)-SUMIFS(StockOutData[Value],StockOutData[Product ID],ProductMaster!$B2255)</f>
        <v>0</v>
      </c>
    </row>
    <row r="2256" spans="1:10" hidden="1" x14ac:dyDescent="0.25">
      <c r="A2256" s="82">
        <v>2255</v>
      </c>
      <c r="B2256" s="83" t="s">
        <v>4559</v>
      </c>
      <c r="C2256" s="85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3" t="s">
        <v>4561</v>
      </c>
      <c r="C2257" s="85" t="s">
        <v>4562</v>
      </c>
      <c r="D2257" s="47"/>
      <c r="E2257" s="47"/>
      <c r="F2257" s="48"/>
      <c r="G2257" s="62" t="str">
        <f>IFERROR(INDEX(StockInData[Expiry],MATCH(ProductMaster[[#This Row],[Product ID]],StockInData[Product ID],0)),"")</f>
        <v/>
      </c>
      <c r="H2257" s="47"/>
      <c r="I2257" s="61">
        <f>SUMIFS(StockInData[Quantity],StockInData[Product ID],ProductMaster!$B2257)-SUMIFS(StockOutData[Quantity],StockOutData[Product ID],ProductMaster!$B2257)</f>
        <v>0</v>
      </c>
      <c r="J2257" s="63">
        <f>SUMIFS(StockInData[Value],StockInData[Product ID],ProductMaster!$B2257)-SUMIFS(StockOutData[Value],StockOutData[Product ID],ProductMaster!$B2257)</f>
        <v>0</v>
      </c>
    </row>
    <row r="2258" spans="1:10" x14ac:dyDescent="0.25">
      <c r="A2258" s="82">
        <v>2257</v>
      </c>
      <c r="B2258" s="83" t="s">
        <v>4563</v>
      </c>
      <c r="C2258" s="85" t="s">
        <v>4564</v>
      </c>
      <c r="D2258" s="47"/>
      <c r="E2258" s="47"/>
      <c r="F2258" s="48"/>
      <c r="G2258" s="62" t="str">
        <f>IFERROR(INDEX(StockInData[Expiry],MATCH(ProductMaster[[#This Row],[Product ID]],StockInData[Product ID],0)),"")</f>
        <v/>
      </c>
      <c r="H2258" s="47"/>
      <c r="I2258" s="61">
        <f>SUMIFS(StockInData[Quantity],StockInData[Product ID],ProductMaster!$B2258)-SUMIFS(StockOutData[Quantity],StockOutData[Product ID],ProductMaster!$B2258)</f>
        <v>0</v>
      </c>
      <c r="J2258" s="63">
        <f>SUMIFS(StockInData[Value],StockInData[Product ID],ProductMaster!$B2258)-SUMIFS(StockOutData[Value],StockOutData[Product ID],ProductMaster!$B2258)</f>
        <v>0</v>
      </c>
    </row>
    <row r="2259" spans="1:10" x14ac:dyDescent="0.25">
      <c r="A2259" s="60">
        <v>2258</v>
      </c>
      <c r="B2259" s="83" t="s">
        <v>4565</v>
      </c>
      <c r="C2259" s="85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0</v>
      </c>
      <c r="J2259" s="63">
        <f>SUMIFS(StockInData[Value],StockInData[Product ID],ProductMaster!$B2259)-SUMIFS(StockOutData[Value],StockOutData[Product ID],ProductMaster!$B2259)</f>
        <v>0</v>
      </c>
    </row>
    <row r="2260" spans="1:10" hidden="1" x14ac:dyDescent="0.25">
      <c r="A2260" s="82">
        <v>2259</v>
      </c>
      <c r="B2260" s="83" t="s">
        <v>4567</v>
      </c>
      <c r="C2260" s="85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3" t="s">
        <v>4569</v>
      </c>
      <c r="C2261" s="85" t="s">
        <v>4570</v>
      </c>
      <c r="D2261" s="47"/>
      <c r="E2261" s="47"/>
      <c r="F2261" s="48"/>
      <c r="G2261" s="62" t="str">
        <f>IFERROR(INDEX(StockInData[Expiry],MATCH(ProductMaster[[#This Row],[Product ID]],StockInData[Product ID],0)),"")</f>
        <v/>
      </c>
      <c r="H2261" s="47"/>
      <c r="I2261" s="61">
        <f>SUMIFS(StockInData[Quantity],StockInData[Product ID],ProductMaster!$B2261)-SUMIFS(StockOutData[Quantity],StockOutData[Product ID],ProductMaster!$B2261)</f>
        <v>0</v>
      </c>
      <c r="J2261" s="63">
        <f>SUMIFS(StockInData[Value],StockInData[Product ID],ProductMaster!$B2261)-SUMIFS(StockOutData[Value],StockOutData[Product ID],ProductMaster!$B2261)</f>
        <v>0</v>
      </c>
    </row>
    <row r="2262" spans="1:10" hidden="1" x14ac:dyDescent="0.25">
      <c r="A2262" s="82">
        <v>2261</v>
      </c>
      <c r="B2262" s="83" t="s">
        <v>4571</v>
      </c>
      <c r="C2262" s="85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3" t="s">
        <v>4573</v>
      </c>
      <c r="C2263" s="85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2">
        <v>2263</v>
      </c>
      <c r="B2264" s="83" t="s">
        <v>4575</v>
      </c>
      <c r="C2264" s="85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3" t="s">
        <v>4577</v>
      </c>
      <c r="C2265" s="85" t="s">
        <v>4578</v>
      </c>
      <c r="D2265" s="47"/>
      <c r="E2265" s="47"/>
      <c r="F2265" s="48"/>
      <c r="G2265" s="62" t="str">
        <f>IFERROR(INDEX(StockInData[Expiry],MATCH(ProductMaster[[#This Row],[Product ID]],StockInData[Product ID],0)),"")</f>
        <v/>
      </c>
      <c r="H2265" s="47"/>
      <c r="I2265" s="61">
        <f>SUMIFS(StockInData[Quantity],StockInData[Product ID],ProductMaster!$B2265)-SUMIFS(StockOutData[Quantity],StockOutData[Product ID],ProductMaster!$B2265)</f>
        <v>0</v>
      </c>
      <c r="J2265" s="63">
        <f>SUMIFS(StockInData[Value],StockInData[Product ID],ProductMaster!$B2265)-SUMIFS(StockOutData[Value],StockOutData[Product ID],ProductMaster!$B2265)</f>
        <v>0</v>
      </c>
    </row>
    <row r="2266" spans="1:10" x14ac:dyDescent="0.25">
      <c r="A2266" s="82">
        <v>2265</v>
      </c>
      <c r="B2266" s="83" t="s">
        <v>4579</v>
      </c>
      <c r="C2266" s="85" t="s">
        <v>4580</v>
      </c>
      <c r="D2266" s="47"/>
      <c r="E2266" s="47"/>
      <c r="F2266" s="48"/>
      <c r="G2266" s="62" t="str">
        <f>IFERROR(INDEX(StockInData[Expiry],MATCH(ProductMaster[[#This Row],[Product ID]],StockInData[Product ID],0)),"")</f>
        <v/>
      </c>
      <c r="H2266" s="47"/>
      <c r="I2266" s="61">
        <f>SUMIFS(StockInData[Quantity],StockInData[Product ID],ProductMaster!$B2266)-SUMIFS(StockOutData[Quantity],StockOutData[Product ID],ProductMaster!$B2266)</f>
        <v>0</v>
      </c>
      <c r="J2266" s="63">
        <f>SUMIFS(StockInData[Value],StockInData[Product ID],ProductMaster!$B2266)-SUMIFS(StockOutData[Value],StockOutData[Product ID],ProductMaster!$B2266)</f>
        <v>0</v>
      </c>
    </row>
    <row r="2267" spans="1:10" x14ac:dyDescent="0.25">
      <c r="A2267" s="60">
        <v>2266</v>
      </c>
      <c r="B2267" s="83" t="s">
        <v>4581</v>
      </c>
      <c r="C2267" s="85" t="s">
        <v>4582</v>
      </c>
      <c r="D2267" s="47"/>
      <c r="E2267" s="47"/>
      <c r="F2267" s="48"/>
      <c r="G2267" s="62" t="str">
        <f>IFERROR(INDEX(StockInData[Expiry],MATCH(ProductMaster[[#This Row],[Product ID]],StockInData[Product ID],0)),"")</f>
        <v/>
      </c>
      <c r="H2267" s="47"/>
      <c r="I2267" s="61">
        <f>SUMIFS(StockInData[Quantity],StockInData[Product ID],ProductMaster!$B2267)-SUMIFS(StockOutData[Quantity],StockOutData[Product ID],ProductMaster!$B2267)</f>
        <v>0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2">
        <v>2267</v>
      </c>
      <c r="B2268" s="83" t="s">
        <v>4583</v>
      </c>
      <c r="C2268" s="85" t="s">
        <v>4584</v>
      </c>
      <c r="D2268" s="47"/>
      <c r="E2268" s="47"/>
      <c r="F2268" s="48"/>
      <c r="G2268" s="62" t="str">
        <f>IFERROR(INDEX(StockInData[Expiry],MATCH(ProductMaster[[#This Row],[Product ID]],StockInData[Product ID],0)),"")</f>
        <v/>
      </c>
      <c r="H2268" s="47"/>
      <c r="I2268" s="61">
        <f>SUMIFS(StockInData[Quantity],StockInData[Product ID],ProductMaster!$B2268)-SUMIFS(StockOutData[Quantity],StockOutData[Product ID],ProductMaster!$B2268)</f>
        <v>0</v>
      </c>
      <c r="J2268" s="63">
        <f>SUMIFS(StockInData[Value],StockInData[Product ID],ProductMaster!$B2268)-SUMIFS(StockOutData[Value],StockOutData[Product ID],ProductMaster!$B2268)</f>
        <v>0</v>
      </c>
    </row>
    <row r="2269" spans="1:10" x14ac:dyDescent="0.25">
      <c r="A2269" s="60">
        <v>2268</v>
      </c>
      <c r="B2269" s="83" t="s">
        <v>4585</v>
      </c>
      <c r="C2269" s="85" t="s">
        <v>4586</v>
      </c>
      <c r="D2269" s="47"/>
      <c r="E2269" s="47"/>
      <c r="F2269" s="48"/>
      <c r="G2269" s="62" t="str">
        <f>IFERROR(INDEX(StockInData[Expiry],MATCH(ProductMaster[[#This Row],[Product ID]],StockInData[Product ID],0)),"")</f>
        <v/>
      </c>
      <c r="H2269" s="47"/>
      <c r="I2269" s="61">
        <f>SUMIFS(StockInData[Quantity],StockInData[Product ID],ProductMaster!$B2269)-SUMIFS(StockOutData[Quantity],StockOutData[Product ID],ProductMaster!$B2269)</f>
        <v>0</v>
      </c>
      <c r="J2269" s="63">
        <f>SUMIFS(StockInData[Value],StockInData[Product ID],ProductMaster!$B2269)-SUMIFS(StockOutData[Value],StockOutData[Product ID],ProductMaster!$B2269)</f>
        <v>0</v>
      </c>
    </row>
    <row r="2270" spans="1:10" x14ac:dyDescent="0.25">
      <c r="A2270" s="82">
        <v>2269</v>
      </c>
      <c r="B2270" s="83" t="s">
        <v>4587</v>
      </c>
      <c r="C2270" s="85" t="s">
        <v>4588</v>
      </c>
      <c r="D2270" s="47"/>
      <c r="E2270" s="47"/>
      <c r="F2270" s="48"/>
      <c r="G2270" s="62" t="str">
        <f>IFERROR(INDEX(StockInData[Expiry],MATCH(ProductMaster[[#This Row],[Product ID]],StockInData[Product ID],0)),"")</f>
        <v/>
      </c>
      <c r="H2270" s="47"/>
      <c r="I2270" s="61">
        <f>SUMIFS(StockInData[Quantity],StockInData[Product ID],ProductMaster!$B2270)-SUMIFS(StockOutData[Quantity],StockOutData[Product ID],ProductMaster!$B2270)</f>
        <v>0</v>
      </c>
      <c r="J2270" s="63">
        <f>SUMIFS(StockInData[Value],StockInData[Product ID],ProductMaster!$B2270)-SUMIFS(StockOutData[Value],StockOutData[Product ID],ProductMaster!$B2270)</f>
        <v>0</v>
      </c>
    </row>
    <row r="2271" spans="1:10" x14ac:dyDescent="0.25">
      <c r="A2271" s="60">
        <v>2270</v>
      </c>
      <c r="B2271" s="83" t="s">
        <v>4589</v>
      </c>
      <c r="C2271" s="85" t="s">
        <v>4590</v>
      </c>
      <c r="D2271" s="47"/>
      <c r="E2271" s="47"/>
      <c r="F2271" s="48"/>
      <c r="G2271" s="62" t="str">
        <f>IFERROR(INDEX(StockInData[Expiry],MATCH(ProductMaster[[#This Row],[Product ID]],StockInData[Product ID],0)),"")</f>
        <v/>
      </c>
      <c r="H2271" s="47"/>
      <c r="I2271" s="61">
        <f>SUMIFS(StockInData[Quantity],StockInData[Product ID],ProductMaster!$B2271)-SUMIFS(StockOutData[Quantity],StockOutData[Product ID],ProductMaster!$B2271)</f>
        <v>0</v>
      </c>
      <c r="J2271" s="63">
        <f>SUMIFS(StockInData[Value],StockInData[Product ID],ProductMaster!$B2271)-SUMIFS(StockOutData[Value],StockOutData[Product ID],ProductMaster!$B2271)</f>
        <v>0</v>
      </c>
    </row>
    <row r="2272" spans="1:10" hidden="1" x14ac:dyDescent="0.25">
      <c r="A2272" s="82">
        <v>2271</v>
      </c>
      <c r="B2272" s="83" t="s">
        <v>4591</v>
      </c>
      <c r="C2272" s="85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3" t="s">
        <v>4593</v>
      </c>
      <c r="C2273" s="85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2">
        <v>2273</v>
      </c>
      <c r="B2274" s="83" t="s">
        <v>4595</v>
      </c>
      <c r="C2274" s="85" t="s">
        <v>4596</v>
      </c>
      <c r="D2274" s="47"/>
      <c r="E2274" s="47"/>
      <c r="F2274" s="48"/>
      <c r="G2274" s="62" t="str">
        <f>IFERROR(INDEX(StockInData[Expiry],MATCH(ProductMaster[[#This Row],[Product ID]],StockInData[Product ID],0)),"")</f>
        <v/>
      </c>
      <c r="H2274" s="47"/>
      <c r="I2274" s="61">
        <f>SUMIFS(StockInData[Quantity],StockInData[Product ID],ProductMaster!$B2274)-SUMIFS(StockOutData[Quantity],StockOutData[Product ID],ProductMaster!$B2274)</f>
        <v>0</v>
      </c>
      <c r="J2274" s="63">
        <f>SUMIFS(StockInData[Value],StockInData[Product ID],ProductMaster!$B2274)-SUMIFS(StockOutData[Value],StockOutData[Product ID],ProductMaster!$B2274)</f>
        <v>0</v>
      </c>
    </row>
    <row r="2275" spans="1:10" hidden="1" x14ac:dyDescent="0.25">
      <c r="A2275" s="60">
        <v>2274</v>
      </c>
      <c r="B2275" s="83" t="s">
        <v>4597</v>
      </c>
      <c r="C2275" s="85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2020-01-16T13:06:45Z</cp:lastPrinted>
  <dcterms:created xsi:type="dcterms:W3CDTF">2016-08-05T04:56:17Z</dcterms:created>
  <dcterms:modified xsi:type="dcterms:W3CDTF">2020-02-22T22:05:22Z</dcterms:modified>
  <cp:contentStatus/>
</cp:coreProperties>
</file>