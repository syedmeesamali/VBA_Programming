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A9DF427A-AFB7-499F-986B-AF15275C038B}" xr6:coauthVersionLast="41" xr6:coauthVersionMax="45" xr10:uidLastSave="{00000000-0000-0000-0000-000000000000}"/>
  <bookViews>
    <workbookView xWindow="-120" yWindow="-120" windowWidth="20730" windowHeight="11160" tabRatio="711" firstSheet="5" activeTab="5" xr2:uid="{00000000-000D-0000-FFFF-FFFF00000000}"/>
  </bookViews>
  <sheets>
    <sheet name="Dashboard" sheetId="1" state="hidden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4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0" i="7"/>
  <c r="Q17" i="1" s="1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<sst xmlns="http://schemas.openxmlformats.org/spreadsheetml/2006/main" count="4483" uniqueCount="4323">
  <si>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</si>
  <si>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</si>
  <si>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</si>
  <si>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</si>
  <si>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</si>
  <si>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</si>
  <si>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</si>
  <si>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</si>
  <si>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</si>
  <si>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</si>
  <si>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</si>
  <si>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</si>
  <si>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</si>
  <si>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</si>
  <si>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</si>
  <si>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</si>
  <si>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</si>
  <si>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</si>
  <si>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</si>
  <si>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</si>
  <si>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</si>
  <si>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</si>
  <si>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</si>
  <si>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</si>
  <si>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</si>
  <si>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</si>
  <si>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</si>
  <si>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</si>
  <si>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</si>
  <si>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</si>
  <si>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</si>
  <si>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</si>
  <si>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</si>
  <si>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</si>
  <si>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</si>
  <si>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</si>
  <si>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</si>
  <si>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</si>
  <si>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</si>
  <si>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</si>
  <si>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</si>
  <si>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</si>
  <si>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</si>
  <si>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</si>
  <si>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</si>
  <si>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</si>
  <si>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</si>
  <si>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</si>
  <si>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</si>
  <si>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</si>
  <si>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</si>
  <si>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</si>
  <si>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</si>
  <si>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</si>
  <si>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</si>
  <si>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</si>
  <si>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</si>
  <si>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</si>
  <si>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</si>
  <si>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</si>
  <si>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</si>
  <si>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</si>
  <si>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</si>
  <si>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</si>
  <si>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</si>
  <si>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</si>
  <si>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</si>
  <si>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</si>
  <si>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</si>
  <si>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</si>
  <si>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</si>
  <si>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</si>
  <si>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</si>
  <si>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</si>
  <si>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</si>
  <si>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</si>
  <si>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</si>
  <si>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</si>
  <si>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</si>
  <si>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</si>
  <si>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</si>
  <si>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</si>
  <si>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</si>
  <si>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</si>
  <si>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</si>
  <si>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</si>
  <si>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</si>
  <si>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</si>
  <si>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</si>
  <si>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</si>
  <si>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</si>
  <si>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</si>
  <si>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</si>
  <si>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</si>
  <si>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</si>
  <si>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</si>
  <si>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</si>
  <si>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</si>
  <si>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</si>
  <si>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</si>
  <si>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</si>
  <si>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</si>
  <si>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</si>
  <si>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</si>
  <si>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</si>
  <si>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</si>
  <si>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</si>
  <si>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</si>
  <si>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</si>
  <si>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</si>
  <si>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</si>
  <si>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</si>
  <si>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</si>
  <si>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</si>
  <si>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</si>
  <si>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</si>
  <si>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</si>
  <si>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</si>
  <si>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</si>
  <si>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</si>
  <si>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</si>
  <si>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</si>
  <si>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</si>
  <si>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</si>
  <si>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</si>
  <si>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</si>
  <si>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</si>
  <si>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</si>
  <si>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</si>
  <si>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</si>
  <si>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</si>
  <si>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</si>
  <si>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</si>
  <si>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</si>
  <si>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</si>
  <si>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</si>
  <si>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</si>
  <si>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</si>
  <si>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</si>
  <si>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</si>
  <si>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</si>
  <si>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</si>
  <si>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</si>
  <si>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</si>
  <si>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</si>
  <si>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</si>
  <si>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</si>
  <si>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</si>
  <si>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</si>
  <si>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</si>
  <si>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</si>
  <si>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</si>
  <si>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</si>
  <si>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</si>
  <si>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</si>
  <si>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</si>
  <si>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</si>
  <si>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</si>
  <si>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</si>
  <si>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</si>
  <si>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</si>
  <si>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</si>
  <si>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</si>
  <si>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</si>
  <si>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</si>
  <si>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</si>
  <si>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</si>
  <si>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</si>
  <si>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</si>
  <si>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</si>
  <si>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</si>
  <si>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</si>
  <si>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</si>
  <si>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</si>
  <si>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</si>
  <si>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</si>
  <si>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</si>
  <si>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</si>
  <si>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</si>
  <si>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</si>
  <si>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</si>
  <si>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</si>
  <si>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</si>
  <si>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</si>
  <si>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</si>
  <si>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</si>
  <si>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</si>
  <si>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</si>
  <si>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</si>
  <si>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</si>
  <si>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</si>
  <si>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</si>
  <si>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</si>
  <si>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</si>
  <si>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</si>
  <si>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</si>
  <si>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</si>
  <si>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</si>
  <si>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</si>
  <si>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</si>
  <si>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</si>
  <si>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</si>
  <si>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</si>
  <si>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</si>
  <si>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</si>
  <si>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</si>
  <si>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</si>
  <si>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</si>
  <si>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</si>
  <si>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</si>
  <si>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</si>
  <si>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</si>
  <si>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</si>
  <si>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</si>
  <si>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</si>
  <si>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</si>
  <si>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</si>
  <si>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</si>
  <si>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</si>
  <si>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</si>
  <si>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</si>
  <si>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</si>
  <si>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</si>
  <si>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</si>
  <si>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</si>
  <si>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</si>
  <si>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</si>
  <si>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</si>
  <si>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</si>
  <si>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</si>
  <si>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</si>
  <si>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</si>
  <si>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</si>
  <si>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</si>
  <si>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</si>
  <si>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</si>
  <si>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</si>
  <si>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</si>
  <si>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</si>
  <si>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</si>
  <si>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</si>
  <si>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</si>
  <si>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</si>
  <si>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</si>
  <si>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</si>
  <si>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</si>
  <si>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</si>
  <si>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</si>
  <si>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</si>
  <si>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</si>
  <si>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</si>
  <si>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</si>
  <si>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</si>
  <si>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</si>
  <si>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</si>
  <si>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</si>
  <si>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</si>
  <si>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</si>
  <si>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</si>
  <si>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</si>
  <si>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</si>
  <si>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</si>
  <si>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</si>
  <si>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</si>
  <si>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</si>
  <si>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</si>
  <si>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</si>
  <si>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</si>
  <si>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</si>
  <si>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</si>
  <si>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</si>
  <si>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</si>
  <si>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</si>
  <si>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</si>
  <si>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</si>
  <si>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</si>
  <si>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</si>
  <si>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</si>
  <si>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</si>
  <si>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</si>
  <si>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</si>
  <si>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</si>
  <si>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</si>
  <si>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</si>
  <si>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</si>
  <si>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</si>
  <si>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</si>
  <si>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</si>
  <si>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</si>
  <si>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</si>
  <si>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</si>
  <si>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</si>
  <si>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</si>
  <si>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</si>
  <si>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</si>
  <si>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</si>
  <si>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</si>
  <si>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</si>
  <si>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</si>
  <si>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</si>
  <si>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</si>
  <si>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</si>
  <si>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</si>
  <si>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</si>
  <si>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</si>
  <si>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</si>
  <si>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</si>
  <si>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</si>
  <si>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</si>
  <si>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</si>
  <si>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</si>
  <si>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</si>
  <si>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</si>
  <si>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</si>
  <si>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</si>
  <si>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</si>
  <si>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</si>
  <si>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</si>
  <si>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</si>
  <si>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</si>
  <si>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</si>
  <si>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</si>
  <si>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</si>
  <si>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</si>
  <si>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</si>
  <si>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</si>
  <si>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</si>
  <si>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</si>
  <si>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</si>
  <si>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</si>
  <si>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</si>
  <si>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</si>
  <si>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</si>
  <si>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</si>
  <si>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</si>
  <si>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</si>
  <si>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</si>
  <si>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</si>
  <si>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</si>
  <si>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</si>
  <si>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</si>
  <si>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</si>
  <si>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</si>
  <si>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</si>
  <si>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</si>
  <si>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</si>
  <si>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</si>
  <si>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</si>
  <si>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</si>
  <si>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</si>
  <si>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</si>
  <si>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</si>
  <si>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</si>
  <si>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</si>
  <si>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</si>
  <si>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</si>
  <si>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</si>
  <si>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</si>
  <si>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</si>
  <si>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</si>
  <si>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</si>
  <si>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</si>
  <si>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</si>
  <si>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</si>
  <si>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</si>
  <si>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</si>
  <si>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</si>
  <si>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</si>
  <si>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</si>
  <si>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</si>
  <si>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</si>
  <si>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</si>
  <si>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</si>
  <si>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</si>
  <si>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</si>
  <si>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</si>
  <si>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</si>
  <si>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</si>
  <si>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</si>
  <si>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</si>
  <si>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</si>
  <si>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</si>
  <si>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</si>
  <si>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</si>
  <si>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</si>
  <si>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</si>
  <si>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</si>
  <si>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</si>
  <si>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</si>
  <si>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</si>
  <si>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</si>
  <si>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</si>
  <si>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</si>
  <si>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</si>
  <si>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</si>
  <si>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</si>
  <si>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</si>
  <si>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</si>
  <si>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</si>
  <si>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</si>
  <si>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</si>
  <si>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</si>
  <si>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</si>
  <si>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</si>
  <si>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</si>
  <si>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</si>
  <si>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</si>
  <si>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</si>
  <si>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</si>
  <si>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</si>
  <si>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</si>
  <si>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</si>
  <si>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</si>
  <si>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</si>
  <si>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</si>
  <si>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</si>
  <si>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</si>
  <si>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</si>
  <si>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</si>
  <si>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</si>
  <si>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</si>
  <si>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</si>
  <si>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</si>
  <si>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</si>
  <si>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</si>
  <si>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</si>
  <si>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</si>
  <si>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</si>
  <si>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</si>
  <si>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</si>
  <si>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</si>
  <si>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</si>
  <si>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</si>
  <si>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</si>
  <si>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</si>
  <si>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</si>
  <si>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</si>
  <si>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</si>
  <si>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</si>
  <si>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</si>
  <si>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</si>
  <si>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</si>
  <si>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</si>
  <si>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</si>
  <si>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</si>
  <si>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</si>
  <si>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</si>
  <si>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</si>
  <si>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</si>
  <si>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</si>
  <si>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</si>
  <si>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</si>
  <si>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</si>
  <si>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</si>
  <si>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</si>
  <si>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</si>
  <si>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</si>
  <si>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</si>
  <si>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</si>
  <si>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</si>
  <si>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</si>
  <si>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</si>
  <si>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</si>
  <si>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</si>
  <si>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</si>
  <si>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</si>
  <si>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</si>
  <si>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</si>
  <si>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</si>
  <si>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</si>
  <si>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</si>
  <si>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</si>
  <si>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</si>
  <si>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</si>
  <si>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</si>
  <si>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</si>
  <si>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</si>
  <si>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</si>
  <si>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</si>
  <si>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</si>
  <si>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</si>
  <si>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</si>
  <si>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</si>
  <si>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</si>
  <si>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</si>
  <si>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</si>
  <si>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</si>
  <si>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</si>
  <si>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</si>
  <si>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</si>
  <si>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</si>
  <si>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</si>
  <si>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</si>
  <si>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</si>
  <si>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</si>
  <si>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</si>
  <si>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</si>
  <si>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</si>
  <si>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</si>
  <si>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</si>
  <si>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</si>
  <si>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</si>
  <si>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</si>
  <si>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</si>
  <si>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</si>
  <si>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</si>
  <si>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</si>
  <si>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</si>
  <si>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</si>
  <si>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</si>
  <si>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</si>
  <si>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</si>
  <si>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</si>
  <si>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</si>
  <si>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</si>
  <si>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</si>
  <si>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</si>
  <si>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</si>
  <si>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</si>
  <si>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</si>
  <si>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</si>
  <si>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</si>
  <si>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</si>
  <si>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</si>
  <si>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</si>
  <si>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</si>
  <si>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</si>
  <si>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</si>
  <si>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</si>
  <si>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</si>
  <si>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</si>
  <si>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</si>
  <si>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</si>
  <si>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</si>
  <si>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</si>
  <si>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</si>
  <si>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</si>
  <si>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</si>
  <si>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</si>
  <si>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</si>
  <si>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</si>
  <si>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</si>
  <si>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</si>
  <si>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</si>
  <si>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</si>
  <si>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</si>
  <si>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</si>
  <si>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</si>
  <si>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</si>
  <si>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</si>
  <si>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</si>
  <si>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</si>
  <si>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</si>
  <si>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</si>
  <si>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</si>
  <si>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</si>
  <si>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</si>
  <si>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</si>
  <si>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</si>
  <si>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</si>
  <si>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</si>
  <si>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</si>
  <si>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</si>
  <si>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</si>
  <si>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</si>
  <si>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</si>
  <si>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</si>
  <si>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</si>
  <si>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</si>
  <si>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</si>
  <si>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</si>
  <si>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</si>
  <si>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</si>
  <si>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</si>
  <si>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</si>
  <si>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</si>
  <si>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</si>
  <si>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</si>
  <si>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</si>
  <si>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</si>
  <si>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</si>
  <si>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</si>
  <si>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</si>
  <si>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</si>
  <si>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</si>
  <si>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</si>
  <si>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</si>
  <si>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</si>
  <si>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</si>
  <si>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</si>
  <si>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</si>
  <si>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</si>
  <si>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</si>
  <si>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</si>
  <si>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</si>
  <si>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</si>
  <si>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</si>
  <si>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</si>
  <si>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</si>
  <si>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</si>
  <si>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</si>
  <si>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</si>
  <si>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</si>
  <si>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</si>
  <si>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</si>
  <si>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</si>
  <si>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</si>
  <si>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</si>
  <si>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</si>
  <si>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</si>
  <si>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</si>
  <si>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</si>
  <si>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</si>
  <si>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</si>
  <si>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</si>
  <si>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</si>
  <si>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</si>
  <si>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</si>
  <si>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</si>
  <si>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</si>
  <si>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</si>
  <si>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</si>
  <si>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</si>
  <si>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</si>
  <si>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</si>
  <si>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</si>
  <si>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</si>
  <si>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</si>
  <si>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</si>
  <si>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</si>
  <si>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</si>
  <si>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</si>
  <si>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</si>
  <si>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</si>
  <si>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</si>
  <si>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</si>
  <si>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</si>
  <si>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</si>
  <si>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</si>
  <si>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</si>
  <si>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</si>
  <si>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</si>
  <si>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</si>
  <si>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</si>
  <si>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</si>
  <si>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</si>
  <si>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</si>
  <si>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</si>
  <si>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</si>
  <si>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</si>
  <si>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</si>
  <si>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</si>
  <si>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</si>
  <si>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</si>
  <si>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</si>
  <si>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</si>
  <si>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</si>
  <si>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</si>
  <si>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</si>
  <si>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</si>
  <si>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</si>
  <si>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</si>
  <si>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</si>
  <si>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</si>
  <si>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</si>
  <si>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</si>
  <si>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</si>
  <si>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</si>
  <si>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</si>
  <si>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</si>
  <si>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</si>
  <si>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</si>
  <si>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</si>
  <si>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</si>
  <si>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</si>
  <si>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</si>
  <si>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</si>
  <si>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</si>
  <si>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</si>
  <si>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</si>
  <si>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</si>
  <si>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</si>
  <si>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</si>
  <si>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</si>
  <si>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</si>
  <si>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</si>
  <si>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</si>
  <si>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</si>
  <si>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</si>
  <si>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</si>
  <si>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</si>
  <si>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</si>
  <si>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</si>
  <si>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</si>
  <si>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</si>
  <si>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</si>
  <si>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</si>
  <si>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</si>
  <si>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</si>
  <si>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</si>
  <si>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</si>
  <si>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</si>
  <si>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</si>
  <si>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</si>
  <si>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</si>
  <si>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</si>
  <si>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</si>
  <si>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</si>
  <si>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</si>
  <si>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</si>
  <si>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</si>
  <si>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</si>
  <si>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</si>
  <si>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</si>
  <si>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</si>
  <si>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</si>
  <si>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</si>
  <si>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</si>
  <si>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</si>
  <si>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</si>
  <si>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</si>
  <si>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</si>
  <si>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</si>
  <si>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</si>
  <si>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</si>
  <si>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</si>
  <si>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</si>
  <si>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</si>
  <si>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</si>
  <si>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</si>
  <si>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</si>
  <si>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</si>
  <si>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</si>
  <si>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</si>
  <si>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</si>
  <si>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</si>
  <si>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</si>
  <si>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</si>
  <si>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</si>
  <si>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</si>
  <si>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</si>
  <si>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</si>
  <si>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</si>
  <si>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</si>
  <si>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</si>
  <si>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</si>
  <si>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</si>
  <si>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</si>
  <si>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</si>
  <si>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</si>
  <si>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</si>
  <si>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</si>
  <si>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</si>
  <si>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</si>
  <si>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</si>
  <si>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</si>
  <si>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</si>
  <si>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</si>
  <si>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</si>
  <si>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</si>
  <si>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</si>
  <si>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</si>
  <si>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</si>
  <si>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</si>
  <si>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</si>
  <si>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</si>
  <si>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</si>
  <si>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</si>
  <si>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</si>
  <si>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</si>
  <si>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</si>
  <si>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</si>
  <si>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</si>
  <si>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</si>
  <si>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</si>
  <si>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</si>
  <si>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</si>
  <si>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</si>
  <si>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</si>
  <si>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</si>
  <si>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</si>
  <si>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</si>
  <si>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</si>
  <si>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</si>
  <si>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</si>
  <si>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</si>
  <si>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</si>
  <si>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</si>
  <si>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</si>
  <si>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</si>
  <si>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</si>
  <si>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</si>
  <si>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</si>
  <si>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</si>
  <si>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</si>
  <si>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</si>
  <si>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</si>
  <si>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</si>
  <si>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</si>
  <si>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</si>
  <si>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</si>
  <si>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</si>
  <si>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</si>
  <si>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</si>
  <si>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</si>
  <si>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</si>
  <si>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</si>
  <si>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</si>
  <si>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</si>
  <si>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</si>
  <si>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</si>
  <si>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</si>
  <si>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</si>
  <si>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</si>
  <si>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</si>
  <si>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</si>
  <si>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</si>
  <si>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</si>
  <si>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</si>
  <si>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</si>
  <si>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</si>
  <si>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</si>
  <si>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</si>
  <si>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</si>
  <si>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</si>
  <si>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</si>
  <si>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</si>
  <si>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</si>
  <si>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</si>
  <si>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</si>
  <si>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</si>
  <si>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</si>
  <si>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</si>
  <si>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</si>
  <si>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</si>
  <si>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</si>
  <si>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</si>
  <si>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</si>
  <si>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</si>
  <si>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</si>
  <si>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</si>
  <si>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</si>
  <si>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</si>
  <si>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</si>
  <si>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</si>
  <si>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</si>
  <si>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</si>
  <si>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</si>
  <si>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</si>
  <si>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</si>
  <si>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</si>
  <si>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</si>
  <si>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</si>
  <si>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</si>
  <si>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</si>
  <si>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</si>
  <si>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</si>
  <si>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</si>
  <si>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</si>
  <si>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</si>
  <si>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</si>
  <si>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</si>
  <si>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</si>
  <si>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</si>
  <si>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</si>
  <si>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</si>
  <si>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</si>
  <si>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</si>
  <si>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</si>
  <si>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</si>
  <si>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</si>
  <si>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</si>
  <si>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</si>
  <si>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</si>
  <si>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</si>
  <si>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</si>
  <si>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</si>
  <si>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</si>
  <si>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</si>
  <si>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</si>
  <si>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</si>
  <si>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</si>
  <si>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</si>
  <si>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</si>
  <si>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</si>
  <si>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</si>
  <si>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</si>
  <si>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</si>
  <si>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</si>
  <si>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</si>
  <si>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</si>
  <si>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</si>
  <si>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</si>
  <si>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</si>
  <si>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</si>
  <si>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</si>
  <si>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</si>
  <si>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</si>
  <si>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</si>
  <si>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</si>
  <si>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</si>
  <si>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</si>
  <si>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</si>
  <si>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</si>
  <si>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</si>
  <si>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</si>
  <si>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</si>
  <si>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</si>
  <si>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</si>
  <si>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</si>
  <si>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</si>
  <si>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</si>
  <si>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</si>
  <si>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</si>
  <si>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</si>
  <si>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</si>
  <si>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</si>
  <si>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</si>
  <si>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</si>
  <si>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</si>
  <si>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</si>
  <si>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</si>
  <si>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</si>
  <si>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</si>
  <si>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</si>
  <si>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</si>
  <si>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</si>
  <si>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</si>
  <si>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</si>
  <si>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</si>
  <si>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</si>
  <si>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</si>
  <si>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</si>
  <si>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</si>
  <si>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</si>
  <si>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</si>
  <si>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</si>
  <si>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</si>
  <si>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</si>
  <si>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</si>
  <si>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</si>
  <si>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</si>
  <si>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</si>
  <si>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</si>
  <si>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</si>
  <si>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</si>
  <si>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</si>
  <si>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</si>
  <si>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</si>
  <si>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</si>
  <si>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</si>
  <si>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</si>
  <si>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</si>
  <si>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</si>
  <si>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</si>
  <si>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</si>
  <si>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</si>
  <si>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</si>
  <si>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</si>
  <si>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</si>
  <si>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</si>
  <si>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</si>
  <si>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</si>
  <si>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</si>
  <si>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</si>
  <si>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</si>
  <si>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</si>
  <si>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</si>
  <si>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</si>
  <si>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</si>
  <si>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</si>
  <si>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</si>
  <si>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</si>
  <si>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</si>
  <si>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</si>
  <si>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</si>
  <si>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</si>
  <si>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</si>
  <si>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</si>
  <si>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</si>
  <si>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</si>
  <si>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</si>
  <si>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</si>
  <si>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</si>
  <si>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</si>
  <si>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</si>
  <si>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</si>
  <si>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</si>
  <si>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</si>
  <si>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</si>
  <si>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</si>
  <si>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</si>
  <si>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</si>
  <si>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</si>
  <si>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</si>
  <si>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</si>
  <si>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</si>
  <si>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</si>
  <si>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</si>
  <si>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</si>
  <si>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</si>
  <si>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</si>
  <si>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</si>
  <si>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</si>
  <si>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</si>
  <si>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</si>
  <si>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</si>
  <si>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</si>
  <si>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</si>
  <si>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</si>
  <si>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</si>
  <si>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</si>
  <si>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</si>
  <si>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</si>
  <si>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</si>
  <si>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</si>
  <si>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</si>
  <si>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</si>
  <si>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</si>
  <si>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</si>
  <si>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</si>
  <si>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</si>
  <si>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</si>
  <si>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</si>
  <si>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</si>
  <si>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</si>
  <si>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</si>
  <si>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</si>
  <si>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</si>
  <si>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</si>
  <si>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</si>
  <si>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</si>
  <si>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</si>
  <si>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</si>
  <si>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</si>
  <si>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</si>
  <si>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</si>
  <si>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</si>
  <si>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</si>
  <si>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</si>
  <si>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</si>
  <si>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</si>
  <si>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</si>
  <si>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</si>
  <si>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</si>
  <si>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</si>
  <si>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</si>
  <si>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</si>
  <si>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</si>
  <si>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</si>
  <si>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</si>
  <si>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</si>
  <si>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</si>
  <si>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</si>
  <si>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</si>
  <si>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</si>
  <si>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</si>
  <si>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</si>
  <si>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</si>
  <si>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</si>
  <si>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</si>
  <si>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</si>
  <si>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</si>
  <si>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</si>
  <si>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</si>
  <si>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</si>
  <si>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</si>
  <si>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</si>
  <si>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</si>
  <si>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</si>
  <si>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</si>
  <si>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</si>
  <si>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</si>
  <si>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</si>
  <si>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</si>
  <si>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</si>
  <si>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</si>
  <si>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</si>
  <si>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</si>
  <si>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</si>
  <si>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</si>
  <si>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</si>
  <si>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</si>
  <si>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</si>
  <si>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</si>
  <si>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</si>
  <si>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</si>
  <si>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</si>
  <si>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</si>
  <si>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</si>
  <si>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</si>
  <si>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</si>
  <si>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</si>
  <si>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</si>
  <si>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</si>
  <si>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</si>
  <si>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</si>
  <si>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</si>
  <si>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</si>
  <si>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</si>
  <si>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</si>
  <si>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</si>
  <si>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</si>
  <si>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</si>
  <si>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</si>
  <si>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</si>
  <si>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</si>
  <si>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</si>
  <si>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</si>
  <si>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</si>
  <si>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</si>
  <si>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</si>
  <si>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</si>
  <si>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</si>
  <si>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</si>
  <si>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</si>
  <si>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</si>
  <si>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</si>
  <si>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</si>
  <si>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</si>
  <si>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</si>
  <si>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</si>
  <si>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</si>
  <si>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</si>
  <si>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</si>
  <si>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</si>
  <si>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</si>
  <si>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</si>
  <si>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</si>
  <si>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</si>
  <si>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</si>
  <si>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</si>
  <si>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</si>
  <si>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</si>
  <si>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</si>
  <si>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</si>
  <si>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</si>
  <si>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</si>
  <si>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</si>
  <si>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</si>
  <si>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</si>
  <si>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</si>
  <si>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</si>
  <si>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</si>
  <si>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</si>
  <si>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</si>
  <si>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</si>
  <si>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</si>
  <si>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</si>
  <si>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</si>
  <si>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</si>
  <si>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</si>
  <si>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</si>
  <si>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</si>
  <si>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</si>
  <si>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</si>
  <si>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</si>
  <si>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</si>
  <si>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</si>
  <si>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</si>
  <si>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</si>
  <si>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</si>
  <si>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</si>
  <si>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</si>
  <si>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</si>
  <si>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</si>
  <si>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</si>
  <si>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</si>
  <si>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</si>
  <si>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</si>
  <si>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</si>
  <si>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</si>
  <si>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</si>
  <si>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</si>
  <si>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</si>
  <si>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</si>
  <si>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</si>
  <si>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</si>
  <si>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</si>
  <si>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</si>
  <si>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</si>
  <si>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</si>
  <si>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</si>
  <si>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</si>
  <si>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</si>
  <si>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</si>
  <si>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</si>
  <si>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</si>
  <si>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</si>
  <si>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</si>
  <si>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</si>
  <si>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</si>
  <si>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</si>
  <si>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</si>
  <si>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</si>
  <si>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</si>
  <si>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</si>
  <si>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</si>
  <si>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</si>
  <si>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</si>
  <si>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</si>
  <si>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</si>
  <si>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</si>
  <si>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</si>
  <si>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</si>
  <si>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</si>
  <si>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</si>
  <si>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</si>
  <si>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</si>
  <si>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</si>
  <si>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</si>
  <si>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</si>
  <si>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</si>
  <si>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</si>
  <si>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</si>
  <si>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</si>
  <si>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</si>
  <si>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</si>
  <si>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</si>
  <si>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</si>
  <si>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</si>
  <si>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</si>
  <si>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</si>
  <si>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</si>
  <si>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</si>
  <si>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</si>
  <si>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</si>
  <si>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</si>
  <si>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</si>
  <si>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</si>
  <si>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</si>
  <si>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</si>
  <si>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</si>
  <si>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</si>
  <si>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</si>
  <si>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</si>
  <si>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</si>
  <si>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</si>
  <si>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</si>
  <si>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</si>
  <si>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</si>
  <si>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</si>
  <si>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</si>
  <si>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</si>
  <si>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</si>
  <si>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</si>
  <si>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</si>
  <si>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</si>
  <si>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</si>
  <si>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</si>
  <si>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</si>
  <si>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</si>
  <si>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</si>
  <si>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</si>
  <si>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</si>
  <si>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</si>
  <si>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</si>
  <si>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</si>
  <si>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</si>
  <si>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</si>
  <si>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</si>
  <si>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</si>
  <si>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</si>
  <si>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</si>
  <si>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</si>
  <si>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</si>
  <si>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</si>
  <si>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</si>
  <si>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</si>
  <si>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</si>
  <si>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</si>
  <si>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</si>
  <si>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</si>
  <si>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</si>
  <si>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</si>
  <si>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</si>
  <si>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</si>
  <si>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</si>
  <si>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</si>
  <si>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</si>
  <si>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</si>
  <si>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</si>
  <si>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</si>
  <si>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</si>
  <si>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</si>
  <si>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</si>
  <si>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</si>
  <si>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</si>
  <si>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</si>
  <si>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</si>
  <si>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</si>
  <si>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</si>
  <si>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</si>
  <si>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</si>
  <si>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</si>
  <si>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</si>
  <si>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</si>
  <si>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</si>
  <si>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</si>
  <si>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</si>
  <si>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</si>
  <si>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</si>
  <si>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</si>
  <si>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</si>
  <si>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</si>
  <si>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</si>
  <si>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</si>
  <si>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</si>
  <si>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</si>
  <si>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</si>
  <si>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</si>
  <si>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</si>
  <si>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</si>
  <si>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</si>
  <si>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</si>
  <si>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</si>
  <si>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</si>
  <si>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</si>
  <si>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</si>
  <si>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</si>
  <si>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</si>
  <si>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</si>
  <si>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</si>
  <si>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</si>
  <si>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</si>
  <si>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</si>
  <si>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</si>
  <si>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</si>
  <si>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</si>
  <si>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</si>
  <si>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</si>
  <si>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</si>
  <si>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</si>
  <si>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</si>
  <si>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</si>
  <si>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</si>
  <si>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</si>
  <si>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</si>
  <si>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</si>
  <si>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</si>
  <si>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</si>
  <si>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</si>
  <si>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</si>
  <si>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</si>
  <si>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</si>
  <si>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</si>
  <si>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</si>
  <si>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</si>
  <si>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</si>
  <si>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</si>
  <si>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</si>
  <si>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</si>
  <si>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</si>
  <si>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</si>
  <si>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</si>
  <si>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</si>
  <si>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</si>
  <si>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</si>
  <si>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</si>
  <si>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</si>
  <si>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</si>
  <si>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</si>
  <si>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</si>
  <si>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</si>
  <si>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</si>
  <si>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</si>
  <si>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</si>
  <si>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</si>
  <si>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</si>
  <si>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</si>
  <si>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</si>
  <si>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</si>
  <si>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</si>
  <si>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</si>
  <si>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</si>
  <si>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</si>
  <si>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</si>
  <si>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</si>
  <si>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</si>
  <si>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</si>
  <si>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</si>
  <si>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</si>
  <si>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</si>
  <si>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</si>
  <si>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</si>
  <si>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</si>
  <si>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</si>
  <si>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</si>
  <si>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</si>
  <si>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</si>
  <si>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</si>
  <si>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</si>
  <si>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</si>
  <si>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</si>
  <si>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</si>
  <si>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</si>
  <si>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</si>
  <si>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</si>
  <si>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</si>
  <si>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</si>
  <si>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</si>
  <si>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</si>
  <si>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</si>
  <si>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</si>
  <si>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</si>
  <si>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</si>
  <si>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</si>
  <si>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</si>
  <si>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</si>
  <si>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</si>
  <si>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</si>
  <si>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</si>
  <si>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</si>
  <si>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</si>
  <si>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</si>
  <si>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</si>
  <si>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</si>
  <si>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</si>
  <si>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</si>
  <si>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</si>
  <si>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</si>
  <si>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</si>
  <si>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</si>
  <si>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</si>
  <si>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</si>
  <si>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</si>
  <si>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</si>
  <si>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</si>
  <si>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</si>
  <si>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</si>
  <si>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</si>
  <si>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</si>
  <si>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</si>
  <si>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</si>
  <si>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</si>
  <si>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</si>
  <si>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</si>
  <si>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</si>
  <si>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</si>
  <si>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</si>
  <si>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</si>
  <si>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</si>
  <si>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</si>
  <si>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</si>
  <si>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</si>
  <si>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</si>
  <si>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</si>
  <si>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</si>
  <si>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</si>
  <si>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</si>
  <si>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</si>
  <si>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</si>
  <si>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</si>
  <si>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</si>
  <si>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</si>
  <si>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</si>
  <si>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</si>
  <si>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</si>
  <si>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</si>
  <si>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</si>
  <si>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</si>
  <si>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</si>
  <si>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</si>
  <si>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</si>
  <si>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</si>
  <si>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</si>
  <si>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</si>
  <si>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</si>
  <si>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</si>
  <si>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</si>
  <si>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</si>
  <si>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</si>
  <si>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</si>
  <si>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</si>
  <si>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</si>
  <si>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</si>
  <si>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</si>
  <si>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</si>
  <si>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</si>
  <si>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</si>
  <si>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</si>
  <si>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</si>
  <si>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</si>
  <si>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</si>
  <si>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</si>
  <si>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</si>
  <si>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</si>
  <si>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</si>
  <si>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</si>
  <si>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</si>
  <si>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</si>
  <si>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</si>
  <si>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</si>
  <si>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</si>
  <si>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</si>
  <si>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</si>
  <si>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</si>
  <si>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</si>
  <si>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</si>
  <si>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</si>
  <si>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</si>
  <si>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</si>
  <si>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</si>
  <si>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</si>
  <si>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</si>
  <si>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</si>
  <si>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</si>
  <si>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</si>
  <si>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</si>
  <si>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</si>
  <si>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</si>
  <si>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</si>
  <si>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</si>
  <si>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</si>
  <si>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</si>
  <si>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</si>
  <si>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</si>
  <si>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</si>
  <si>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</si>
  <si>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</si>
  <si>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</si>
  <si>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</si>
  <si>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</si>
  <si>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</si>
  <si>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</si>
  <si>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</si>
  <si>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</si>
  <si>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</si>
  <si>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</si>
  <si>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</si>
  <si>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</si>
  <si>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</si>
  <si>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</si>
  <si>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</si>
  <si>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</si>
  <si>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</si>
  <si>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</si>
  <si>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</si>
  <si>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</si>
  <si>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</si>
  <si>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</si>
  <si>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</si>
  <si>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</si>
  <si>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</si>
  <si>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</si>
  <si>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</si>
  <si>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</si>
  <si>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</si>
  <si>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</si>
  <si>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</si>
  <si>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</si>
  <si>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</si>
  <si>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</si>
  <si>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</si>
  <si>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</si>
  <si>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</si>
  <si>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</si>
  <si>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</si>
  <si>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</si>
  <si>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</si>
  <si>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</si>
  <si>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</si>
  <si>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</si>
  <si>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</si>
  <si>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</si>
  <si>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</si>
  <si>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</si>
  <si>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</si>
  <si>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</si>
  <si>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</si>
  <si>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</si>
  <si>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</si>
  <si>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</si>
  <si>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</si>
  <si>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</si>
  <si>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</si>
  <si>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</si>
  <si>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</si>
  <si>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</si>
  <si>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</si>
  <si>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</si>
  <si>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</si>
  <si>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</si>
  <si>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</si>
  <si>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</si>
  <si>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</si>
  <si>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</si>
  <si>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</si>
  <si>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</si>
  <si>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</si>
  <si>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</si>
  <si>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</si>
  <si>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</si>
  <si>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</si>
  <si>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</si>
  <si>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</si>
  <si>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</si>
  <si>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</si>
  <si>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</si>
  <si>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</si>
  <si>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</si>
  <si>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</si>
  <si>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</si>
  <si>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</si>
  <si>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</si>
  <si>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</si>
  <si>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</si>
  <si>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</si>
  <si>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</si>
  <si>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</si>
  <si>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</si>
  <si>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</si>
  <si>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</si>
  <si>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</si>
  <si>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</si>
  <si>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</si>
  <si>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</si>
  <si>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</si>
  <si>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</si>
  <si>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</si>
  <si>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</si>
  <si>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</si>
  <si>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</si>
  <si>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</si>
  <si>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</si>
  <si>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</si>
  <si>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</si>
  <si>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</si>
  <si>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</si>
  <si>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</si>
  <si>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</si>
  <si>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</si>
  <si>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</si>
  <si>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</si>
  <si>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</si>
  <si>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</si>
  <si>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</si>
  <si>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</si>
  <si>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</si>
  <si>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</si>
  <si>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</si>
  <si>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</si>
  <si>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</si>
  <si>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</si>
  <si>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</si>
  <si>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</si>
  <si>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</si>
  <si>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</si>
  <si>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</si>
  <si>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</si>
  <si>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</si>
  <si>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</si>
  <si>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</si>
  <si>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</si>
  <si>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</si>
  <si>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</si>
  <si>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</si>
  <si>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</si>
  <si>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</si>
  <si>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</si>
  <si>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</si>
  <si>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</si>
  <si>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</si>
  <si>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</si>
  <si>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</si>
  <si>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</si>
  <si>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</si>
  <si>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</si>
  <si>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</si>
  <si>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</si>
  <si>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</si>
  <si>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</si>
  <si>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</si>
  <si>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</si>
  <si>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</si>
  <si>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</si>
  <si>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</si>
  <si>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</si>
  <si>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</si>
  <si>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</si>
  <si>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</si>
  <si>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</si>
  <si>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</si>
  <si>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</si>
  <si>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</si>
  <si>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</si>
  <si>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</si>
  <si>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</si>
  <si>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</si>
  <si>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</si>
  <si>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</si>
  <si>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</si>
  <si>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</si>
  <si>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</si>
  <si>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</si>
  <si>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</si>
  <si>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</si>
  <si>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</si>
  <si>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</si>
  <si>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</si>
  <si>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</si>
  <si>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</si>
  <si>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</si>
  <si>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</si>
  <si>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</si>
  <si>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</si>
  <si>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</si>
  <si>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</si>
  <si>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</si>
  <si>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</si>
  <si>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</si>
  <si>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</si>
  <si>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</si>
  <si>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</si>
  <si>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</si>
  <si>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</si>
  <si>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</si>
  <si>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</si>
  <si>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</si>
  <si>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</si>
  <si>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</si>
  <si>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</si>
  <si>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</si>
  <si>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</si>
  <si>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</si>
  <si>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</si>
  <si>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</si>
  <si>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</si>
  <si>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</si>
  <si>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</si>
  <si>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</si>
  <si>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</si>
  <si>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</si>
  <si>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</si>
  <si>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</si>
  <si>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</si>
  <si>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</si>
  <si>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</si>
  <si>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</si>
  <si>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</si>
  <si>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</si>
  <si>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</si>
  <si>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</si>
  <si>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</si>
  <si>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</si>
  <si>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</si>
  <si>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</si>
  <si>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</si>
  <si>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</si>
  <si>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</si>
  <si>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</si>
  <si>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</si>
  <si>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</si>
  <si>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</si>
  <si>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</si>
  <si>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</si>
  <si>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</si>
  <si>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</si>
  <si>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</si>
  <si>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</si>
  <si>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</si>
  <si>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</si>
  <si>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</si>
  <si>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</si>
  <si>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</si>
  <si>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</si>
  <si>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</si>
  <si>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</si>
  <si>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</si>
  <si>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</si>
  <si>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</si>
  <si>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</si>
  <si>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</si>
  <si>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</si>
  <si>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</si>
  <si>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</si>
  <si>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</si>
  <si>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</si>
  <si>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</si>
  <si>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</si>
  <si>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</si>
  <si>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</si>
  <si>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</si>
  <si>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</si>
  <si>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</si>
  <si>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</si>
  <si>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</si>
  <si>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</si>
  <si>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</si>
  <si>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</si>
  <si>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</si>
  <si>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</si>
  <si>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</si>
  <si>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</si>
  <si>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</si>
  <si>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</si>
  <si>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</si>
  <si>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</si>
  <si>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</si>
  <si>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</si>
  <si>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</si>
  <si>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</si>
  <si>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</si>
  <si>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</si>
  <si>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</si>
  <si>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</si>
  <si>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</si>
  <si>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</si>
  <si>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</si>
  <si>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</si>
  <si>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</si>
  <si>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</si>
  <si>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</si>
  <si>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</si>
  <si>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</si>
  <si>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</si>
  <si>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</si>
  <si>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</si>
  <si>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</si>
  <si>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</si>
  <si>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</si>
  <si>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</si>
  <si>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</si>
  <si>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</si>
  <si>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</si>
  <si>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</si>
  <si>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</si>
  <si>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</si>
  <si>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</si>
  <si>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</si>
  <si>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</si>
  <si>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</si>
  <si>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</si>
  <si>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</si>
  <si>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</si>
  <si>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</si>
  <si>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</si>
  <si>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</si>
  <si>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</si>
  <si>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</si>
  <si>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</si>
  <si>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</si>
  <si>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</si>
  <si>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</si>
  <si>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</si>
  <si>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</si>
  <si>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</si>
  <si>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</si>
  <si>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</si>
  <si>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</si>
  <si>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</si>
  <si>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</si>
  <si>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</si>
  <si>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</si>
  <si>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</si>
  <si>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</si>
  <si>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</si>
  <si>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</si>
  <si>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</si>
  <si>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</si>
  <si>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</si>
  <si>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</si>
  <si>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</si>
  <si>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</si>
  <si>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</si>
  <si>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</si>
  <si>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</si>
  <si>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</si>
  <si>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</si>
  <si>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</si>
  <si>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</si>
  <si>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</si>
  <si>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</si>
  <si>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</si>
  <si>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</si>
  <si>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</si>
  <si>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</si>
  <si>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</si>
  <si>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</si>
  <si>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</si>
  <si>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</si>
  <si>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</si>
  <si>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</si>
  <si>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</si>
  <si>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</si>
  <si>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</si>
  <si>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</si>
  <si>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</si>
  <si>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</si>
  <si>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</si>
  <si>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</si>
  <si>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</si>
  <si>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</si>
  <si>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</si>
  <si>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</si>
  <si>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</si>
  <si>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</si>
  <si>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</si>
  <si>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</si>
  <si>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</si>
  <si>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</si>
  <si>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</si>
  <si>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</si>
  <si>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</si>
  <si>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</si>
  <si>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</si>
  <si>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</si>
  <si>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</si>
  <si>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</si>
  <si>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</si>
  <si>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</si>
  <si>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</si>
  <si>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</si>
  <si>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</si>
  <si>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</si>
  <si>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</si>
  <si>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</si>
  <si>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</si>
  <si>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</si>
  <si>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</si>
  <si>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</si>
  <si>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</si>
  <si>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</si>
  <si>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</si>
  <si>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</si>
  <si>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</si>
  <si>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</si>
  <si>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</si>
  <si>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</si>
  <si>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</si>
  <si>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</si>
  <si>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</si>
  <si>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</si>
  <si>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</si>
  <si>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</si>
  <si>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</si>
  <si>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</si>
  <si>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</si>
  <si>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</si>
  <si>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</si>
  <si>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</si>
  <si>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</si>
  <si>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</si>
  <si>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</si>
  <si>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</si>
  <si>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</si>
  <si>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</si>
  <si>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</si>
  <si>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</si>
  <si>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</si>
  <si>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</si>
  <si>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</si>
  <si>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</si>
  <si>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</si>
  <si>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</si>
  <si>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</si>
  <si>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</si>
  <si>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</si>
  <si>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</si>
  <si>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</si>
  <si>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</si>
  <si>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</si>
  <si>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</si>
  <si>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</si>
  <si>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</si>
  <si>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</si>
  <si>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</si>
  <si>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</si>
  <si>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</si>
  <si>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</si>
  <si>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</si>
  <si>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</si>
  <si>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</si>
  <si>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</si>
  <si>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</si>
  <si>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</si>
  <si>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</si>
  <si>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</si>
  <si>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</si>
  <si>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</si>
  <si>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</si>
  <si>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</si>
  <si>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</si>
  <si>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</si>
  <si>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</si>
  <si>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</si>
  <si>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</si>
  <si>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</si>
  <si>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</si>
  <si>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</si>
  <si>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</si>
  <si>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</si>
  <si>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</si>
  <si>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</si>
  <si>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</si>
  <si>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</si>
  <si>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</si>
  <si>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</si>
  <si>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</si>
  <si>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</si>
  <si>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</si>
  <si>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</si>
  <si>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</si>
  <si>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</si>
  <si>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</si>
  <si>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</si>
  <si>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</si>
  <si>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</si>
  <si>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</si>
  <si>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</si>
  <si>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</si>
  <si>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</si>
  <si>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</si>
  <si>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</si>
  <si>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</si>
  <si>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</si>
  <si>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</si>
  <si>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</si>
  <si>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</si>
  <si>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</si>
  <si>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</si>
  <si>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</si>
  <si>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</si>
  <si>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</si>
  <si>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</si>
  <si>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</si>
  <si>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</si>
  <si>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</si>
  <si>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</si>
  <si>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</si>
  <si>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</si>
  <si>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</si>
  <si>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</si>
  <si>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</si>
  <si>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</si>
  <si>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</si>
  <si>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</si>
  <si>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</si>
  <si>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</si>
  <si>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</si>
  <si>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</si>
  <si>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</si>
  <si>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</si>
  <si>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</si>
  <si>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</si>
  <si>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</si>
  <si>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</si>
  <si>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</si>
  <si>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</si>
  <si>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</si>
  <si>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</si>
  <si>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</si>
  <si>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</si>
  <si>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</si>
  <si>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</si>
  <si>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</si>
  <si>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</si>
  <si>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</si>
  <si>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</si>
  <si>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</si>
  <si>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</si>
  <si>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</si>
  <si>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</si>
  <si>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</si>
  <si>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</si>
  <si>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</si>
  <si>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</si>
  <si>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</si>
  <si>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</si>
  <si>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</si>
  <si>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</si>
  <si>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</si>
  <si>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</si>
  <si>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</si>
  <si>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</si>
  <si>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</si>
  <si>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</si>
  <si>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</si>
  <si>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</si>
  <si>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</si>
  <si>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</si>
  <si>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</si>
  <si>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</si>
  <si>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</si>
  <si>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</si>
  <si>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</si>
  <si>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</si>
  <si>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</si>
  <si>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</si>
  <si>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</si>
  <si>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</si>
  <si>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</si>
  <si>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</si>
  <si>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</si>
  <si>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</si>
  <si>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</si>
  <si>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</si>
  <si>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</si>
  <si>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</si>
  <si>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</si>
  <si>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</si>
  <si>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</si>
  <si>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</si>
  <si>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</si>
  <si>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</si>
  <si>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</si>
  <si>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</si>
  <si>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</si>
  <si>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</si>
  <si>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</si>
  <si>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</si>
  <si>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</si>
  <si>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</si>
  <si>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</si>
  <si>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</si>
  <si>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</si>
  <si>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</si>
  <si>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</si>
  <si>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</si>
  <si>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</si>
  <si>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</si>
  <si>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</si>
  <si>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</si>
  <si>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</si>
  <si>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</si>
  <si>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</si>
  <si>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</si>
  <si>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</si>
  <si>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</si>
  <si>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</si>
  <si>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</si>
  <si>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</si>
  <si>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</si>
  <si>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</si>
  <si>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</si>
  <si>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</si>
  <si>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</si>
  <si>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</si>
  <si>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</si>
  <si>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</si>
  <si>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</si>
  <si>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</si>
  <si>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</si>
  <si>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</si>
  <si>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</si>
  <si>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</si>
  <si>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</si>
  <si>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</si>
  <si>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</si>
  <si>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</si>
  <si>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</si>
  <si>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</si>
  <si>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</si>
  <si>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</si>
  <si>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</si>
  <si>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</si>
  <si>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</si>
  <si>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</si>
  <si>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</si>
  <si>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</si>
  <si>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</si>
  <si>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</si>
  <si>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</si>
  <si>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</si>
  <si>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</si>
  <si>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</si>
  <si>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</si>
  <si>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</si>
  <si>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</si>
  <si>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</si>
  <si>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</si>
  <si>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</si>
  <si>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</si>
  <si>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</si>
  <si>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</si>
  <si>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</si>
  <si>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</si>
  <si>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</si>
  <si>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</si>
  <si>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</si>
  <si>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</si>
  <si>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</si>
  <si>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</si>
  <si>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</si>
  <si>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</si>
  <si>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</si>
  <si>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</si>
  <si>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</si>
  <si>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</si>
  <si>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</si>
  <si>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</si>
  <si>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</si>
  <si>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</si>
  <si>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</si>
  <si>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</si>
  <si>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</si>
  <si>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</si>
  <si>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</si>
  <si>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</si>
  <si>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</si>
  <si>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</si>
  <si>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</si>
  <si>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</si>
  <si>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</si>
  <si>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</si>
  <si>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</si>
  <si>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</si>
  <si>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</si>
  <si>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</si>
  <si>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</si>
  <si>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</si>
  <si>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</si>
  <si>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</si>
  <si>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</si>
  <si>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</si>
  <si>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</si>
  <si>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</si>
  <si>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</si>
  <si>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</si>
  <si>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</si>
  <si>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</si>
  <si>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</si>
  <si>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</si>
  <si>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</si>
  <si>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</si>
  <si>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</si>
  <si>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</si>
  <si>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</si>
  <si>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</si>
  <si>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</si>
  <si>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</si>
  <si>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</si>
  <si>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</si>
  <si>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</si>
  <si>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</si>
  <si>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</si>
  <si>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</si>
  <si>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</si>
  <si>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</si>
  <si>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</si>
  <si>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</si>
  <si>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</si>
  <si>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</si>
  <si>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</si>
  <si>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</si>
  <si>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</si>
  <si>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</si>
  <si>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</si>
  <si>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</si>
  <si>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</si>
  <si>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</si>
  <si>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</si>
  <si>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</si>
  <si>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</si>
  <si>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</si>
  <si>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</si>
  <si>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</si>
  <si>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</si>
  <si>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</si>
  <si>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</si>
  <si>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</si>
  <si>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</si>
  <si>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</si>
  <si>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</si>
  <si>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</si>
  <si>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</si>
  <si>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</si>
  <si>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</si>
  <si>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</si>
  <si>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</si>
  <si>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</si>
  <si>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</si>
  <si>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</si>
  <si>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</si>
  <si>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</si>
  <si>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</si>
  <si>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</si>
  <si>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</si>
  <si>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</si>
  <si>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</si>
  <si>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</si>
  <si>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</si>
  <si>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</si>
  <si>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</si>
  <si>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</si>
  <si>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</si>
  <si>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</si>
  <si>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</si>
  <si>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</si>
  <si>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</si>
  <si>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</si>
  <si>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</si>
  <si>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</si>
  <si>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</si>
  <si>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</si>
  <si>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</si>
  <si>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</si>
  <si>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</si>
  <si>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</si>
  <si>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</si>
  <si>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</si>
  <si>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</si>
  <si>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</si>
  <si>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</si>
  <si>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</si>
  <si>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</si>
  <si>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</si>
  <si>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</si>
  <si>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</si>
  <si>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</si>
  <si>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</si>
  <si>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</si>
  <si>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</si>
  <si>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</si>
  <si>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</si>
  <si>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</si>
  <si>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</si>
  <si>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</si>
  <si>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</si>
  <si>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</si>
  <si>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</si>
  <si>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</si>
  <si>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</si>
  <si>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</si>
  <si>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</si>
  <si>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</si>
  <si>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</si>
  <si>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</si>
  <si>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</si>
  <si>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</si>
  <si>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</si>
  <si>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</si>
  <si>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</si>
  <si>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</si>
  <si>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</si>
  <si>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</si>
  <si>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</si>
  <si>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</si>
  <si>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</si>
  <si>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</si>
  <si>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</si>
  <si>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</si>
  <si>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</si>
  <si>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</si>
  <si>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</si>
  <si>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</si>
  <si>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</si>
  <si>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</si>
  <si>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</si>
  <si>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</si>
  <si>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</si>
  <si>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</si>
  <si>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</si>
  <si>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</si>
  <si>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</si>
  <si>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</si>
  <si>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</si>
  <si>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</si>
  <si>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</si>
  <si>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</si>
  <si>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</si>
  <si>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</si>
  <si>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</si>
  <si>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</si>
  <si>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</si>
  <si>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</si>
  <si>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</si>
  <si>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</si>
  <si>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</si>
  <si>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</si>
  <si>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</si>
  <si>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</si>
  <si>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</si>
  <si>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</si>
  <si>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</si>
  <si>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</si>
  <si>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</si>
  <si>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</si>
  <si>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</si>
  <si>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</si>
  <si>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</si>
  <si>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</si>
  <si>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</si>
  <si>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</si>
  <si>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</si>
  <si>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</si>
  <si>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</si>
  <si>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</si>
  <si>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</si>
  <si>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</si>
  <si>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</si>
  <si>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</si>
  <si>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</si>
  <si>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</si>
  <si>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</si>
  <si>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</si>
  <si>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</si>
  <si>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</si>
  <si>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</si>
  <si>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</si>
  <si>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</si>
  <si>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</si>
  <si>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</si>
  <si>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</si>
  <si>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</si>
  <si>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</si>
  <si>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</si>
  <si>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</si>
  <si>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</si>
  <si>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</si>
  <si>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</si>
  <si>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</si>
  <si>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</si>
  <si>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</si>
  <si>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</si>
  <si>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</si>
  <si>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</si>
  <si>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</si>
  <si>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</si>
  <si>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</si>
  <si>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</si>
  <si>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</si>
  <si>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</si>
  <si>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</si>
  <si>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</si>
  <si>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</si>
  <si>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</si>
  <si>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</si>
  <si>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</si>
  <si>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</si>
  <si>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</si>
  <si>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</si>
  <si>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</si>
  <si>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</si>
  <si>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</si>
  <si>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</si>
  <si>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</si>
  <si>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</si>
  <si>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</si>
  <si>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</si>
  <si>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</si>
  <si>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</si>
  <si>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</si>
  <si>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</si>
  <si>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</si>
  <si>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</si>
  <si>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</si>
  <si>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</si>
  <si>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</si>
  <si>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</si>
  <si>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</si>
  <si>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</si>
  <si>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</si>
  <si>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</si>
  <si>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</si>
  <si>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</si>
  <si>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</si>
  <si>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</si>
  <si>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</si>
  <si>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</si>
  <si>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</si>
  <si>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</si>
  <si>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</si>
  <si>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</si>
  <si>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</si>
  <si>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</si>
  <si>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</si>
  <si>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</si>
  <si>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</si>
  <si>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</si>
  <si>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</si>
  <si>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</si>
  <si>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</si>
  <si>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</si>
  <si>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</si>
  <si>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</si>
  <si>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</si>
  <si>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</si>
  <si>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</si>
  <si>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</si>
  <si>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</si>
  <si>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</si>
  <si>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</si>
  <si>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</si>
  <si>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</si>
  <si>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</si>
  <si>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</si>
  <si>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</si>
  <si>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</si>
  <si>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</si>
  <si>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</si>
  <si>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</si>
  <si>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</si>
  <si>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</si>
  <si>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</si>
  <si>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</si>
  <si>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</si>
  <si>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</si>
  <si>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</si>
  <si>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</si>
  <si>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</si>
  <si>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</si>
  <si>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</si>
  <si>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</si>
  <si>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</si>
  <si>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</si>
  <si>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</si>
  <si>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</si>
  <si>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</si>
  <si>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</si>
  <si>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</si>
  <si>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</si>
  <si>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</si>
  <si>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</si>
  <si>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</si>
  <si>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</si>
  <si>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</si>
  <si>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</si>
  <si>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</si>
  <si>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</si>
  <si>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</si>
  <si>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</si>
  <si>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</si>
  <si>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</si>
  <si>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</si>
  <si>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</si>
  <si>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</si>
  <si>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</si>
  <si>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</si>
  <si>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</si>
  <si>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</si>
  <si>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</si>
  <si>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</si>
  <si>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</si>
  <si>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</si>
  <si>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</si>
  <si>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</si>
  <si>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</si>
  <si>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</si>
  <si>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</si>
  <si>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</si>
  <si>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</si>
  <si>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</si>
  <si>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</si>
  <si>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</si>
  <si>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</si>
  <si>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</si>
  <si>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</si>
  <si>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</si>
  <si>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</si>
  <si>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</si>
  <si>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</si>
  <si>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</si>
  <si>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</si>
  <si>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</si>
  <si>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</si>
  <si>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</si>
  <si>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</si>
  <si>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</si>
  <si>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</si>
  <si>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</si>
  <si>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</si>
  <si>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</si>
  <si>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</si>
  <si>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</si>
  <si>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</si>
  <si>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</si>
  <si>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</si>
  <si>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</si>
  <si>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</si>
  <si>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</si>
  <si>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</si>
  <si>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</si>
  <si>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</si>
  <si>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</si>
  <si>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</si>
  <si>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</si>
  <si>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</si>
  <si>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</si>
  <si>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</si>
  <si>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</si>
  <si>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</si>
  <si>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</si>
  <si>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</si>
  <si>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</si>
  <si>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</si>
  <si>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</si>
  <si>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</si>
  <si>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</si>
  <si>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</si>
  <si>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</si>
  <si>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</si>
  <si>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</si>
  <si>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</si>
  <si>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</si>
  <si>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</si>
  <si>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</si>
  <si>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</si>
  <si>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</si>
  <si>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</si>
  <si>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</si>
  <si>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</si>
  <si>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</si>
  <si>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</si>
  <si>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</si>
  <si>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</si>
  <si>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</si>
  <si>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</si>
  <si>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</si>
  <si>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</si>
  <si>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</si>
  <si>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</si>
  <si>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</si>
  <si>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</si>
  <si>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</si>
  <si>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</si>
  <si>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</si>
  <si>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</si>
  <si>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</si>
  <si>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</si>
  <si>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</si>
  <si>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</si>
  <si>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</si>
  <si>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</si>
  <si>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</si>
  <si>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</si>
  <si>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</si>
  <si>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</si>
  <si>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</si>
  <si>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</si>
  <si>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</si>
  <si>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</si>
  <si>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</si>
  <si>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</si>
  <si>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</si>
  <si>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</si>
  <si>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</si>
  <si>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</si>
  <si>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</si>
  <si>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</si>
  <si>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</si>
  <si>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</si>
  <si>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</si>
  <si>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</si>
  <si>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</si>
  <si>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</si>
  <si>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</si>
  <si>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</si>
  <si>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</si>
  <si>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</si>
  <si>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</si>
  <si>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</si>
  <si>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</si>
  <si>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</si>
  <si>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</si>
  <si>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</si>
  <si>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</si>
  <si>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</si>
  <si>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</si>
  <si>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</si>
  <si>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</si>
  <si>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</si>
  <si>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</si>
  <si>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</si>
  <si>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</si>
  <si>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</si>
  <si>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</si>
  <si>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</si>
  <si>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</si>
  <si>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</si>
  <si>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</si>
  <si>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</si>
  <si>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</si>
  <si>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</si>
  <si>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</si>
  <si>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</si>
  <si>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</si>
  <si>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</si>
  <si>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</si>
  <si>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</si>
  <si>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</si>
  <si>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</si>
  <si>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</si>
  <si>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</si>
  <si>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</si>
  <si>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</si>
  <si>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</si>
  <si>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</si>
  <si>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</si>
  <si>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</si>
  <si>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</si>
  <si>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</si>
  <si>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</si>
  <si>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</si>
  <si>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</si>
  <si>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</si>
  <si>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</si>
  <si>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</si>
  <si>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</si>
  <si>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</si>
  <si>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</si>
  <si>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</si>
  <si>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</si>
  <si>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</si>
  <si>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</si>
  <si>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</si>
  <si>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</si>
  <si>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</si>
  <si>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</si>
  <si>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</si>
  <si>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</si>
  <si>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</si>
  <si>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</si>
  <si>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</si>
  <si>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</si>
  <si>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</si>
  <si>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</si>
  <si>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</si>
  <si>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</si>
  <si>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</si>
  <si>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</si>
  <si>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</si>
  <si>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</si>
  <si>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</si>
  <si>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</si>
  <si>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</si>
  <si>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</si>
  <si>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</si>
  <si>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</si>
  <si>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</si>
  <si>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</si>
  <si>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</si>
  <si>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</si>
  <si>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</si>
  <si>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</si>
  <si>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</si>
  <si>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</si>
  <si>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</si>
  <si>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</si>
  <si>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</si>
  <si>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</si>
  <si>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</si>
  <si>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</si>
  <si>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</si>
  <si>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</si>
  <si>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</si>
  <si>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</si>
  <si>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</si>
  <si>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</si>
  <si>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</si>
  <si>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</si>
  <si>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</si>
  <si>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</si>
  <si>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</si>
  <si>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</si>
  <si>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</si>
  <si>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</si>
  <si>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</si>
  <si>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</si>
  <si>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</si>
  <si>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</si>
  <si>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</si>
  <si>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</si>
  <si>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</si>
  <si>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</si>
  <si>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</si>
  <si>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</si>
  <si>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</si>
  <si>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</si>
  <si>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</si>
  <si>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</si>
  <si>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</si>
  <si>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</si>
  <si>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</si>
  <si>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</si>
  <si>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</si>
  <si>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</si>
  <si>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</si>
  <si>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</si>
  <si>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</si>
  <si>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</si>
  <si>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</si>
  <si>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</si>
  <si>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</si>
  <si>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</si>
  <si>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</si>
  <si>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</si>
  <si>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</si>
  <si>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</si>
  <si>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</si>
  <si>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</si>
  <si>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</si>
  <si>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</si>
  <si>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</si>
  <si>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</si>
  <si>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</si>
  <si>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</si>
  <si>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</si>
  <si>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</si>
  <si>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</si>
  <si>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</si>
  <si>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</si>
  <si>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</si>
  <si>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</si>
  <si>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</si>
  <si>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</si>
  <si>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</si>
  <si>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</si>
  <si>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</si>
  <si>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</si>
  <si>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</si>
  <si>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</si>
  <si>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</si>
  <si>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</si>
  <si>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</si>
  <si>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</si>
  <si>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</si>
  <si>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</si>
  <si>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</si>
  <si>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</si>
  <si>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</si>
  <si>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</si>
  <si>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</si>
  <si>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</si>
  <si>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</si>
  <si>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</si>
  <si>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</si>
  <si>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</si>
  <si>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</si>
  <si>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</si>
  <si>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</si>
  <si>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</si>
  <si>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</si>
  <si>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</si>
  <si>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</si>
  <si>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</si>
  <si>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</si>
  <si>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</si>
  <si>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</si>
  <si>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</si>
  <si>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</si>
  <si>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</si>
  <si>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</si>
  <si>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</si>
  <si>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</si>
  <si>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</si>
  <si>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</si>
  <si>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</si>
  <si>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</si>
  <si>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</si>
  <si>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</si>
  <si>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</si>
  <si>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</si>
  <si>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</si>
  <si>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</si>
  <si>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</si>
  <si>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</si>
  <si>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</si>
  <si>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</si>
  <si>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</si>
  <si>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</si>
  <si>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</si>
  <si>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</si>
  <si>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</si>
  <si>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</si>
  <si>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</si>
  <si>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</si>
  <si>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</si>
  <si>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</si>
  <si>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</si>
  <si>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</si>
  <si>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</si>
  <si>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</si>
  <si>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</si>
  <si>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</si>
  <si>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</si>
  <si>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</si>
  <si>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</si>
  <si>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</si>
  <si>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</si>
  <si>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</si>
  <si>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</si>
  <si>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</si>
  <si>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</si>
  <si>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</si>
  <si>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</si>
  <si>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</si>
  <si>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</si>
  <si>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</si>
  <si>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</si>
  <si>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</si>
  <si>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</si>
  <si>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</si>
  <si>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</si>
  <si>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</si>
  <si>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</si>
  <si>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</si>
  <si>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</si>
  <si>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</si>
  <si>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</si>
  <si>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</si>
  <si>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</si>
  <si>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</si>
  <si>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</si>
  <si>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</si>
  <si>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</si>
  <si>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</si>
  <si>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</si>
  <si>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</si>
  <si>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</si>
  <si>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</si>
  <si>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</si>
  <si>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</si>
  <si>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</si>
  <si>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</si>
  <si>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</si>
  <si>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</si>
  <si>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</si>
  <si>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</si>
  <si>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</si>
  <si>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</si>
  <si>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</si>
  <si>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</si>
  <si>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</si>
  <si>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</si>
  <si>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</si>
  <si>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</si>
  <si>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</si>
  <si>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</si>
  <si>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</si>
  <si>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</si>
  <si>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</si>
  <si>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</si>
  <si>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</si>
  <si>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</si>
  <si>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</si>
  <si>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</si>
  <si>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</si>
  <si>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</si>
  <si>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</si>
  <si>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</si>
  <si>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</si>
  <si>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</si>
  <si>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</si>
  <si>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</si>
  <si>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</si>
  <si>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</si>
  <si>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</si>
  <si>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</si>
  <si>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</si>
  <si>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</si>
  <si>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</si>
  <si>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</si>
  <si>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</si>
  <si>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</si>
  <si>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</si>
  <si>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</si>
  <si>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</si>
  <si>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</si>
  <si>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</si>
  <si>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</si>
  <si>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</si>
  <si>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</si>
  <si>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</si>
  <si>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</si>
  <si>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</si>
  <si>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</si>
  <si>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</si>
  <si>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</si>
  <si>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</si>
  <si>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</si>
  <si>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</si>
  <si>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</si>
  <si>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</si>
  <si>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</si>
  <si>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</si>
  <si>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</si>
  <si>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</si>
  <si>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</si>
  <si>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</si>
  <si>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</si>
  <si>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</si>
  <si>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</si>
  <si>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</si>
  <si>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</si>
  <si>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</si>
  <si>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</si>
  <si>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</si>
  <si>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</si>
  <si>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</si>
  <si>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</si>
  <si>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</si>
  <si>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</si>
  <si>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</si>
  <si>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</si>
  <si>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</si>
  <si>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</si>
  <si>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</si>
  <si>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</si>
  <si>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</si>
  <si>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</si>
  <si>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</si>
  <si>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</si>
  <si>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</si>
  <si>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</si>
  <si>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</si>
  <si>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</si>
  <si>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</si>
  <si>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</si>
  <si>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</si>
  <si>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</si>
  <si>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</si>
  <si>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</si>
  <si>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</si>
  <si>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</si>
  <si>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</si>
  <si>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</si>
  <si>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</si>
  <si>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</si>
  <si>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</si>
  <si>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</si>
  <si>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</si>
  <si>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</si>
  <si>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</si>
  <si>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</si>
  <si>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</si>
  <si>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</si>
  <si>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</si>
  <si>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</si>
  <si>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</si>
  <si>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</si>
  <si>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</si>
  <si>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</si>
  <si>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</si>
  <si>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</si>
  <si>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</si>
  <si>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</si>
  <si>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</si>
  <si>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</si>
  <si>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</si>
  <si>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</si>
  <si>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</si>
  <si>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</si>
  <si>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</si>
  <si>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</si>
  <si>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</si>
  <si>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</si>
  <si>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</si>
  <si>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</si>
  <si>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</si>
  <si>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</si>
  <si>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</si>
  <si>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</si>
  <si>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</si>
  <si>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</si>
  <si>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</si>
  <si>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</si>
  <si>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</si>
  <si>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</si>
  <si>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</si>
  <si>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</si>
  <si>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</si>
  <si>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</si>
  <si>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</si>
  <si>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</si>
  <si>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</si>
  <si>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</si>
  <si>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</si>
  <si>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</si>
  <si>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</si>
  <si>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</si>
  <si>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</si>
  <si>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</si>
  <si>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</si>
  <si>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</si>
  <si>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</si>
  <si>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</si>
  <si>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</si>
  <si>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</si>
  <si>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</si>
  <si>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</si>
  <si>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</si>
  <si>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</si>
  <si>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</si>
  <si>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</si>
  <si>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</si>
  <si>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</si>
  <si>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</si>
  <si>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</si>
  <si>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</si>
  <si>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</si>
  <si>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</si>
  <si>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</si>
  <si>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</si>
  <si>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</si>
  <si>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</si>
  <si>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</si>
  <si>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</si>
  <si>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</si>
  <si>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</si>
  <si>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</si>
  <si>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</si>
  <si>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</si>
  <si>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</si>
  <si>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</si>
  <si>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</si>
  <si>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</si>
  <si>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</si>
  <si>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</si>
  <si>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</si>
  <si>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</si>
  <si>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</si>
  <si>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</si>
  <si>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</si>
  <si>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</si>
  <si>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</si>
  <si>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</si>
  <si>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</si>
  <si>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</si>
  <si>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</si>
  <si>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</si>
  <si>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</si>
  <si>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</si>
  <si>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</si>
  <si>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</si>
  <si>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</si>
  <si>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</si>
  <si>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</si>
  <si>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</si>
  <si>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</si>
  <si>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</si>
  <si>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</si>
  <si>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</si>
  <si>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</si>
  <si>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</si>
  <si>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</si>
  <si>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</si>
  <si>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</si>
  <si>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</si>
  <si>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</si>
  <si>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</si>
  <si>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</si>
  <si>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</si>
  <si>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</si>
  <si>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</si>
  <si>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</si>
  <si>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</si>
  <si>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</si>
  <si>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</si>
  <si>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</si>
  <si>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</si>
  <si>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</si>
  <si>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</si>
  <si>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</si>
  <si>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</si>
  <si>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</si>
  <si>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</si>
  <si>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</si>
  <si>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</si>
  <si>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</si>
  <si>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</si>
  <si>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</si>
  <si>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</si>
  <si>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</si>
  <si>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</si>
  <si>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</si>
  <si>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</si>
  <si>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</si>
  <si>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</si>
  <si>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</si>
  <si>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</si>
  <si>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</si>
  <si>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</si>
  <si>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</si>
  <si>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</si>
  <si>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</si>
  <si>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</si>
  <si>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</si>
  <si>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</si>
  <si>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</si>
  <si>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</si>
  <si>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</si>
  <si>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</si>
  <si>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</si>
  <si>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</si>
  <si>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</si>
  <si>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</si>
  <si>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</si>
  <si>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</si>
  <si>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</si>
  <si>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</si>
  <si>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</si>
  <si>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</si>
  <si>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</si>
  <si>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</si>
  <si>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</si>
  <si>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</si>
  <si>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</si>
  <si>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</si>
  <si>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</si>
  <si>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</si>
  <si>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</si>
  <si>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</si>
  <si>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</si>
  <si>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</si>
  <si>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</si>
  <si>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</si>
  <si>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</si>
  <si>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</si>
  <si>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</si>
  <si>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</si>
  <si>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</si>
  <si>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</si>
  <si>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</si>
  <si>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</si>
  <si>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</si>
  <si>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</si>
  <si>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</si>
  <si>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</si>
  <si>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</si>
  <si>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</si>
  <si>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</si>
  <si>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</si>
  <si>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</si>
  <si>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</si>
  <si>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</si>
  <si>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</si>
  <si>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</si>
  <si>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</si>
  <si>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</si>
  <si>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</si>
  <si>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</si>
  <si>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</si>
  <si>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</si>
  <si>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</si>
  <si>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</si>
  <si>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</si>
  <si>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</si>
  <si>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</si>
  <si>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</si>
  <si>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</si>
  <si>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</si>
  <si>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</si>
  <si>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</si>
  <si>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</si>
  <si>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</si>
  <si>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</si>
  <si>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</si>
  <si>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</si>
  <si>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</si>
  <si>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</si>
  <si>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</si>
  <si>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</si>
  <si>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</si>
  <si>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</si>
  <si>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</si>
  <si>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</si>
  <si>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</si>
  <si>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</si>
  <si>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</si>
  <si>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</si>
  <si>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</si>
  <si>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</si>
  <si>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</si>
  <si>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</si>
  <si>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</si>
  <si>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</si>
  <si>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</si>
  <si>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</si>
  <si>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</si>
  <si>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</si>
  <si>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</si>
  <si>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</si>
  <si>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</si>
  <si>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</si>
  <si>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</si>
  <si>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</si>
  <si>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</si>
  <si>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</si>
  <si>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</si>
  <si>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</si>
  <si>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</si>
  <si>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</si>
  <si>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</si>
  <si>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</si>
  <si>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</si>
  <si>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</si>
  <si>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</si>
  <si>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</si>
  <si>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</si>
  <si>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</si>
  <si>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</si>
  <si>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</si>
  <si>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</si>
  <si>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</si>
  <si>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</si>
  <si>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</si>
  <si>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</si>
  <si>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</si>
  <si>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</si>
  <si>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</si>
  <si>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</si>
  <si>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</si>
  <si>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</si>
  <si>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</si>
  <si>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</si>
  <si>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</si>
  <si>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</si>
  <si>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</si>
  <si>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</si>
  <si>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</si>
  <si>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</si>
  <si>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</si>
  <si>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</si>
  <si>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</si>
  <si>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</si>
  <si>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</si>
  <si>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</si>
  <si>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</si>
  <si>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</si>
  <si>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</si>
  <si>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</si>
  <si>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</si>
  <si>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</si>
  <si>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</si>
  <si>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</si>
  <si>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</si>
  <si>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</si>
  <si>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</si>
  <si>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</si>
  <si>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</si>
  <si>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</si>
  <si>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</si>
  <si>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</si>
  <si>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</si>
  <si>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</si>
  <si>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</si>
  <si>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</si>
  <si>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</si>
  <si>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</si>
  <si>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</si>
  <si>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</si>
  <si>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</si>
  <si>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</si>
  <si>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</si>
  <si>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</si>
  <si>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</si>
  <si>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</si>
  <si>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</si>
  <si>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</si>
  <si>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</si>
  <si>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</si>
  <si>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</si>
  <si>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</si>
  <si>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</si>
  <si>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</si>
  <si>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</si>
  <si>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</si>
  <si>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</si>
  <si>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</si>
  <si>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</si>
  <si>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</si>
  <si>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</si>
  <si>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</si>
  <si>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</si>
  <si>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</si>
  <si>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</si>
  <si>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</si>
  <si>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</si>
  <si>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</si>
  <si>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</si>
  <si>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</si>
  <si>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</si>
  <si>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</si>
  <si>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</si>
  <si>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</si>
  <si>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</si>
  <si>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</si>
  <si>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</si>
  <si>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</si>
  <si>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</si>
  <si>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</si>
  <si>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</si>
  <si>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</si>
  <si>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</si>
  <si>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</si>
  <si>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</si>
  <si>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</si>
  <si>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</si>
  <si>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</si>
  <si>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</si>
  <si>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</si>
  <si>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</si>
  <si>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</si>
  <si>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</si>
  <si>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</si>
  <si>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</si>
  <si>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</si>
  <si>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</si>
  <si>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</si>
  <si>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</si>
  <si>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</si>
  <si>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</si>
  <si>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</si>
  <si>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</si>
  <si>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</si>
  <si>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</si>
  <si>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</si>
  <si>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</si>
  <si>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</si>
  <si>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</si>
  <si>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</si>
  <si>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</si>
  <si>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</si>
  <si>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</si>
  <si>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</si>
  <si>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</si>
  <si>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</si>
  <si>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</si>
  <si>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</si>
  <si>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</si>
  <si>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</si>
  <si>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</si>
  <si>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</si>
  <si>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</si>
  <si>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</si>
  <si>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</si>
  <si>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</si>
  <si>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</si>
  <si>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</si>
  <si>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</si>
  <si>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</si>
  <si>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</si>
  <si>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</si>
  <si>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</si>
  <si>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</si>
  <si>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</si>
  <si>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</si>
  <si>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</si>
  <si>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</si>
  <si>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</si>
  <si>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</si>
  <si>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</si>
  <si>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</si>
  <si>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</si>
  <si>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</si>
  <si>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</si>
  <si>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</si>
  <si>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</si>
  <si>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</si>
  <si>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</si>
  <si>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</si>
  <si>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</si>
  <si>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</si>
  <si>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</si>
  <si>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</si>
  <si>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</si>
  <si>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</si>
  <si>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</si>
  <si>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</si>
  <si>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</si>
  <si>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</si>
  <si>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</si>
  <si>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</si>
  <si>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</si>
  <si>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</si>
  <si>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</si>
  <si>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</si>
  <si>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</si>
  <si>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</si>
  <si>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</si>
  <si>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</si>
  <si>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</si>
  <si>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</si>
  <si>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</si>
  <si>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</si>
  <si>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</si>
  <si>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</si>
  <si>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</si>
  <si>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</si>
  <si>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</si>
  <si>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</si>
  <si>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</si>
  <si>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</si>
  <si>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</si>
  <si>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</si>
  <si>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</si>
  <si>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</si>
  <si>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</si>
  <si>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</si>
  <si>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</si>
  <si>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</si>
  <si>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</si>
  <si>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</si>
  <si>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</si>
  <si>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</si>
  <si>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</si>
  <si>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</si>
  <si>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</si>
  <si>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</si>
  <si>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</si>
  <si>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</si>
  <si>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</si>
  <si>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</si>
  <si>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</si>
  <si>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</si>
  <si>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</si>
  <si>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</si>
  <si>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</si>
  <si>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</si>
  <si>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</si>
  <si>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</si>
  <si>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</si>
  <si>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</si>
  <si>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</si>
  <si>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</si>
  <si>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</si>
  <si>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</si>
  <si>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</si>
  <si>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</si>
  <si>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</si>
  <si>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</si>
  <si>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</si>
  <si>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</si>
  <si>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</si>
  <si>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</si>
  <si>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</si>
  <si>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</si>
  <si>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</si>
  <si>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</si>
  <si>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</si>
  <si>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</si>
  <si>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</si>
  <si>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</si>
  <si>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</si>
  <si>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</si>
  <si>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</si>
  <si>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</si>
  <si>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</si>
  <si>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</si>
  <si>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</si>
  <si>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</si>
  <si>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</si>
  <si>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</si>
  <si>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</si>
  <si>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</si>
  <si>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</si>
  <si>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</si>
  <si>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</si>
  <si>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</si>
  <si>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</si>
  <si>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</si>
  <si>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</si>
  <si>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</si>
  <si>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</si>
  <si>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</si>
  <si>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</si>
  <si>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</si>
  <si>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</si>
  <si>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</si>
  <si>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</si>
  <si>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</si>
  <si>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</si>
  <si>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</si>
  <si>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</si>
  <si>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</si>
  <si>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</si>
  <si>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</si>
  <si>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</si>
  <si>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</si>
  <si>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</si>
  <si>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</si>
  <si>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</si>
  <si>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</si>
  <si>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</si>
  <si>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</si>
  <si>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</si>
  <si>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</si>
  <si>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</si>
  <si>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</si>
  <si>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</si>
  <si>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</si>
  <si>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</si>
  <si>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</si>
  <si>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</si>
  <si>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</si>
  <si>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</si>
  <si>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</si>
  <si>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</si>
  <si>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</si>
  <si>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</si>
  <si>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</si>
  <si>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</si>
  <si>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</si>
  <si>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</si>
  <si>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</si>
  <si>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</si>
  <si>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</si>
  <si>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</si>
  <si>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</si>
  <si>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</si>
  <si>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</si>
  <si>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</si>
  <si>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</si>
  <si>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</si>
  <si>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</si>
  <si>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</si>
  <si>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</si>
  <si>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</si>
  <si>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</si>
  <si>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</si>
  <si>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</si>
  <si>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</si>
  <si>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</si>
  <si>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</si>
  <si>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</si>
  <si>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</si>
  <si>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</si>
  <si>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</si>
  <si>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</si>
  <si>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</si>
  <si>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</si>
  <si>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</si>
  <si>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</si>
  <si>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</si>
  <si>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</si>
  <si>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</si>
  <si>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</si>
  <si>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</si>
  <si>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</si>
  <si>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</si>
  <si>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</si>
  <si>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</si>
  <si>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</si>
  <si>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</si>
  <si>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</si>
  <si>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</si>
  <si>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</si>
  <si>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</si>
  <si>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</si>
  <si>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</si>
  <si>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</si>
  <si>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</si>
  <si>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</si>
  <si>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</si>
  <si>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</si>
  <si>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</si>
  <si>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</si>
  <si>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</si>
  <si>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</si>
  <si>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</si>
  <si>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</si>
  <si>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</si>
  <si>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</si>
  <si>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</si>
  <si>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</si>
  <si>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</si>
  <si>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</si>
  <si>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</si>
  <si>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</si>
  <si>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</si>
  <si>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</si>
  <si>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</si>
  <si>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</si>
  <si>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</si>
  <si>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</si>
  <si>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</si>
  <si>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</si>
  <si>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</si>
  <si>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</si>
  <si>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</si>
  <si>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</si>
  <si>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</si>
  <si>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</si>
  <si>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</si>
  <si>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</si>
  <si>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</si>
  <si>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</si>
  <si>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</si>
  <si>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</si>
  <si>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</si>
  <si>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</si>
  <si>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</si>
  <si>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</si>
  <si>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</si>
  <si>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</si>
  <si>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</si>
  <si>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</si>
  <si>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</si>
  <si>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</si>
  <si>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</si>
  <si>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</si>
  <si>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</si>
  <si>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</si>
  <si>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</si>
  <si>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</si>
  <si>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</si>
  <si>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</si>
  <si>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</si>
  <si>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</si>
  <si>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</si>
  <si>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</si>
  <si>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</si>
  <si>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</si>
  <si>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</si>
  <si>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</si>
  <si>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</si>
  <si>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</si>
  <si>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</si>
  <si>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</si>
  <si>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</si>
  <si>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</si>
  <si>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</si>
  <si>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</si>
  <si>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</si>
  <si>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</si>
  <si>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</si>
  <si>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</si>
  <si>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</si>
  <si>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</si>
  <si>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</si>
  <si>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</si>
  <si>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</si>
  <si>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</si>
  <si>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</si>
  <si>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</si>
  <si>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</si>
  <si>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</si>
  <si>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</si>
  <si>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</si>
  <si>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</si>
  <si>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</si>
  <si>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</si>
  <si>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</si>
  <si>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</si>
  <si>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</si>
  <si>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</si>
  <si>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</si>
  <si>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</si>
  <si>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</si>
  <si>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</si>
  <si>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</si>
  <si>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</si>
  <si>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</si>
  <si>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</si>
  <si>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</si>
  <si>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</si>
  <si>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</si>
  <si>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</si>
  <si>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</si>
  <si>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</si>
  <si>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</si>
  <si>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</si>
  <si>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</si>
  <si>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</si>
  <si>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</si>
  <si>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</si>
  <si>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</si>
  <si>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</si>
  <si>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</si>
  <si>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</si>
  <si>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</si>
  <si>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</si>
  <si>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</si>
  <si>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</si>
  <si>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</si>
  <si>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</si>
  <si>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</si>
  <si>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</si>
  <si>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</si>
  <si>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</si>
  <si>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</si>
  <si>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</si>
  <si>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</si>
  <si>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</si>
  <si>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</si>
  <si>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</si>
  <si>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</si>
  <si>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</si>
  <si>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</si>
  <si>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</si>
  <si>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</si>
  <si>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</si>
  <si>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</si>
  <si>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</si>
  <si>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</si>
  <si>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</si>
  <si>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</si>
  <si>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</si>
  <si>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</si>
  <si>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</si>
  <si>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</si>
  <si>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</si>
  <si>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</si>
  <si>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</si>
  <si>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</si>
  <si>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</si>
  <si>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</si>
  <si>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</si>
  <si>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</si>
  <si>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</si>
  <si>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</si>
  <si>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</si>
  <si>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</si>
  <si>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</si>
  <si>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</si>
  <si>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</si>
  <si>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</si>
  <si>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</si>
  <si>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</si>
  <si>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</si>
  <si>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</si>
  <si>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</si>
  <si>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</si>
  <si>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</si>
  <si>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</si>
  <si>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</si>
  <si>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</si>
  <si>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</si>
  <si>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</si>
  <si>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</si>
  <si>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</si>
  <si>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</si>
  <si>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</si>
  <si>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</si>
  <si>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</si>
  <si>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</si>
  <si>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</si>
  <si>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</si>
  <si>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</si>
  <si>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</si>
  <si>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</si>
  <si>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</si>
  <si>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</si>
  <si>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</si>
  <si>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</si>
  <si>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</si>
  <si>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</si>
  <si>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</si>
  <si>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</si>
  <si>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</si>
  <si>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</si>
  <si>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</si>
  <si>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</si>
  <si>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</si>
  <si>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</si>
  <si>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</si>
  <si>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</si>
  <si>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</si>
  <si>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</si>
  <si>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</si>
  <si>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</si>
  <si>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</si>
  <si>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</si>
  <si>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</si>
  <si>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</si>
  <si>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</si>
  <si>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</si>
  <si>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</si>
  <si>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</si>
  <si>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</si>
  <si>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</si>
  <si>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</si>
  <si>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</si>
  <si>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</si>
  <si>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</si>
  <si>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</si>
  <si>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</si>
  <si>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</si>
  <si>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</si>
  <si>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</si>
  <si>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</si>
  <si>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</si>
  <si>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</si>
  <si>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</si>
  <si>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</si>
  <si>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</si>
  <si>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</si>
  <si>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</si>
  <si>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</si>
  <si>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</si>
  <si>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</si>
  <si>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</si>
  <si>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</si>
  <si>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</si>
  <si>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</si>
  <si>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</si>
  <si>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</si>
  <si>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</si>
  <si>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</si>
  <si>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</si>
  <si>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</si>
  <si>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</si>
  <si>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</si>
  <si>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</si>
  <si>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</si>
  <si>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</si>
  <si>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</si>
  <si>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</si>
  <si>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</si>
  <si>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</si>
  <si>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</si>
  <si>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</si>
  <si>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</si>
  <si>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</si>
  <si>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</si>
  <si>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</si>
  <si>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</si>
  <si>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</si>
  <si>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</si>
  <si>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</si>
  <si>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</si>
  <si>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</si>
  <si>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</si>
  <si>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</si>
  <si>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</si>
  <si>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</si>
  <si>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</si>
  <si>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</si>
  <si>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</si>
  <si>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</si>
  <si>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</si>
  <si>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</si>
  <si>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</si>
  <si>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</si>
  <si>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</si>
  <si>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</si>
  <si>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</si>
  <si>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</si>
  <si>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</si>
  <si>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</si>
  <si>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</si>
  <si>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</si>
  <si>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</si>
  <si>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</si>
  <si>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</si>
  <si>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</si>
  <si>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</si>
  <si>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</si>
  <si>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</si>
  <si>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</si>
  <si>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</si>
  <si>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</si>
  <si>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</si>
  <si>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</si>
  <si>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</si>
  <si>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</si>
  <si>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</si>
  <si>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</si>
  <si>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</si>
  <si>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</si>
  <si>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</si>
  <si>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</si>
  <si>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</si>
  <si>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</si>
  <si>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</si>
  <si>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</si>
  <si>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</si>
  <si>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</si>
  <si>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</si>
  <si>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</si>
  <si>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</si>
  <si>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</si>
  <si>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</si>
  <si>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</si>
  <si>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</si>
  <si>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</si>
  <si>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</si>
  <si>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</si>
  <si>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</si>
  <si>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</si>
  <si>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</si>
  <si>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</si>
  <si>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</si>
  <si>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</si>
  <si>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</si>
  <si>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</si>
  <si>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</si>
  <si>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</si>
  <si>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</si>
  <si>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</si>
  <si>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</si>
  <si>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</si>
  <si>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</si>
  <si>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</si>
  <si>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</si>
  <si>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</si>
  <si>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</si>
  <si>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</si>
  <si>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</si>
  <si>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</si>
  <si>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</si>
  <si>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</si>
  <si>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</si>
  <si>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</si>
  <si>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</si>
  <si>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</si>
  <si>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</si>
  <si>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</si>
  <si>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</si>
  <si>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</si>
  <si>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</si>
  <si>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</si>
  <si>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</si>
  <si>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</si>
  <si>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</si>
  <si>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</si>
  <si>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</si>
  <si>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</si>
  <si>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</si>
  <si>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</si>
  <si>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</si>
  <si>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</si>
  <si>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</si>
  <si>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</si>
  <si>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</si>
  <si>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</si>
  <si>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</si>
  <si>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</si>
  <si>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</si>
  <si>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</si>
  <si>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</si>
  <si>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</si>
  <si>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</si>
  <si>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</si>
  <si>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</si>
  <si>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</si>
  <si>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</si>
  <si>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</si>
  <si>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</si>
  <si>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</si>
  <si>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</si>
  <si>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</si>
  <si>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</si>
  <si>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</si>
  <si>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</si>
  <si>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</si>
  <si>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</si>
  <si>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</si>
  <si>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</si>
  <si>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</si>
  <si>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</si>
  <si>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</si>
  <si>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</si>
  <si>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</si>
  <si>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</si>
  <si>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</si>
  <si>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</si>
  <si>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</si>
  <si>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</si>
  <si>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</si>
  <si>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</si>
  <si>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</si>
  <si>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</si>
  <si>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</si>
  <si>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</si>
  <si>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</si>
  <si>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</si>
  <si>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</si>
  <si>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</si>
  <si>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</si>
  <si>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</si>
  <si>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</si>
  <si>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</si>
  <si>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</si>
  <si>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</si>
  <si>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</si>
  <si>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</si>
  <si>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</si>
  <si>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</si>
  <si>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</si>
  <si>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</si>
  <si>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</si>
  <si>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</si>
  <si>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</si>
  <si>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</si>
  <si>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</si>
  <si>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</si>
  <si>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</si>
  <si>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</si>
  <si>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</si>
  <si>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</si>
  <si>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</si>
  <si>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</si>
  <si>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</si>
  <si>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</si>
  <si>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</si>
  <si>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</si>
  <si>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</si>
  <si>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</si>
  <si>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</si>
  <si>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</si>
  <si>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</si>
  <si>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</si>
  <si>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</si>
  <si>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</si>
  <si>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</si>
  <si>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</si>
  <si>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</si>
  <si>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</si>
  <si>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</si>
  <si>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</si>
  <si>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</si>
  <si>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</si>
  <si>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</si>
  <si>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</si>
  <si>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</si>
  <si>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</si>
  <si>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</si>
  <si>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</si>
  <si>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</si>
  <si>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</si>
  <si>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</si>
  <si>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</si>
  <si>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</si>
  <si>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</si>
  <si>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</si>
  <si>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</si>
  <si>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</si>
  <si>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</si>
  <si>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</si>
  <si>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</si>
  <si>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</si>
  <si>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</si>
  <si>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</si>
  <si>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</si>
  <si>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</si>
  <si>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</si>
  <si>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</si>
  <si>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</si>
  <si>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</si>
  <si>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</si>
  <si>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</si>
  <si>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</si>
  <si>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</si>
  <si>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</si>
  <si>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</si>
  <si>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</si>
  <si>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</si>
  <si>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</si>
  <si>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</si>
  <si>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</si>
  <si>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</si>
  <si>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</si>
  <si>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</si>
  <si>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</si>
  <si>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</si>
  <si>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</si>
  <si>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</si>
  <si>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</si>
  <si>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</si>
  <si>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</si>
  <si>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</si>
  <si>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</si>
  <si>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</si>
  <si>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</si>
  <si>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</si>
  <si>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</si>
  <si>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</si>
  <si>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</si>
  <si>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</si>
  <si>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</si>
  <si>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</si>
  <si>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</si>
  <si>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</si>
  <si>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</si>
  <si>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</si>
  <si>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</si>
  <si>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</si>
  <si>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</si>
  <si>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</si>
  <si>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</si>
  <si>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</si>
  <si>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</si>
  <si>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</si>
  <si>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</si>
  <si>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</si>
  <si>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</si>
  <si>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</si>
  <si>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</si>
  <si>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</si>
  <si>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</si>
  <si>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</si>
  <si>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</si>
  <si>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</si>
  <si>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</si>
  <si>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</si>
  <si>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</si>
  <si>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</si>
  <si>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</si>
  <si>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</si>
  <si>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</si>
  <si>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</si>
  <si>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</si>
  <si>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</si>
  <si>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</si>
  <si>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</si>
  <si>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</si>
  <si>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</si>
  <si>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</si>
  <si>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</si>
  <si>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</si>
  <si>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</si>
  <si>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</si>
  <si>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</si>
  <si>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</si>
  <si>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</si>
  <si>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</si>
  <si>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</si>
  <si>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</si>
  <si>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</si>
  <si>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</si>
  <si>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</si>
  <si>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</si>
  <si>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</si>
  <si>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</si>
  <si>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</si>
  <si>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</si>
  <si>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</si>
  <si>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</si>
  <si>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</si>
  <si>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</si>
  <si>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</si>
  <si>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</si>
  <si>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</si>
  <si>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</si>
  <si>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</si>
  <si>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</si>
  <si>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</si>
  <si>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</si>
  <si>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</si>
  <si>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</si>
  <si>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</si>
  <si>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</si>
  <si>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</si>
  <si>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</si>
  <si>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</si>
  <si>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</si>
  <si>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</si>
  <si>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</si>
  <si>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</si>
  <si>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</si>
  <si>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</si>
  <si>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</si>
  <si>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</si>
  <si>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</si>
  <si>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</si>
  <si>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</si>
  <si>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</si>
  <si>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</si>
  <si>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</si>
  <si>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</si>
  <si>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</si>
  <si>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</si>
  <si>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</si>
  <si>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</si>
  <si>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</si>
  <si>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</si>
  <si>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</si>
  <si>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</si>
  <si>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</si>
  <si>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</si>
  <si>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</si>
  <si>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</si>
  <si>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</si>
  <si>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</si>
  <si>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</si>
  <si>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</si>
  <si>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</si>
  <si>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</si>
  <si>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</si>
  <si>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</si>
  <si>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</si>
  <si>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</si>
  <si>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</si>
  <si>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</si>
  <si>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</si>
  <si>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</si>
  <si>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</si>
  <si>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</si>
  <si>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</si>
  <si>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</si>
  <si>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</si>
  <si>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</si>
  <si>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</si>
  <si>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</si>
  <si>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</si>
  <si>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</si>
  <si>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</si>
  <si>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</si>
  <si>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</si>
  <si>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</si>
  <si>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</si>
  <si>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</si>
  <si>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</si>
  <si>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</si>
  <si>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</si>
  <si>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</si>
  <si>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</si>
  <si>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</si>
  <si>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</si>
  <si>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</si>
  <si>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</si>
  <si>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</si>
  <si>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</si>
  <si>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</si>
  <si>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</si>
  <si>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</si>
  <si>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</si>
  <si>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</si>
  <si>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</si>
  <si>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</si>
  <si>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</si>
  <si>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C:\Users\cclgulf\Desktop\original\2019-11-16_113458_1963.xls</t>
  </si>
  <si>
    <t>C:\Users\cclgulf\Desktop\original\2019-11-16_113458_1966.xls</t>
  </si>
  <si>
    <t>C:\Users\cclgulf\Desktop\purchase\Purchase temp.xlsx</t>
  </si>
  <si>
    <t>123</t>
  </si>
  <si>
    <t>WSA ABC</t>
  </si>
  <si>
    <t>WSA FAN CELING  X1</t>
  </si>
  <si>
    <t>WSA CASHEW KERNELS 100 G X20   </t>
  </si>
  <si>
    <t>TRS GINGER PWD 400GX10  *offerta*</t>
  </si>
  <si>
    <t>Sup-2</t>
  </si>
  <si>
    <t>Nanak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</si>
</sst>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Verdana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0" fontId="28" fillId="0" borderId="13" xfId="0" applyFont="1" applyBorder="1" applyAlignment="1">
      <alignment horizontal="center"/>
    </xf>
    <xf numFmtId="15" fontId="28" fillId="0" borderId="13" xfId="0" applyNumberFormat="1" applyFont="1" applyBorder="1" applyAlignment="1">
      <alignment horizontal="center"/>
    </xf>
    <xf numFmtId="49" fontId="28" fillId="0" borderId="13" xfId="0" applyNumberFormat="1" applyFont="1" applyBorder="1" applyAlignment="1">
      <alignment horizontal="center"/>
    </xf>
    <xf numFmtId="0" fontId="28" fillId="0" borderId="13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left" vertical="center"/>
    </xf>
    <xf numFmtId="42" fontId="28" fillId="0" borderId="13" xfId="0" applyNumberFormat="1" applyFont="1" applyBorder="1" applyAlignment="1">
      <alignment horizontal="center"/>
    </xf>
    <xf numFmtId="15" fontId="28" fillId="0" borderId="13" xfId="0" applyNumberFormat="1" applyFont="1" applyBorder="1" applyAlignment="1">
      <alignment horizontal="left"/>
    </xf>
    <xf numFmtId="167" fontId="28" fillId="0" borderId="13" xfId="0" applyNumberFormat="1" applyFont="1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CASHEW KERNELS 100 G X20   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537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537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$290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$290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832.805839004628" createdVersion="6" refreshedVersion="6" minRefreshableVersion="3" recordCount="2133" xr:uid="{00000000-000A-0000-FFFF-FFFF00000000}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03-30T00:00:00" maxDate="2020-01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8" maxValue="170"/>
    </cacheField>
    <cacheField name="Value" numFmtId="42">
      <sharedItems containsSemiMixedTypes="0" containsString="0" containsNumber="1" minValue="-335.52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d v="2019-12-28T00:00:00"/>
    <m/>
    <n v="8"/>
    <n v="1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d v="2019-12-28T00:00:00"/>
    <m/>
    <n v="10"/>
    <n v="1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0"/>
    <n v="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d v="2019-12-28T00:00:00"/>
    <m/>
    <n v="2.6666666666666701"/>
    <n v="1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-4"/>
    <n v="-92.16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d v="2019-12-28T00:00:00"/>
    <m/>
    <n v="29"/>
    <n v="2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d v="2019-12-28T00:00:00"/>
    <m/>
    <n v="16"/>
    <n v="2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d v="2019-12-29T00:00:00"/>
    <m/>
    <n v="1"/>
    <n v="1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d v="2019-12-28T00:00:00"/>
    <m/>
    <n v="8"/>
    <n v="10"/>
  </r>
  <r>
    <n v="148"/>
    <s v="AG11"/>
    <s v="AG MIX 1x6"/>
    <m/>
    <x v="0"/>
    <m/>
    <d v="2019-12-28T00:00:00"/>
    <m/>
    <n v="68"/>
    <n v="1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d v="2019-12-28T00:00:00"/>
    <m/>
    <n v="25"/>
    <n v="1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d v="2019-12-28T00:00:00"/>
    <m/>
    <n v="3"/>
    <n v="3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d v="2019-12-29T00:00:00"/>
    <m/>
    <n v="1"/>
    <n v="1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-4"/>
    <n v="-26.160000000000004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-4"/>
    <n v="-37.799999999999997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-4"/>
    <n v="-71.52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d v="2019-12-29T00:00:00"/>
    <m/>
    <n v="0.91666666666666596"/>
    <n v="1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d v="2019-12-28T00:00:00"/>
    <m/>
    <n v="170"/>
    <n v="3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d v="2019-12-29T00:00:00"/>
    <m/>
    <n v="0.5"/>
    <n v="1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-4"/>
    <n v="-335.52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d v="2019-12-28T00:00:00"/>
    <m/>
    <n v="41"/>
    <n v="1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-8"/>
    <n v="-66.239999999999995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-4"/>
    <n v="-34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0"/>
    <n v="0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0"/>
    <n v="0"/>
  </r>
  <r>
    <n v="1289"/>
    <s v="PJ16"/>
    <s v="PJ FACE WASH NEEM &amp;TULSI 60GMX96"/>
    <m/>
    <x v="0"/>
    <m/>
    <s v=""/>
    <m/>
    <n v="0"/>
    <n v="0"/>
  </r>
  <r>
    <n v="1290"/>
    <s v="PJ17"/>
    <s v="PJ FACE WASH ORANGE&amp;ALOVERA 60GMX96"/>
    <m/>
    <x v="0"/>
    <m/>
    <s v=""/>
    <m/>
    <n v="0"/>
    <n v="0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0"/>
    <n v="0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-8"/>
    <n v="-271.68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d v="2019-12-29T00:00:00"/>
    <m/>
    <n v="13"/>
    <n v="1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d v="2019-12-28T00:00:00"/>
    <m/>
    <n v="48"/>
    <n v="10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d v="2020-01-30T00:00:00"/>
    <m/>
    <n v="13"/>
    <n v="1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-4"/>
    <n v="-24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-4"/>
    <n v="-10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d v="2019-03-30T00:00:00"/>
    <m/>
    <n v="12"/>
    <n v="1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d v="2020-01-30T00:00:00"/>
    <m/>
    <n v="20"/>
    <n v="1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-4"/>
    <n v="-108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-4"/>
    <n v="-53.4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-4"/>
    <n v="-56.96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-4"/>
    <n v="-82.56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-4"/>
    <n v="-88.96"/>
  </r>
  <r>
    <n v="1956"/>
    <s v="W131"/>
    <s v="WSA MOONG WHOLE 1KGX15"/>
    <m/>
    <x v="0"/>
    <m/>
    <s v=""/>
    <m/>
    <n v="-4"/>
    <n v="-76.16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-4"/>
    <n v="-95.36"/>
  </r>
  <r>
    <n v="2019"/>
    <s v="W189"/>
    <s v="WSA URID WHOLE 1KGX15"/>
    <m/>
    <x v="0"/>
    <m/>
    <s v=""/>
    <m/>
    <n v="-4"/>
    <n v="-75"/>
  </r>
  <r>
    <n v="2020"/>
    <s v="W19"/>
    <s v="WSA BLACK EYE BEANS 1KGX15  "/>
    <m/>
    <x v="0"/>
    <m/>
    <s v=""/>
    <m/>
    <n v="-4"/>
    <n v="-88.96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d v="2019-12-31T00:00:00"/>
    <m/>
    <n v="3"/>
    <n v="1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-4"/>
    <n v="-65.400000000000006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d v="2019-12-29T00:00:00"/>
    <m/>
    <n v="42"/>
    <n v="1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d v="2019-12-29T00:00:00"/>
    <m/>
    <n v="1"/>
    <n v="1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0"/>
    <n v="0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-4"/>
    <n v="-137.28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-1"/>
    <n v="-17.899999999999999"/>
  </r>
  <r>
    <n v="2125"/>
    <s v="W97"/>
    <s v="WSA KALA CHANA 1KGX15  "/>
    <m/>
    <x v="0"/>
    <m/>
    <s v=""/>
    <m/>
    <n v="-4"/>
    <n v="-59.4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30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2" insertRow="1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134" totalsRowShown="0" headerRowDxfId="11" tableBorderDxfId="10">
  <autoFilter ref="A1:J2134" xr:uid="{00000000-0009-0000-0100-000004000000}"/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3400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866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4260</v>
      </c>
      <c r="Q17" s="95">
        <f>Help!B10</f>
        <v>3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864</v>
      </c>
      <c r="Q19" s="90">
        <f>IFERROR(Help!B14,"")</f>
        <v>43830</v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disablePrompts="1"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N47"/>
  <sheetViews>
    <sheetView topLeftCell="F1" workbookViewId="0">
      <selection activeCell="N1" sqref="N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4" x14ac:dyDescent="0.25">
      <c r="A1" t="s">
        <v>9</v>
      </c>
      <c r="B1" s="1" t="str">
        <f>ROUNDUP(SUM(ProductMaster!$I$2:INDEX(ProductMaster!$I:$I,COUNTA(ProductMaster!$I:$I),0)),0)&amp; " Unit(s)"</f>
        <v>537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4313</v>
      </c>
      <c r="N1" t="s">
        <v>4315</v>
      </c>
    </row>
    <row r="2" spans="1:14" x14ac:dyDescent="0.25">
      <c r="A2" t="s">
        <v>11</v>
      </c>
      <c r="B2" s="8">
        <f>SUM(ProductMaster!$J$2:INDEX(ProductMaster!$J:$J,COUNTA(ProductMaster!$J:$J),0))</f>
        <v>290</v>
      </c>
      <c r="E2" s="11" t="s">
        <v>4255</v>
      </c>
      <c r="F2" s="12">
        <v>439.08333333333337</v>
      </c>
      <c r="H2" t="s">
        <v>4256</v>
      </c>
      <c r="I2" t="s">
        <v>4257</v>
      </c>
      <c r="J2" t="s">
        <v>4258</v>
      </c>
      <c r="K2" t="s">
        <v>4259</v>
      </c>
      <c r="M2" t="s">
        <v>4313</v>
      </c>
    </row>
    <row r="3" spans="1:14" x14ac:dyDescent="0.25">
      <c r="A3" t="s">
        <v>867</v>
      </c>
      <c r="B3" s="9">
        <f ca="1">TODAY()-30</f>
        <v>43802</v>
      </c>
      <c r="E3" s="11" t="s">
        <v>15</v>
      </c>
      <c r="F3" s="12">
        <v>439.08333333333337</v>
      </c>
      <c r="H3" t="s">
        <v>4321</v>
      </c>
      <c r="I3" t="s">
        <v>4322</v>
      </c>
      <c r="M3" t="s">
        <v>4313</v>
      </c>
    </row>
    <row r="4" spans="1:14" x14ac:dyDescent="0.25">
      <c r="A4" t="s">
        <v>868</v>
      </c>
      <c r="B4" s="9">
        <f ca="1">TODAY()</f>
        <v>43832</v>
      </c>
      <c r="M4" t="s">
        <v>4313</v>
      </c>
    </row>
    <row r="5" spans="1:14" x14ac:dyDescent="0.25">
      <c r="A5" t="s">
        <v>12</v>
      </c>
      <c r="B5" s="1" t="str">
        <f ca="1">ROUNDUP(SUMIFS(StockInData[Quantity],StockInData[Date],"&gt;"&amp;Help!B3,StockInData[Date],"&lt;"&amp;Help!B4),0)&amp;" Unit(s)"</f>
        <v>537 Unit(s)</v>
      </c>
      <c r="M5" t="s">
        <v>4314</v>
      </c>
    </row>
    <row r="6" spans="1:14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4" x14ac:dyDescent="0.25">
      <c r="A7" t="s">
        <v>17</v>
      </c>
      <c r="B7" s="13">
        <f>MATCH(Dashboard!K14,ProductMaster!$C$2:INDEX(ProductMaster!$C:$C,COUNTA(ProductMaster!$C:$C),0),0)</f>
        <v>2042</v>
      </c>
    </row>
    <row r="8" spans="1:14" x14ac:dyDescent="0.25">
      <c r="A8" t="s">
        <v>3</v>
      </c>
      <c r="B8" s="69" t="str">
        <f>VLOOKUP(B7,ProductMaster!$A$2:$J$2134,3,0)</f>
        <v xml:space="preserve">WSA CASHEW KERNELS 100 G X20   </v>
      </c>
    </row>
    <row r="9" spans="1:14" x14ac:dyDescent="0.25">
      <c r="A9" t="s">
        <v>8</v>
      </c>
      <c r="B9">
        <f>ROUNDUP(VLOOKUP(B7,ProductMaster!$A$2:$J$2134,8,0),2)</f>
        <v>0</v>
      </c>
    </row>
    <row r="10" spans="1:14" x14ac:dyDescent="0.25">
      <c r="A10" t="s">
        <v>20</v>
      </c>
      <c r="B10">
        <f>ROUNDUP(VLOOKUP(B7,ProductMaster!$A$2:$J$2134,9,0),2)</f>
        <v>3</v>
      </c>
    </row>
    <row r="11" spans="1:14" x14ac:dyDescent="0.25">
      <c r="A11" t="s">
        <v>11</v>
      </c>
      <c r="B11" s="8">
        <f>VLOOKUP(B7,ProductMaster!$A$2:$J$2134,6,0)</f>
        <v>0</v>
      </c>
    </row>
    <row r="12" spans="1:14" x14ac:dyDescent="0.25">
      <c r="A12" t="s">
        <v>18</v>
      </c>
      <c r="B12" t="str">
        <f>"Current Stock is "&amp;B10&amp;" Unit(s). And, Stock Value is "&amp;TEXT(B11,"$0")</f>
        <v>Current Stock is 3 Unit(s). And, Stock Value is $0</v>
      </c>
    </row>
    <row r="13" spans="1:14" x14ac:dyDescent="0.25">
      <c r="A13" t="s">
        <v>19</v>
      </c>
      <c r="B13" t="str">
        <f>B8&amp;"'s"</f>
        <v>WSA CASHEW KERNELS 100 G X20   's</v>
      </c>
    </row>
    <row r="14" spans="1:14" x14ac:dyDescent="0.25">
      <c r="A14" t="s">
        <v>863</v>
      </c>
      <c r="B14" s="30">
        <f>VLOOKUP(B7,ProductMaster!$A$2:$J$2134,7,0)</f>
        <v>43830</v>
      </c>
    </row>
    <row r="15" spans="1:14" x14ac:dyDescent="0.25">
      <c r="A15" t="str">
        <f>IF(B10&gt;B9,"Relax! Stock Is Above Re-Order Level.","Order NOW!")</f>
        <v>Relax! Stock Is Above Re-Order Level.</v>
      </c>
    </row>
    <row r="16" spans="1:14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30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F28" sqref="F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2</v>
      </c>
      <c r="B2" s="28">
        <v>43830</v>
      </c>
      <c r="C2" s="77" t="s">
        <v>4316</v>
      </c>
      <c r="D2" s="46" t="s">
        <v>4317</v>
      </c>
      <c r="E2" s="25" t="s">
        <v>2911</v>
      </c>
      <c r="F2" s="26" t="s">
        <v>2912</v>
      </c>
      <c r="G2" s="25"/>
      <c r="H2" s="25"/>
      <c r="I2" s="75">
        <v>43554</v>
      </c>
      <c r="J2" s="27">
        <v>12</v>
      </c>
      <c r="K2" s="76">
        <v>10</v>
      </c>
      <c r="O2" s="30"/>
    </row>
    <row r="3" spans="1:15" x14ac:dyDescent="0.25">
      <c r="A3" s="97">
        <v>3</v>
      </c>
      <c r="B3" s="98">
        <v>43830</v>
      </c>
      <c r="C3" s="99" t="s">
        <v>4316</v>
      </c>
      <c r="D3" s="103" t="s">
        <v>4317</v>
      </c>
      <c r="E3" s="100" t="s">
        <v>813</v>
      </c>
      <c r="F3" s="101" t="s">
        <v>814</v>
      </c>
      <c r="G3" s="100"/>
      <c r="H3" s="100"/>
      <c r="I3" s="104">
        <v>43827</v>
      </c>
      <c r="J3" s="97">
        <v>14</v>
      </c>
      <c r="K3" s="102">
        <v>10</v>
      </c>
    </row>
    <row r="4" spans="1:15" x14ac:dyDescent="0.25">
      <c r="A4" s="97">
        <v>4</v>
      </c>
      <c r="B4" s="98">
        <v>43830</v>
      </c>
      <c r="C4" s="99" t="s">
        <v>4316</v>
      </c>
      <c r="D4" s="103" t="s">
        <v>4317</v>
      </c>
      <c r="E4" s="100" t="s">
        <v>128</v>
      </c>
      <c r="F4" s="101" t="s">
        <v>129</v>
      </c>
      <c r="G4" s="100"/>
      <c r="H4" s="100"/>
      <c r="I4" s="104">
        <v>43827</v>
      </c>
      <c r="J4" s="97">
        <v>41</v>
      </c>
      <c r="K4" s="102">
        <v>10</v>
      </c>
    </row>
    <row r="5" spans="1:15" x14ac:dyDescent="0.25">
      <c r="A5" s="97">
        <v>5</v>
      </c>
      <c r="B5" s="98">
        <v>43830</v>
      </c>
      <c r="C5" s="99" t="s">
        <v>4316</v>
      </c>
      <c r="D5" s="103" t="s">
        <v>4317</v>
      </c>
      <c r="E5" s="100" t="s">
        <v>21</v>
      </c>
      <c r="F5" s="101" t="s">
        <v>22</v>
      </c>
      <c r="G5" s="100"/>
      <c r="H5" s="100"/>
      <c r="I5" s="104">
        <v>43827</v>
      </c>
      <c r="J5" s="97">
        <v>1</v>
      </c>
      <c r="K5" s="102">
        <v>10</v>
      </c>
    </row>
    <row r="6" spans="1:15" x14ac:dyDescent="0.25">
      <c r="A6" s="97">
        <v>6</v>
      </c>
      <c r="B6" s="98">
        <v>43830</v>
      </c>
      <c r="C6" s="99" t="s">
        <v>4316</v>
      </c>
      <c r="D6" s="103" t="s">
        <v>4317</v>
      </c>
      <c r="E6" s="100" t="s">
        <v>21</v>
      </c>
      <c r="F6" s="101" t="s">
        <v>22</v>
      </c>
      <c r="G6" s="100"/>
      <c r="H6" s="100"/>
      <c r="I6" s="104">
        <v>43827</v>
      </c>
      <c r="J6" s="97">
        <v>1</v>
      </c>
      <c r="K6" s="102">
        <v>10</v>
      </c>
    </row>
    <row r="7" spans="1:15" x14ac:dyDescent="0.25">
      <c r="A7" s="97">
        <v>7</v>
      </c>
      <c r="B7" s="98">
        <v>43830</v>
      </c>
      <c r="C7" s="99" t="s">
        <v>4316</v>
      </c>
      <c r="D7" s="103" t="s">
        <v>4317</v>
      </c>
      <c r="E7" s="100" t="s">
        <v>2583</v>
      </c>
      <c r="F7" s="101" t="s">
        <v>2584</v>
      </c>
      <c r="G7" s="100"/>
      <c r="H7" s="100"/>
      <c r="I7" s="104">
        <v>43827</v>
      </c>
      <c r="J7" s="97">
        <v>48</v>
      </c>
      <c r="K7" s="102">
        <v>10</v>
      </c>
    </row>
    <row r="8" spans="1:15" x14ac:dyDescent="0.25">
      <c r="A8" s="97">
        <v>8</v>
      </c>
      <c r="B8" s="98">
        <v>43830</v>
      </c>
      <c r="C8" s="99" t="s">
        <v>4316</v>
      </c>
      <c r="D8" s="103" t="s">
        <v>4317</v>
      </c>
      <c r="E8" s="100" t="s">
        <v>1470</v>
      </c>
      <c r="F8" s="101" t="s">
        <v>1471</v>
      </c>
      <c r="G8" s="100"/>
      <c r="H8" s="100"/>
      <c r="I8" s="104">
        <v>43827</v>
      </c>
      <c r="J8" s="97">
        <v>14</v>
      </c>
      <c r="K8" s="102">
        <v>10</v>
      </c>
    </row>
    <row r="9" spans="1:15" x14ac:dyDescent="0.25">
      <c r="A9" s="97">
        <v>9</v>
      </c>
      <c r="B9" s="98">
        <v>43830</v>
      </c>
      <c r="C9" s="99" t="s">
        <v>4316</v>
      </c>
      <c r="D9" s="103" t="s">
        <v>4317</v>
      </c>
      <c r="E9" s="100" t="s">
        <v>3868</v>
      </c>
      <c r="F9" s="101" t="s">
        <v>3869</v>
      </c>
      <c r="G9" s="100"/>
      <c r="H9" s="100"/>
      <c r="I9" s="104">
        <v>43827</v>
      </c>
      <c r="J9" s="97">
        <v>41</v>
      </c>
      <c r="K9" s="102">
        <v>10</v>
      </c>
    </row>
    <row r="10" spans="1:15" x14ac:dyDescent="0.25">
      <c r="A10" s="97">
        <v>10</v>
      </c>
      <c r="B10" s="98">
        <v>43830</v>
      </c>
      <c r="C10" s="99" t="s">
        <v>4316</v>
      </c>
      <c r="D10" s="103" t="s">
        <v>4317</v>
      </c>
      <c r="E10" s="100" t="s">
        <v>121</v>
      </c>
      <c r="F10" s="101" t="s">
        <v>122</v>
      </c>
      <c r="G10" s="100"/>
      <c r="H10" s="100"/>
      <c r="I10" s="104">
        <v>43827</v>
      </c>
      <c r="J10" s="97">
        <v>8</v>
      </c>
      <c r="K10" s="102">
        <v>10</v>
      </c>
    </row>
    <row r="11" spans="1:15" x14ac:dyDescent="0.25">
      <c r="A11" s="97">
        <v>11</v>
      </c>
      <c r="B11" s="98">
        <v>43830</v>
      </c>
      <c r="C11" s="99" t="s">
        <v>4316</v>
      </c>
      <c r="D11" s="103" t="s">
        <v>4317</v>
      </c>
      <c r="E11" s="100" t="s">
        <v>128</v>
      </c>
      <c r="F11" s="101" t="s">
        <v>129</v>
      </c>
      <c r="G11" s="100"/>
      <c r="H11" s="100"/>
      <c r="I11" s="104">
        <v>43827</v>
      </c>
      <c r="J11" s="97">
        <v>98</v>
      </c>
      <c r="K11" s="102">
        <v>10</v>
      </c>
    </row>
    <row r="12" spans="1:15" x14ac:dyDescent="0.25">
      <c r="A12" s="97">
        <v>12</v>
      </c>
      <c r="B12" s="98">
        <v>43830</v>
      </c>
      <c r="C12" s="99" t="s">
        <v>4316</v>
      </c>
      <c r="D12" s="103" t="s">
        <v>4317</v>
      </c>
      <c r="E12" s="100" t="s">
        <v>128</v>
      </c>
      <c r="F12" s="101" t="s">
        <v>129</v>
      </c>
      <c r="G12" s="100"/>
      <c r="H12" s="100"/>
      <c r="I12" s="104">
        <v>43827</v>
      </c>
      <c r="J12" s="97">
        <v>31</v>
      </c>
      <c r="K12" s="102">
        <v>10</v>
      </c>
    </row>
    <row r="13" spans="1:15" x14ac:dyDescent="0.25">
      <c r="A13" s="97">
        <v>13</v>
      </c>
      <c r="B13" s="98">
        <v>43830</v>
      </c>
      <c r="C13" s="99" t="s">
        <v>4316</v>
      </c>
      <c r="D13" s="103" t="s">
        <v>4317</v>
      </c>
      <c r="E13" s="100" t="s">
        <v>555</v>
      </c>
      <c r="F13" s="101" t="s">
        <v>556</v>
      </c>
      <c r="G13" s="100"/>
      <c r="H13" s="100"/>
      <c r="I13" s="104">
        <v>43827</v>
      </c>
      <c r="J13" s="97">
        <v>2.6666666666666701</v>
      </c>
      <c r="K13" s="102">
        <v>10</v>
      </c>
    </row>
    <row r="14" spans="1:15" x14ac:dyDescent="0.25">
      <c r="A14" s="97">
        <v>14</v>
      </c>
      <c r="B14" s="98">
        <v>43830</v>
      </c>
      <c r="C14" s="99" t="s">
        <v>4316</v>
      </c>
      <c r="D14" s="103" t="s">
        <v>4317</v>
      </c>
      <c r="E14" s="100" t="s">
        <v>1229</v>
      </c>
      <c r="F14" s="101" t="s">
        <v>1230</v>
      </c>
      <c r="G14" s="100"/>
      <c r="H14" s="100"/>
      <c r="I14" s="104">
        <v>43827</v>
      </c>
      <c r="J14" s="97">
        <v>10</v>
      </c>
      <c r="K14" s="102">
        <v>10</v>
      </c>
    </row>
    <row r="15" spans="1:15" x14ac:dyDescent="0.25">
      <c r="A15" s="97">
        <v>15</v>
      </c>
      <c r="B15" s="98">
        <v>43830</v>
      </c>
      <c r="C15" s="99" t="s">
        <v>4316</v>
      </c>
      <c r="D15" s="103" t="s">
        <v>4317</v>
      </c>
      <c r="E15" s="100" t="s">
        <v>998</v>
      </c>
      <c r="F15" s="101" t="s">
        <v>999</v>
      </c>
      <c r="G15" s="100"/>
      <c r="H15" s="100"/>
      <c r="I15" s="104">
        <v>43827</v>
      </c>
      <c r="J15" s="97">
        <v>68</v>
      </c>
      <c r="K15" s="102">
        <v>10</v>
      </c>
    </row>
    <row r="16" spans="1:15" x14ac:dyDescent="0.25">
      <c r="A16" s="97">
        <v>16</v>
      </c>
      <c r="B16" s="98">
        <v>43830</v>
      </c>
      <c r="C16" s="99" t="s">
        <v>4316</v>
      </c>
      <c r="D16" s="103" t="s">
        <v>4317</v>
      </c>
      <c r="E16" s="100" t="s">
        <v>996</v>
      </c>
      <c r="F16" s="101" t="s">
        <v>997</v>
      </c>
      <c r="G16" s="100"/>
      <c r="H16" s="100"/>
      <c r="I16" s="104">
        <v>43827</v>
      </c>
      <c r="J16" s="97">
        <v>8</v>
      </c>
      <c r="K16" s="102">
        <v>10</v>
      </c>
    </row>
    <row r="17" spans="1:11" x14ac:dyDescent="0.25">
      <c r="A17" s="97">
        <v>17</v>
      </c>
      <c r="B17" s="98">
        <v>43830</v>
      </c>
      <c r="C17" s="99" t="s">
        <v>4316</v>
      </c>
      <c r="D17" s="103" t="s">
        <v>4317</v>
      </c>
      <c r="E17" s="100" t="s">
        <v>1026</v>
      </c>
      <c r="F17" s="101" t="s">
        <v>1027</v>
      </c>
      <c r="G17" s="100"/>
      <c r="H17" s="100"/>
      <c r="I17" s="104">
        <v>43827</v>
      </c>
      <c r="J17" s="97">
        <v>25</v>
      </c>
      <c r="K17" s="102">
        <v>10</v>
      </c>
    </row>
    <row r="18" spans="1:11" x14ac:dyDescent="0.25">
      <c r="A18" s="97">
        <v>18</v>
      </c>
      <c r="B18" s="98">
        <v>43830</v>
      </c>
      <c r="C18" s="99" t="s">
        <v>4316</v>
      </c>
      <c r="D18" s="103" t="s">
        <v>4317</v>
      </c>
      <c r="E18" s="100" t="s">
        <v>27</v>
      </c>
      <c r="F18" s="101" t="s">
        <v>28</v>
      </c>
      <c r="G18" s="100"/>
      <c r="H18" s="100"/>
      <c r="I18" s="104">
        <v>43828</v>
      </c>
      <c r="J18" s="97">
        <v>1</v>
      </c>
      <c r="K18" s="102">
        <v>10</v>
      </c>
    </row>
    <row r="19" spans="1:11" x14ac:dyDescent="0.25">
      <c r="A19" s="97">
        <v>19</v>
      </c>
      <c r="B19" s="98">
        <v>43830</v>
      </c>
      <c r="C19" s="99" t="s">
        <v>4316</v>
      </c>
      <c r="D19" s="103" t="s">
        <v>4317</v>
      </c>
      <c r="E19" s="100" t="s">
        <v>21</v>
      </c>
      <c r="F19" s="101" t="s">
        <v>22</v>
      </c>
      <c r="G19" s="100"/>
      <c r="H19" s="100"/>
      <c r="I19" s="104">
        <v>43828</v>
      </c>
      <c r="J19" s="97">
        <v>1</v>
      </c>
      <c r="K19" s="102">
        <v>10</v>
      </c>
    </row>
    <row r="20" spans="1:11" x14ac:dyDescent="0.25">
      <c r="A20" s="97">
        <v>20</v>
      </c>
      <c r="B20" s="98">
        <v>43830</v>
      </c>
      <c r="C20" s="99" t="s">
        <v>4316</v>
      </c>
      <c r="D20" s="103" t="s">
        <v>4317</v>
      </c>
      <c r="E20" s="100" t="s">
        <v>370</v>
      </c>
      <c r="F20" s="101" t="s">
        <v>371</v>
      </c>
      <c r="G20" s="100"/>
      <c r="H20" s="100"/>
      <c r="I20" s="104">
        <v>43828</v>
      </c>
      <c r="J20" s="97">
        <v>0.5</v>
      </c>
      <c r="K20" s="102">
        <v>10</v>
      </c>
    </row>
    <row r="21" spans="1:11" x14ac:dyDescent="0.25">
      <c r="A21" s="97">
        <v>21</v>
      </c>
      <c r="B21" s="98">
        <v>43830</v>
      </c>
      <c r="C21" s="99" t="s">
        <v>4316</v>
      </c>
      <c r="D21" s="103" t="s">
        <v>4317</v>
      </c>
      <c r="E21" s="100" t="s">
        <v>71</v>
      </c>
      <c r="F21" s="101" t="s">
        <v>72</v>
      </c>
      <c r="G21" s="100"/>
      <c r="H21" s="100"/>
      <c r="I21" s="104">
        <v>43828</v>
      </c>
      <c r="J21" s="97">
        <v>0.91666666666666596</v>
      </c>
      <c r="K21" s="102">
        <v>10</v>
      </c>
    </row>
    <row r="22" spans="1:11" x14ac:dyDescent="0.25">
      <c r="A22" s="97">
        <v>22</v>
      </c>
      <c r="B22" s="98">
        <v>43830</v>
      </c>
      <c r="C22" s="99" t="s">
        <v>4316</v>
      </c>
      <c r="D22" s="103" t="s">
        <v>4317</v>
      </c>
      <c r="E22" s="100" t="s">
        <v>2214</v>
      </c>
      <c r="F22" s="101" t="s">
        <v>4266</v>
      </c>
      <c r="G22" s="100"/>
      <c r="H22" s="100"/>
      <c r="I22" s="104">
        <v>43828</v>
      </c>
      <c r="J22" s="97">
        <v>1</v>
      </c>
      <c r="K22" s="102">
        <v>10</v>
      </c>
    </row>
    <row r="23" spans="1:11" x14ac:dyDescent="0.25">
      <c r="A23" s="97">
        <v>23</v>
      </c>
      <c r="B23" s="98">
        <v>43830</v>
      </c>
      <c r="C23" s="99" t="s">
        <v>4316</v>
      </c>
      <c r="D23" s="103" t="s">
        <v>4317</v>
      </c>
      <c r="E23" s="100" t="s">
        <v>3481</v>
      </c>
      <c r="F23" s="101" t="s">
        <v>3482</v>
      </c>
      <c r="G23" s="100"/>
      <c r="H23" s="100"/>
      <c r="I23" s="104">
        <v>43828</v>
      </c>
      <c r="J23" s="97">
        <v>1</v>
      </c>
      <c r="K23" s="102">
        <v>10</v>
      </c>
    </row>
    <row r="24" spans="1:11" x14ac:dyDescent="0.25">
      <c r="A24" s="97">
        <v>24</v>
      </c>
      <c r="B24" s="98">
        <v>43830</v>
      </c>
      <c r="C24" s="99" t="s">
        <v>4316</v>
      </c>
      <c r="D24" s="103" t="s">
        <v>4317</v>
      </c>
      <c r="E24" s="100" t="s">
        <v>813</v>
      </c>
      <c r="F24" s="101" t="s">
        <v>814</v>
      </c>
      <c r="G24" s="100"/>
      <c r="H24" s="100"/>
      <c r="I24" s="104">
        <v>43828</v>
      </c>
      <c r="J24" s="97">
        <v>15</v>
      </c>
      <c r="K24" s="102">
        <v>10</v>
      </c>
    </row>
    <row r="25" spans="1:11" x14ac:dyDescent="0.25">
      <c r="A25" s="97">
        <v>25</v>
      </c>
      <c r="B25" s="98">
        <v>43830</v>
      </c>
      <c r="C25" s="99" t="s">
        <v>4316</v>
      </c>
      <c r="D25" s="103" t="s">
        <v>4317</v>
      </c>
      <c r="E25" s="100" t="s">
        <v>2597</v>
      </c>
      <c r="F25" s="101" t="s">
        <v>2598</v>
      </c>
      <c r="G25" s="100"/>
      <c r="H25" s="100"/>
      <c r="I25" s="104">
        <v>43828</v>
      </c>
      <c r="J25" s="97">
        <v>13</v>
      </c>
      <c r="K25" s="102">
        <v>10</v>
      </c>
    </row>
    <row r="26" spans="1:11" x14ac:dyDescent="0.25">
      <c r="A26" s="97">
        <v>26</v>
      </c>
      <c r="B26" s="98">
        <v>43830</v>
      </c>
      <c r="C26" s="99" t="s">
        <v>4316</v>
      </c>
      <c r="D26" s="103" t="s">
        <v>4317</v>
      </c>
      <c r="E26" s="100" t="s">
        <v>1470</v>
      </c>
      <c r="F26" s="101" t="s">
        <v>1471</v>
      </c>
      <c r="G26" s="100"/>
      <c r="H26" s="100"/>
      <c r="I26" s="104">
        <v>43828</v>
      </c>
      <c r="J26" s="97">
        <v>2</v>
      </c>
      <c r="K26" s="102">
        <v>10</v>
      </c>
    </row>
    <row r="27" spans="1:11" x14ac:dyDescent="0.25">
      <c r="A27" s="97">
        <v>27</v>
      </c>
      <c r="B27" s="98">
        <v>43830</v>
      </c>
      <c r="C27" s="99" t="s">
        <v>4316</v>
      </c>
      <c r="D27" s="103" t="s">
        <v>4317</v>
      </c>
      <c r="E27" s="100" t="s">
        <v>3471</v>
      </c>
      <c r="F27" s="101" t="s">
        <v>4318</v>
      </c>
      <c r="G27" s="100"/>
      <c r="H27" s="100"/>
      <c r="I27" s="104">
        <v>43828</v>
      </c>
      <c r="J27" s="97">
        <v>42</v>
      </c>
      <c r="K27" s="102">
        <v>10</v>
      </c>
    </row>
    <row r="28" spans="1:11" x14ac:dyDescent="0.25">
      <c r="A28" s="97">
        <v>28</v>
      </c>
      <c r="B28" s="98">
        <v>43830</v>
      </c>
      <c r="C28" s="99" t="s">
        <v>4316</v>
      </c>
      <c r="D28" s="103" t="s">
        <v>4317</v>
      </c>
      <c r="E28" s="100" t="s">
        <v>3399</v>
      </c>
      <c r="F28" s="101" t="s">
        <v>4319</v>
      </c>
      <c r="G28" s="100"/>
      <c r="H28" s="100"/>
      <c r="I28" s="104">
        <v>43830</v>
      </c>
      <c r="J28" s="97">
        <v>3</v>
      </c>
      <c r="K28" s="102">
        <v>10</v>
      </c>
    </row>
    <row r="29" spans="1:11" x14ac:dyDescent="0.25">
      <c r="A29" s="97">
        <v>29</v>
      </c>
      <c r="B29" s="98">
        <v>43830</v>
      </c>
      <c r="C29" s="99" t="s">
        <v>4316</v>
      </c>
      <c r="D29" s="103" t="s">
        <v>4317</v>
      </c>
      <c r="E29" s="100" t="s">
        <v>3032</v>
      </c>
      <c r="F29" s="101" t="s">
        <v>3033</v>
      </c>
      <c r="G29" s="100"/>
      <c r="H29" s="100"/>
      <c r="I29" s="104">
        <v>43860</v>
      </c>
      <c r="J29" s="97">
        <v>13</v>
      </c>
      <c r="K29" s="102">
        <v>10</v>
      </c>
    </row>
    <row r="30" spans="1:11" x14ac:dyDescent="0.25">
      <c r="A30" s="97">
        <v>30</v>
      </c>
      <c r="B30" s="98">
        <v>43830</v>
      </c>
      <c r="C30" s="99" t="s">
        <v>4316</v>
      </c>
      <c r="D30" s="103" t="s">
        <v>4317</v>
      </c>
      <c r="E30" s="100" t="s">
        <v>2945</v>
      </c>
      <c r="F30" s="101" t="s">
        <v>4320</v>
      </c>
      <c r="G30" s="100"/>
      <c r="H30" s="100"/>
      <c r="I30" s="104">
        <v>43860</v>
      </c>
      <c r="J30" s="97">
        <v>20</v>
      </c>
      <c r="K30" s="102">
        <v>10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"/>
  <sheetViews>
    <sheetView showGridLines="0" tabSelected="1" workbookViewId="0">
      <pane xSplit="10" ySplit="2" topLeftCell="K78" activePane="bottomRight" state="frozen"/>
      <selection pane="topRight" activeCell="I1" sqref="I1"/>
      <selection pane="bottomLeft" activeCell="A4" sqref="A4"/>
      <selection pane="bottomRight" activeCell="F84" sqref="F8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7"/>
      <c r="D2" s="77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134"/>
  <sheetViews>
    <sheetView showGridLines="0" workbookViewId="0">
      <pane xSplit="10" ySplit="3" topLeftCell="K1016" activePane="bottomRight" state="frozen"/>
      <selection pane="topRight" activeCell="K1" sqref="K1"/>
      <selection pane="bottomLeft" activeCell="A4" sqref="A4"/>
      <selection pane="bottomRight" activeCell="G994" sqref="G99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IFERROR(INDEX(StockInData[Expiry],MATCH(ProductMaster[[#This Row],[Product ID]],StockInData[Product ID],0)),"")</f>
        <v>43827</v>
      </c>
      <c r="H29" s="61"/>
      <c r="I29" s="61">
        <f>SUMIFS(StockInData[Quantity],StockInData[Product ID],ProductMaster!$B29)-SUMIFS(StockOutData[Quantity],StockOutData[Product ID],ProductMaster!$B29)</f>
        <v>8</v>
      </c>
      <c r="J29" s="64">
        <f>SUMIFS(StockInData[Value],StockInData[Product ID],ProductMaster!$B29)-SUMIFS(StockOutData[Value],StockOutData[Product ID],ProductMaster!$B29)</f>
        <v>10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IFERROR(INDEX(StockInData[Expiry],MATCH(ProductMaster[[#This Row],[Product ID]],StockInData[Product ID],0)),"")</f>
        <v>43827</v>
      </c>
      <c r="H47" s="61"/>
      <c r="I47" s="61">
        <f>SUMIFS(StockInData[Quantity],StockInData[Product ID],ProductMaster!$B47)-SUMIFS(StockOutData[Quantity],StockOutData[Product ID],ProductMaster!$B47)</f>
        <v>10</v>
      </c>
      <c r="J47" s="64">
        <f>SUMIFS(StockInData[Value],StockInData[Product ID],ProductMaster!$B47)-SUMIFS(StockOutData[Value],StockOutData[Product ID],ProductMaster!$B47)</f>
        <v>10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IFERROR(INDEX(StockInData[Expiry],MATCH(ProductMaster[[#This Row],[Product ID]],StockInData[Product ID],0)),"")</f>
        <v>43827</v>
      </c>
      <c r="H85" s="61"/>
      <c r="I85" s="61">
        <f>SUMIFS(StockInData[Quantity],StockInData[Product ID],ProductMaster!$B85)-SUMIFS(StockOutData[Quantity],StockOutData[Product ID],ProductMaster!$B85)</f>
        <v>2.6666666666666701</v>
      </c>
      <c r="J85" s="64">
        <f>SUMIFS(StockInData[Value],StockInData[Product ID],ProductMaster!$B85)-SUMIFS(StockOutData[Value],StockOutData[Product ID],ProductMaster!$B85)</f>
        <v>10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0</v>
      </c>
      <c r="J105" s="64">
        <f>SUMIFS(StockInData[Value],StockInData[Product ID],ProductMaster!$B105)-SUMIFS(StockOutData[Value],StockOutData[Product ID],ProductMaster!$B105)</f>
        <v>0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IFERROR(INDEX(StockInData[Expiry],MATCH(ProductMaster[[#This Row],[Product ID]],StockInData[Product ID],0)),"")</f>
        <v>43827</v>
      </c>
      <c r="H128" s="61"/>
      <c r="I128" s="61">
        <f>SUMIFS(StockInData[Quantity],StockInData[Product ID],ProductMaster!$B128)-SUMIFS(StockOutData[Quantity],StockOutData[Product ID],ProductMaster!$B128)</f>
        <v>29</v>
      </c>
      <c r="J128" s="64">
        <f>SUMIFS(StockInData[Value],StockInData[Product ID],ProductMaster!$B128)-SUMIFS(StockOutData[Value],StockOutData[Product ID],ProductMaster!$B128)</f>
        <v>20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IFERROR(INDEX(StockInData[Expiry],MATCH(ProductMaster[[#This Row],[Product ID]],StockInData[Product ID],0)),"")</f>
        <v>43827</v>
      </c>
      <c r="H132" s="61"/>
      <c r="I132" s="61">
        <f>SUMIFS(StockInData[Quantity],StockInData[Product ID],ProductMaster!$B132)-SUMIFS(StockOutData[Quantity],StockOutData[Product ID],ProductMaster!$B132)</f>
        <v>16</v>
      </c>
      <c r="J132" s="64">
        <f>SUMIFS(StockInData[Value],StockInData[Product ID],ProductMaster!$B132)-SUMIFS(StockOutData[Value],StockOutData[Product ID],ProductMaster!$B132)</f>
        <v>20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IFERROR(INDEX(StockInData[Expiry],MATCH(ProductMaster[[#This Row],[Product ID]],StockInData[Product ID],0)),"")</f>
        <v>43828</v>
      </c>
      <c r="H135" s="61"/>
      <c r="I135" s="61">
        <f>SUMIFS(StockInData[Quantity],StockInData[Product ID],ProductMaster!$B135)-SUMIFS(StockOutData[Quantity],StockOutData[Product ID],ProductMaster!$B135)</f>
        <v>1</v>
      </c>
      <c r="J135" s="64">
        <f>SUMIFS(StockInData[Value],StockInData[Product ID],ProductMaster!$B135)-SUMIFS(StockOutData[Value],StockOutData[Product ID],ProductMaster!$B135)</f>
        <v>10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IFERROR(INDEX(StockInData[Expiry],MATCH(ProductMaster[[#This Row],[Product ID]],StockInData[Product ID],0)),"")</f>
        <v>43827</v>
      </c>
      <c r="H148" s="61"/>
      <c r="I148" s="61">
        <f>SUMIFS(StockInData[Quantity],StockInData[Product ID],ProductMaster!$B148)-SUMIFS(StockOutData[Quantity],StockOutData[Product ID],ProductMaster!$B148)</f>
        <v>8</v>
      </c>
      <c r="J148" s="64">
        <f>SUMIFS(StockInData[Value],StockInData[Product ID],ProductMaster!$B148)-SUMIFS(StockOutData[Value],StockOutData[Product ID],ProductMaster!$B148)</f>
        <v>10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IFERROR(INDEX(StockInData[Expiry],MATCH(ProductMaster[[#This Row],[Product ID]],StockInData[Product ID],0)),"")</f>
        <v>43827</v>
      </c>
      <c r="H149" s="61"/>
      <c r="I149" s="61">
        <f>SUMIFS(StockInData[Quantity],StockInData[Product ID],ProductMaster!$B149)-SUMIFS(StockOutData[Quantity],StockOutData[Product ID],ProductMaster!$B149)</f>
        <v>68</v>
      </c>
      <c r="J149" s="64">
        <f>SUMIFS(StockInData[Value],StockInData[Product ID],ProductMaster!$B149)-SUMIFS(StockOutData[Value],StockOutData[Product ID],ProductMaster!$B149)</f>
        <v>10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IFERROR(INDEX(StockInData[Expiry],MATCH(ProductMaster[[#This Row],[Product ID]],StockInData[Product ID],0)),"")</f>
        <v>43827</v>
      </c>
      <c r="H162" s="61"/>
      <c r="I162" s="61">
        <f>SUMIFS(StockInData[Quantity],StockInData[Product ID],ProductMaster!$B162)-SUMIFS(StockOutData[Quantity],StockOutData[Product ID],ProductMaster!$B162)</f>
        <v>25</v>
      </c>
      <c r="J162" s="64">
        <f>SUMIFS(StockInData[Value],StockInData[Product ID],ProductMaster!$B162)-SUMIFS(StockOutData[Value],StockOutData[Product ID],ProductMaster!$B162)</f>
        <v>10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IFERROR(INDEX(StockInData[Expiry],MATCH(ProductMaster[[#This Row],[Product ID]],StockInData[Product ID],0)),"")</f>
        <v>43827</v>
      </c>
      <c r="H196" s="61"/>
      <c r="I196" s="61">
        <f>SUMIFS(StockInData[Quantity],StockInData[Product ID],ProductMaster!$B196)-SUMIFS(StockOutData[Quantity],StockOutData[Product ID],ProductMaster!$B196)</f>
        <v>3</v>
      </c>
      <c r="J196" s="64">
        <f>SUMIFS(StockInData[Value],StockInData[Product ID],ProductMaster!$B196)-SUMIFS(StockOutData[Value],StockOutData[Product ID],ProductMaster!$B196)</f>
        <v>30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IFERROR(INDEX(StockInData[Expiry],MATCH(ProductMaster[[#This Row],[Product ID]],StockInData[Product ID],0)),"")</f>
        <v>43828</v>
      </c>
      <c r="H224" s="61"/>
      <c r="I224" s="61">
        <f>SUMIFS(StockInData[Quantity],StockInData[Product ID],ProductMaster!$B224)-SUMIFS(StockOutData[Quantity],StockOutData[Product ID],ProductMaster!$B224)</f>
        <v>1</v>
      </c>
      <c r="J224" s="64">
        <f>SUMIFS(StockInData[Value],StockInData[Product ID],ProductMaster!$B224)-SUMIFS(StockOutData[Value],StockOutData[Product ID],ProductMaster!$B224)</f>
        <v>10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IFERROR(INDEX(StockInData[Expiry],MATCH(ProductMaster[[#This Row],[Product ID]],StockInData[Product ID],0)),"")</f>
        <v>43828</v>
      </c>
      <c r="H304" s="61"/>
      <c r="I304" s="61">
        <f>SUMIFS(StockInData[Quantity],StockInData[Product ID],ProductMaster!$B304)-SUMIFS(StockOutData[Quantity],StockOutData[Product ID],ProductMaster!$B304)</f>
        <v>0.91666666666666596</v>
      </c>
      <c r="J304" s="64">
        <f>SUMIFS(StockInData[Value],StockInData[Product ID],ProductMaster!$B304)-SUMIFS(StockOutData[Value],StockOutData[Product ID],ProductMaster!$B304)</f>
        <v>10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IFERROR(INDEX(StockInData[Expiry],MATCH(ProductMaster[[#This Row],[Product ID]],StockInData[Product ID],0)),"")</f>
        <v>43827</v>
      </c>
      <c r="H336" s="61"/>
      <c r="I336" s="61">
        <f>SUMIFS(StockInData[Quantity],StockInData[Product ID],ProductMaster!$B336)-SUMIFS(StockOutData[Quantity],StockOutData[Product ID],ProductMaster!$B336)</f>
        <v>170</v>
      </c>
      <c r="J336" s="64">
        <f>SUMIFS(StockInData[Value],StockInData[Product ID],ProductMaster!$B336)-SUMIFS(StockOutData[Value],StockOutData[Product ID],ProductMaster!$B336)</f>
        <v>30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IFERROR(INDEX(StockInData[Expiry],MATCH(ProductMaster[[#This Row],[Product ID]],StockInData[Product ID],0)),"")</f>
        <v>43828</v>
      </c>
      <c r="H573" s="61"/>
      <c r="I573" s="61">
        <f>SUMIFS(StockInData[Quantity],StockInData[Product ID],ProductMaster!$B573)-SUMIFS(StockOutData[Quantity],StockOutData[Product ID],ProductMaster!$B573)</f>
        <v>0.5</v>
      </c>
      <c r="J573" s="64">
        <f>SUMIFS(StockInData[Value],StockInData[Product ID],ProductMaster!$B573)-SUMIFS(StockOutData[Value],StockOutData[Product ID],ProductMaster!$B573)</f>
        <v>10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IFERROR(INDEX(StockInData[Expiry],MATCH(ProductMaster[[#This Row],[Product ID]],StockInData[Product ID],0)),"")</f>
        <v>43827</v>
      </c>
      <c r="H902" s="61"/>
      <c r="I902" s="61">
        <f>SUMIFS(StockInData[Quantity],StockInData[Product ID],ProductMaster!$B902)-SUMIFS(StockOutData[Quantity],StockOutData[Product ID],ProductMaster!$B902)</f>
        <v>41</v>
      </c>
      <c r="J902" s="64">
        <f>SUMIFS(StockInData[Value],StockInData[Product ID],ProductMaster!$B902)-SUMIFS(StockOutData[Value],StockOutData[Product ID],ProductMaster!$B902)</f>
        <v>10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0</v>
      </c>
      <c r="J988" s="64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0</v>
      </c>
      <c r="J1368" s="64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IFERROR(INDEX(StockInData[Expiry],MATCH(ProductMaster[[#This Row],[Product ID]],StockInData[Product ID],0)),"")</f>
        <v>43828</v>
      </c>
      <c r="H1543" s="61"/>
      <c r="I1543" s="61">
        <f>SUMIFS(StockInData[Quantity],StockInData[Product ID],ProductMaster!$B1543)-SUMIFS(StockOutData[Quantity],StockOutData[Product ID],ProductMaster!$B1543)</f>
        <v>13</v>
      </c>
      <c r="J1543" s="64">
        <f>SUMIFS(StockInData[Value],StockInData[Product ID],ProductMaster!$B1543)-SUMIFS(StockOutData[Value],StockOutData[Product ID],ProductMaster!$B1543)</f>
        <v>10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IFERROR(INDEX(StockInData[Expiry],MATCH(ProductMaster[[#This Row],[Product ID]],StockInData[Product ID],0)),"")</f>
        <v>43827</v>
      </c>
      <c r="H1561" s="61"/>
      <c r="I1561" s="61">
        <f>SUMIFS(StockInData[Quantity],StockInData[Product ID],ProductMaster!$B1561)-SUMIFS(StockOutData[Quantity],StockOutData[Product ID],ProductMaster!$B1561)</f>
        <v>48</v>
      </c>
      <c r="J1561" s="64">
        <f>SUMIFS(StockInData[Value],StockInData[Product ID],ProductMaster!$B1561)-SUMIFS(StockOutData[Value],StockOutData[Product ID],ProductMaster!$B1561)</f>
        <v>10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IFERROR(INDEX(StockInData[Expiry],MATCH(ProductMaster[[#This Row],[Product ID]],StockInData[Product ID],0)),"")</f>
        <v>43860</v>
      </c>
      <c r="H1631" s="61"/>
      <c r="I1631" s="61">
        <f>SUMIFS(StockInData[Quantity],StockInData[Product ID],ProductMaster!$B1631)-SUMIFS(StockOutData[Quantity],StockOutData[Product ID],ProductMaster!$B1631)</f>
        <v>13</v>
      </c>
      <c r="J1631" s="64">
        <f>SUMIFS(StockInData[Value],StockInData[Product ID],ProductMaster!$B1631)-SUMIFS(StockOutData[Value],StockOutData[Product ID],ProductMaster!$B1631)</f>
        <v>10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0</v>
      </c>
      <c r="J1676" s="64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IFERROR(INDEX(StockInData[Expiry],MATCH(ProductMaster[[#This Row],[Product ID]],StockInData[Product ID],0)),"")</f>
        <v>43554</v>
      </c>
      <c r="H1806" s="61"/>
      <c r="I1806" s="61">
        <f>SUMIFS(StockInData[Quantity],StockInData[Product ID],ProductMaster!$B1806)-SUMIFS(StockOutData[Quantity],StockOutData[Product ID],ProductMaster!$B1806)</f>
        <v>12</v>
      </c>
      <c r="J1806" s="64">
        <f>SUMIFS(StockInData[Value],StockInData[Product ID],ProductMaster!$B1806)-SUMIFS(StockOutData[Value],StockOutData[Product ID],ProductMaster!$B1806)</f>
        <v>10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IFERROR(INDEX(StockInData[Expiry],MATCH(ProductMaster[[#This Row],[Product ID]],StockInData[Product ID],0)),"")</f>
        <v>43860</v>
      </c>
      <c r="H1822" s="61"/>
      <c r="I1822" s="61">
        <f>SUMIFS(StockInData[Quantity],StockInData[Product ID],ProductMaster!$B1822)-SUMIFS(StockOutData[Quantity],StockOutData[Product ID],ProductMaster!$B1822)</f>
        <v>20</v>
      </c>
      <c r="J1822" s="64">
        <f>SUMIFS(StockInData[Value],StockInData[Product ID],ProductMaster!$B1822)-SUMIFS(StockOutData[Value],StockOutData[Product ID],ProductMaster!$B1822)</f>
        <v>10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0</v>
      </c>
      <c r="J1939" s="64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IFERROR(INDEX(StockInData[Expiry],MATCH(ProductMaster[[#This Row],[Product ID]],StockInData[Product ID],0)),"")</f>
        <v>43830</v>
      </c>
      <c r="H2043" s="61"/>
      <c r="I2043" s="61">
        <f>SUMIFS(StockInData[Quantity],StockInData[Product ID],ProductMaster!$B2043)-SUMIFS(StockOutData[Quantity],StockOutData[Product ID],ProductMaster!$B2043)</f>
        <v>3</v>
      </c>
      <c r="J2043" s="64">
        <f>SUMIFS(StockInData[Value],StockInData[Product ID],ProductMaster!$B2043)-SUMIFS(StockOutData[Value],StockOutData[Product ID],ProductMaster!$B2043)</f>
        <v>10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0</v>
      </c>
      <c r="J2048" s="64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IFERROR(INDEX(StockInData[Expiry],MATCH(ProductMaster[[#This Row],[Product ID]],StockInData[Product ID],0)),"")</f>
        <v>43828</v>
      </c>
      <c r="H2094" s="61"/>
      <c r="I2094" s="61">
        <f>SUMIFS(StockInData[Quantity],StockInData[Product ID],ProductMaster!$B2094)-SUMIFS(StockOutData[Quantity],StockOutData[Product ID],ProductMaster!$B2094)</f>
        <v>42</v>
      </c>
      <c r="J2094" s="64">
        <f>SUMIFS(StockInData[Value],StockInData[Product ID],ProductMaster!$B2094)-SUMIFS(StockOutData[Value],StockOutData[Product ID],ProductMaster!$B2094)</f>
        <v>10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IFERROR(INDEX(StockInData[Expiry],MATCH(ProductMaster[[#This Row],[Product ID]],StockInData[Product ID],0)),"")</f>
        <v>43828</v>
      </c>
      <c r="H2100" s="61"/>
      <c r="I2100" s="61">
        <f>SUMIFS(StockInData[Quantity],StockInData[Product ID],ProductMaster!$B2100)-SUMIFS(StockOutData[Quantity],StockOutData[Product ID],ProductMaster!$B2100)</f>
        <v>1</v>
      </c>
      <c r="J2100" s="64">
        <f>SUMIFS(StockInData[Value],StockInData[Product ID],ProductMaster!$B2100)-SUMIFS(StockOutData[Value],StockOutData[Product ID],ProductMaster!$B2100)</f>
        <v>10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0</v>
      </c>
      <c r="J2126" s="64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xmlns:xlrd2="http://schemas.microsoft.com/office/spreadsheetml/2017/richdata2"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2019-12-30T23:22:08Z</cp:lastPrinted>
  <dcterms:created xsi:type="dcterms:W3CDTF">2016-08-05T04:56:17Z</dcterms:created>
  <dcterms:modified xsi:type="dcterms:W3CDTF">2020-01-02T15:20:45Z</dcterms:modified>
  <cp:contentStatus/>
</cp:coreProperties>
</file>