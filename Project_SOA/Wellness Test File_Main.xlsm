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drawings/drawing28.xml" ContentType="application/vnd.openxmlformats-officedocument.drawing+xml"/>
  <Override PartName="/xl/tables/table26.xml" ContentType="application/vnd.openxmlformats-officedocument.spreadsheetml.table+xml"/>
  <Override PartName="/xl/drawings/drawing29.xml" ContentType="application/vnd.openxmlformats-officedocument.drawing+xml"/>
  <Override PartName="/xl/tables/table27.xml" ContentType="application/vnd.openxmlformats-officedocument.spreadsheetml.table+xml"/>
  <Override PartName="/xl/drawings/drawing30.xml" ContentType="application/vnd.openxmlformats-officedocument.drawing+xml"/>
  <Override PartName="/xl/tables/table28.xml" ContentType="application/vnd.openxmlformats-officedocument.spreadsheetml.table+xml"/>
  <Override PartName="/xl/drawings/drawing31.xml" ContentType="application/vnd.openxmlformats-officedocument.drawing+xml"/>
  <Override PartName="/xl/tables/table29.xml" ContentType="application/vnd.openxmlformats-officedocument.spreadsheetml.table+xml"/>
  <Override PartName="/xl/drawings/drawing32.xml" ContentType="application/vnd.openxmlformats-officedocument.drawing+xml"/>
  <Override PartName="/xl/tables/table30.xml" ContentType="application/vnd.openxmlformats-officedocument.spreadsheetml.table+xml"/>
  <Override PartName="/xl/drawings/drawing33.xml" ContentType="application/vnd.openxmlformats-officedocument.drawing+xml"/>
  <Override PartName="/xl/tables/table31.xml" ContentType="application/vnd.openxmlformats-officedocument.spreadsheetml.table+xml"/>
  <Override PartName="/xl/drawings/drawing34.xml" ContentType="application/vnd.openxmlformats-officedocument.drawing+xml"/>
  <Override PartName="/xl/tables/table32.xml" ContentType="application/vnd.openxmlformats-officedocument.spreadsheetml.table+xml"/>
  <Override PartName="/xl/drawings/drawing35.xml" ContentType="application/vnd.openxmlformats-officedocument.drawing+xml"/>
  <Override PartName="/xl/tables/table33.xml" ContentType="application/vnd.openxmlformats-officedocument.spreadsheetml.table+xml"/>
  <Override PartName="/xl/drawings/drawing36.xml" ContentType="application/vnd.openxmlformats-officedocument.drawing+xml"/>
  <Override PartName="/xl/tables/table34.xml" ContentType="application/vnd.openxmlformats-officedocument.spreadsheetml.table+xml"/>
  <Override PartName="/xl/drawings/drawing37.xml" ContentType="application/vnd.openxmlformats-officedocument.drawing+xml"/>
  <Override PartName="/xl/tables/table35.xml" ContentType="application/vnd.openxmlformats-officedocument.spreadsheetml.table+xml"/>
  <Override PartName="/xl/drawings/drawing38.xml" ContentType="application/vnd.openxmlformats-officedocument.drawing+xml"/>
  <Override PartName="/xl/tables/table36.xml" ContentType="application/vnd.openxmlformats-officedocument.spreadsheetml.table+xml"/>
  <Override PartName="/xl/drawings/drawing39.xml" ContentType="application/vnd.openxmlformats-officedocument.drawing+xml"/>
  <Override PartName="/xl/tables/table37.xml" ContentType="application/vnd.openxmlformats-officedocument.spreadsheetml.table+xml"/>
  <Override PartName="/xl/drawings/drawing40.xml" ContentType="application/vnd.openxmlformats-officedocument.drawing+xml"/>
  <Override PartName="/xl/tables/table38.xml" ContentType="application/vnd.openxmlformats-officedocument.spreadsheetml.table+xml"/>
  <Override PartName="/xl/drawings/drawing41.xml" ContentType="application/vnd.openxmlformats-officedocument.drawing+xml"/>
  <Override PartName="/xl/tables/table39.xml" ContentType="application/vnd.openxmlformats-officedocument.spreadsheetml.table+xml"/>
  <Override PartName="/xl/drawings/drawing42.xml" ContentType="application/vnd.openxmlformats-officedocument.drawing+xml"/>
  <Override PartName="/xl/tables/table40.xml" ContentType="application/vnd.openxmlformats-officedocument.spreadsheetml.table+xml"/>
  <Override PartName="/xl/drawings/drawing43.xml" ContentType="application/vnd.openxmlformats-officedocument.drawing+xml"/>
  <Override PartName="/xl/tables/table41.xml" ContentType="application/vnd.openxmlformats-officedocument.spreadsheetml.table+xml"/>
  <Override PartName="/xl/drawings/drawing44.xml" ContentType="application/vnd.openxmlformats-officedocument.drawing+xml"/>
  <Override PartName="/xl/tables/table42.xml" ContentType="application/vnd.openxmlformats-officedocument.spreadsheetml.table+xml"/>
  <Override PartName="/xl/drawings/drawing45.xml" ContentType="application/vnd.openxmlformats-officedocument.drawing+xml"/>
  <Override PartName="/xl/tables/table43.xml" ContentType="application/vnd.openxmlformats-officedocument.spreadsheetml.table+xml"/>
  <Override PartName="/xl/drawings/drawing46.xml" ContentType="application/vnd.openxmlformats-officedocument.drawing+xml"/>
  <Override PartName="/xl/tables/table44.xml" ContentType="application/vnd.openxmlformats-officedocument.spreadsheetml.table+xml"/>
  <Override PartName="/xl/drawings/drawing47.xml" ContentType="application/vnd.openxmlformats-officedocument.drawing+xml"/>
  <Override PartName="/xl/tables/table45.xml" ContentType="application/vnd.openxmlformats-officedocument.spreadsheetml.table+xml"/>
  <Override PartName="/xl/drawings/drawing48.xml" ContentType="application/vnd.openxmlformats-officedocument.drawing+xml"/>
  <Override PartName="/xl/tables/table46.xml" ContentType="application/vnd.openxmlformats-officedocument.spreadsheetml.table+xml"/>
  <Override PartName="/xl/drawings/drawing49.xml" ContentType="application/vnd.openxmlformats-officedocument.drawing+xml"/>
  <Override PartName="/xl/tables/table47.xml" ContentType="application/vnd.openxmlformats-officedocument.spreadsheetml.table+xml"/>
  <Override PartName="/xl/drawings/drawing50.xml" ContentType="application/vnd.openxmlformats-officedocument.drawing+xml"/>
  <Override PartName="/xl/tables/table48.xml" ContentType="application/vnd.openxmlformats-officedocument.spreadsheetml.table+xml"/>
  <Override PartName="/xl/drawings/drawing51.xml" ContentType="application/vnd.openxmlformats-officedocument.drawing+xml"/>
  <Override PartName="/xl/tables/table49.xml" ContentType="application/vnd.openxmlformats-officedocument.spreadsheetml.table+xml"/>
  <Override PartName="/xl/drawings/drawing52.xml" ContentType="application/vnd.openxmlformats-officedocument.drawing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firstSheet="32" activeTab="32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  <sheet name="SOA_973625" sheetId="157" r:id="rId8"/>
    <sheet name="SOA_972380" sheetId="156" r:id="rId9"/>
    <sheet name="SOA_971904" sheetId="155" r:id="rId10"/>
    <sheet name="SOA_970215" sheetId="154" r:id="rId11"/>
    <sheet name="SOA_967924" sheetId="153" r:id="rId12"/>
    <sheet name="SOA_965810" sheetId="152" r:id="rId13"/>
    <sheet name="SOA_964857" sheetId="151" r:id="rId14"/>
    <sheet name="SOA_961130" sheetId="150" r:id="rId15"/>
    <sheet name="SOA_959523" sheetId="149" r:id="rId16"/>
    <sheet name="SOA_956513" sheetId="148" r:id="rId17"/>
    <sheet name="SOA_949817" sheetId="147" r:id="rId18"/>
    <sheet name="SOA_939476" sheetId="146" r:id="rId19"/>
    <sheet name="SOA_921178" sheetId="145" r:id="rId20"/>
    <sheet name="SOA_920907" sheetId="144" r:id="rId21"/>
    <sheet name="SOA_919737" sheetId="143" r:id="rId22"/>
    <sheet name="SOA_919718" sheetId="142" r:id="rId23"/>
    <sheet name="SOA_919099" sheetId="141" r:id="rId24"/>
    <sheet name="SOA_918725" sheetId="140" r:id="rId25"/>
    <sheet name="SOA_918536" sheetId="139" r:id="rId26"/>
    <sheet name="SOA_917021" sheetId="138" r:id="rId27"/>
    <sheet name="SOA_916775" sheetId="137" r:id="rId28"/>
    <sheet name="SOA_916703" sheetId="136" r:id="rId29"/>
    <sheet name="SOA_916417" sheetId="135" r:id="rId30"/>
    <sheet name="SOA_916414" sheetId="134" r:id="rId31"/>
    <sheet name="SOA_897863" sheetId="133" r:id="rId32"/>
    <sheet name="SOA_886014" sheetId="132" r:id="rId33"/>
    <sheet name="SOA_518226" sheetId="131" r:id="rId34"/>
    <sheet name="SOA_518178" sheetId="130" r:id="rId35"/>
    <sheet name="SOA_506038" sheetId="129" r:id="rId36"/>
    <sheet name="SOA_499098" sheetId="128" r:id="rId37"/>
    <sheet name="SOA_498798" sheetId="127" r:id="rId38"/>
    <sheet name="SOA_498783" sheetId="126" r:id="rId39"/>
    <sheet name="SOA_482734" sheetId="125" r:id="rId40"/>
    <sheet name="SOA_476544" sheetId="124" r:id="rId41"/>
    <sheet name="SOA_450082" sheetId="123" r:id="rId42"/>
    <sheet name="SOA_450000" sheetId="122" r:id="rId43"/>
    <sheet name="SOA_427840" sheetId="121" r:id="rId44"/>
    <sheet name="SOA_427329" sheetId="120" r:id="rId45"/>
    <sheet name="SOA_424053" sheetId="119" r:id="rId46"/>
    <sheet name="SOA_401828" sheetId="118" r:id="rId47"/>
    <sheet name="SOA_400634" sheetId="117" r:id="rId48"/>
    <sheet name="SOA_399157" sheetId="116" r:id="rId49"/>
    <sheet name="SOA_391220" sheetId="115" r:id="rId50"/>
    <sheet name="SOA_387516" sheetId="114" r:id="rId51"/>
    <sheet name="SOA_380945" sheetId="113" r:id="rId52"/>
    <sheet name="SOA_375336" sheetId="112" r:id="rId53"/>
    <sheet name="SOA_366061" sheetId="111" r:id="rId54"/>
    <sheet name="SOA_362302" sheetId="110" r:id="rId55"/>
    <sheet name="SOA_356423" sheetId="109" r:id="rId56"/>
  </sheets>
  <definedNames>
    <definedName name="_xlnm._FilterDatabase" localSheetId="3" hidden="1">SAP!$B$2:$B$560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57" l="1"/>
  <c r="I17" i="157"/>
  <c r="L16" i="157"/>
  <c r="L15" i="157"/>
  <c r="M15" i="157" s="1"/>
  <c r="G23" i="157" s="1"/>
  <c r="B15" i="157"/>
  <c r="B16" i="157" s="1"/>
  <c r="N7" i="157"/>
  <c r="M16" i="157" s="1"/>
  <c r="N16" i="157" s="1"/>
  <c r="I20" i="156"/>
  <c r="I19" i="156"/>
  <c r="L18" i="156"/>
  <c r="M18" i="156" s="1"/>
  <c r="N18" i="156" s="1"/>
  <c r="L17" i="156"/>
  <c r="L16" i="156"/>
  <c r="L15" i="156"/>
  <c r="M15" i="156" s="1"/>
  <c r="B15" i="156"/>
  <c r="B16" i="156" s="1"/>
  <c r="B17" i="156" s="1"/>
  <c r="B18" i="156" s="1"/>
  <c r="N7" i="156"/>
  <c r="I18" i="155"/>
  <c r="I17" i="155"/>
  <c r="L16" i="155"/>
  <c r="L15" i="155"/>
  <c r="B15" i="155"/>
  <c r="B16" i="155" s="1"/>
  <c r="N7" i="155"/>
  <c r="I19" i="154"/>
  <c r="I18" i="154"/>
  <c r="M17" i="154"/>
  <c r="N17" i="154" s="1"/>
  <c r="L17" i="154"/>
  <c r="L16" i="154"/>
  <c r="L15" i="154"/>
  <c r="M15" i="154" s="1"/>
  <c r="B15" i="154"/>
  <c r="B16" i="154" s="1"/>
  <c r="B17" i="154" s="1"/>
  <c r="N7" i="154"/>
  <c r="I20" i="153"/>
  <c r="I19" i="153"/>
  <c r="M18" i="153"/>
  <c r="N18" i="153" s="1"/>
  <c r="L18" i="153"/>
  <c r="L17" i="153"/>
  <c r="M17" i="153" s="1"/>
  <c r="N17" i="153" s="1"/>
  <c r="M16" i="153"/>
  <c r="N16" i="153" s="1"/>
  <c r="L16" i="153"/>
  <c r="L15" i="153"/>
  <c r="M15" i="153" s="1"/>
  <c r="G25" i="153" s="1"/>
  <c r="B15" i="153"/>
  <c r="B16" i="153" s="1"/>
  <c r="B17" i="153" s="1"/>
  <c r="B18" i="153" s="1"/>
  <c r="N7" i="153"/>
  <c r="I17" i="152"/>
  <c r="I18" i="152" s="1"/>
  <c r="I16" i="152"/>
  <c r="L15" i="152"/>
  <c r="M15" i="152" s="1"/>
  <c r="B15" i="152"/>
  <c r="N7" i="152"/>
  <c r="I18" i="151"/>
  <c r="I19" i="151" s="1"/>
  <c r="I17" i="151"/>
  <c r="L16" i="151"/>
  <c r="L15" i="151"/>
  <c r="M15" i="151" s="1"/>
  <c r="B15" i="151"/>
  <c r="B16" i="151" s="1"/>
  <c r="N7" i="151"/>
  <c r="I19" i="150"/>
  <c r="I18" i="150"/>
  <c r="L17" i="150"/>
  <c r="L16" i="150"/>
  <c r="M16" i="150" s="1"/>
  <c r="N16" i="150" s="1"/>
  <c r="L15" i="150"/>
  <c r="M15" i="150" s="1"/>
  <c r="N15" i="150" s="1"/>
  <c r="B15" i="150"/>
  <c r="B16" i="150" s="1"/>
  <c r="B17" i="150" s="1"/>
  <c r="N7" i="150"/>
  <c r="I17" i="149"/>
  <c r="I16" i="149"/>
  <c r="M15" i="149"/>
  <c r="G22" i="149" s="1"/>
  <c r="L15" i="149"/>
  <c r="B15" i="149"/>
  <c r="N7" i="149"/>
  <c r="I17" i="148"/>
  <c r="I16" i="148"/>
  <c r="L15" i="148"/>
  <c r="M15" i="148" s="1"/>
  <c r="B15" i="148"/>
  <c r="N7" i="148"/>
  <c r="I17" i="147"/>
  <c r="I16" i="147"/>
  <c r="L15" i="147"/>
  <c r="M15" i="147" s="1"/>
  <c r="B15" i="147"/>
  <c r="N7" i="147"/>
  <c r="I18" i="146"/>
  <c r="I19" i="146" s="1"/>
  <c r="I17" i="146"/>
  <c r="L16" i="146"/>
  <c r="L15" i="146"/>
  <c r="M15" i="146" s="1"/>
  <c r="N15" i="146" s="1"/>
  <c r="B15" i="146"/>
  <c r="B16" i="146" s="1"/>
  <c r="N7" i="146"/>
  <c r="I20" i="145"/>
  <c r="I19" i="145"/>
  <c r="L18" i="145"/>
  <c r="L17" i="145"/>
  <c r="L16" i="145"/>
  <c r="L15" i="145"/>
  <c r="M15" i="145" s="1"/>
  <c r="B15" i="145"/>
  <c r="B16" i="145" s="1"/>
  <c r="B17" i="145" s="1"/>
  <c r="B18" i="145" s="1"/>
  <c r="N7" i="145"/>
  <c r="I17" i="144"/>
  <c r="I16" i="144"/>
  <c r="M15" i="144"/>
  <c r="G22" i="144" s="1"/>
  <c r="L15" i="144"/>
  <c r="B15" i="144"/>
  <c r="N7" i="144"/>
  <c r="I115" i="143"/>
  <c r="I116" i="143" s="1"/>
  <c r="I114" i="143"/>
  <c r="N113" i="143"/>
  <c r="M113" i="143"/>
  <c r="L113" i="143"/>
  <c r="B113" i="143"/>
  <c r="N112" i="143"/>
  <c r="M112" i="143"/>
  <c r="L112" i="143"/>
  <c r="B112" i="143"/>
  <c r="N111" i="143"/>
  <c r="M111" i="143"/>
  <c r="L111" i="143"/>
  <c r="B111" i="143"/>
  <c r="N110" i="143"/>
  <c r="M110" i="143"/>
  <c r="L110" i="143"/>
  <c r="B110" i="143"/>
  <c r="N109" i="143"/>
  <c r="M109" i="143"/>
  <c r="L109" i="143"/>
  <c r="B109" i="143"/>
  <c r="N108" i="143"/>
  <c r="M108" i="143"/>
  <c r="L108" i="143"/>
  <c r="B108" i="143"/>
  <c r="N107" i="143"/>
  <c r="M107" i="143"/>
  <c r="L107" i="143"/>
  <c r="B107" i="143"/>
  <c r="N106" i="143"/>
  <c r="M106" i="143"/>
  <c r="L106" i="143"/>
  <c r="B106" i="143"/>
  <c r="N105" i="143"/>
  <c r="M105" i="143"/>
  <c r="L105" i="143"/>
  <c r="B105" i="143"/>
  <c r="N104" i="143"/>
  <c r="M104" i="143"/>
  <c r="L104" i="143"/>
  <c r="B104" i="143"/>
  <c r="N103" i="143"/>
  <c r="M103" i="143"/>
  <c r="L103" i="143"/>
  <c r="B103" i="143"/>
  <c r="N102" i="143"/>
  <c r="M102" i="143"/>
  <c r="L102" i="143"/>
  <c r="B102" i="143"/>
  <c r="N101" i="143"/>
  <c r="M101" i="143"/>
  <c r="L101" i="143"/>
  <c r="B101" i="143"/>
  <c r="N100" i="143"/>
  <c r="M100" i="143"/>
  <c r="L100" i="143"/>
  <c r="B100" i="143"/>
  <c r="N99" i="143"/>
  <c r="M99" i="143"/>
  <c r="L99" i="143"/>
  <c r="B99" i="143"/>
  <c r="N98" i="143"/>
  <c r="M98" i="143"/>
  <c r="L98" i="143"/>
  <c r="B98" i="143"/>
  <c r="N97" i="143"/>
  <c r="M97" i="143"/>
  <c r="L97" i="143"/>
  <c r="B97" i="143"/>
  <c r="N96" i="143"/>
  <c r="M96" i="143"/>
  <c r="L96" i="143"/>
  <c r="B96" i="143"/>
  <c r="N95" i="143"/>
  <c r="M95" i="143"/>
  <c r="L95" i="143"/>
  <c r="B95" i="143"/>
  <c r="N94" i="143"/>
  <c r="M94" i="143"/>
  <c r="L94" i="143"/>
  <c r="B94" i="143"/>
  <c r="N93" i="143"/>
  <c r="M93" i="143"/>
  <c r="L93" i="143"/>
  <c r="B93" i="143"/>
  <c r="N92" i="143"/>
  <c r="M92" i="143"/>
  <c r="L92" i="143"/>
  <c r="B92" i="143"/>
  <c r="N91" i="143"/>
  <c r="M91" i="143"/>
  <c r="L91" i="143"/>
  <c r="B91" i="143"/>
  <c r="N90" i="143"/>
  <c r="M90" i="143"/>
  <c r="L90" i="143"/>
  <c r="B90" i="143"/>
  <c r="N89" i="143"/>
  <c r="M89" i="143"/>
  <c r="L89" i="143"/>
  <c r="B89" i="143"/>
  <c r="N88" i="143"/>
  <c r="M88" i="143"/>
  <c r="L88" i="143"/>
  <c r="B88" i="143"/>
  <c r="N87" i="143"/>
  <c r="M87" i="143"/>
  <c r="L87" i="143"/>
  <c r="B87" i="143"/>
  <c r="N86" i="143"/>
  <c r="M86" i="143"/>
  <c r="L86" i="143"/>
  <c r="B86" i="143"/>
  <c r="N85" i="143"/>
  <c r="M85" i="143"/>
  <c r="L85" i="143"/>
  <c r="B85" i="143"/>
  <c r="N84" i="143"/>
  <c r="M84" i="143"/>
  <c r="L84" i="143"/>
  <c r="B84" i="143"/>
  <c r="N83" i="143"/>
  <c r="M83" i="143"/>
  <c r="L83" i="143"/>
  <c r="B83" i="143"/>
  <c r="N82" i="143"/>
  <c r="M82" i="143"/>
  <c r="L82" i="143"/>
  <c r="B82" i="143"/>
  <c r="N81" i="143"/>
  <c r="M81" i="143"/>
  <c r="L81" i="143"/>
  <c r="B81" i="143"/>
  <c r="N80" i="143"/>
  <c r="M80" i="143"/>
  <c r="L80" i="143"/>
  <c r="B80" i="143"/>
  <c r="N79" i="143"/>
  <c r="M79" i="143"/>
  <c r="L79" i="143"/>
  <c r="B79" i="143"/>
  <c r="N78" i="143"/>
  <c r="M78" i="143"/>
  <c r="L78" i="143"/>
  <c r="B78" i="143"/>
  <c r="N77" i="143"/>
  <c r="M77" i="143"/>
  <c r="L77" i="143"/>
  <c r="B77" i="143"/>
  <c r="N76" i="143"/>
  <c r="M76" i="143"/>
  <c r="L76" i="143"/>
  <c r="B76" i="143"/>
  <c r="N75" i="143"/>
  <c r="M75" i="143"/>
  <c r="L75" i="143"/>
  <c r="B75" i="143"/>
  <c r="N74" i="143"/>
  <c r="M74" i="143"/>
  <c r="L74" i="143"/>
  <c r="B74" i="143"/>
  <c r="N73" i="143"/>
  <c r="M73" i="143"/>
  <c r="L73" i="143"/>
  <c r="B73" i="143"/>
  <c r="N72" i="143"/>
  <c r="M72" i="143"/>
  <c r="L72" i="143"/>
  <c r="B72" i="143"/>
  <c r="N71" i="143"/>
  <c r="M71" i="143"/>
  <c r="L71" i="143"/>
  <c r="B71" i="143"/>
  <c r="N70" i="143"/>
  <c r="M70" i="143"/>
  <c r="L70" i="143"/>
  <c r="B70" i="143"/>
  <c r="N69" i="143"/>
  <c r="M69" i="143"/>
  <c r="L69" i="143"/>
  <c r="B69" i="143"/>
  <c r="N68" i="143"/>
  <c r="M68" i="143"/>
  <c r="L68" i="143"/>
  <c r="B68" i="143"/>
  <c r="N67" i="143"/>
  <c r="M67" i="143"/>
  <c r="L67" i="143"/>
  <c r="B67" i="143"/>
  <c r="N66" i="143"/>
  <c r="M66" i="143"/>
  <c r="L66" i="143"/>
  <c r="B66" i="143"/>
  <c r="N65" i="143"/>
  <c r="M65" i="143"/>
  <c r="L65" i="143"/>
  <c r="B65" i="143"/>
  <c r="N64" i="143"/>
  <c r="M64" i="143"/>
  <c r="L64" i="143"/>
  <c r="B64" i="143"/>
  <c r="N63" i="143"/>
  <c r="M63" i="143"/>
  <c r="L63" i="143"/>
  <c r="B63" i="143"/>
  <c r="N62" i="143"/>
  <c r="M62" i="143"/>
  <c r="L62" i="143"/>
  <c r="B62" i="143"/>
  <c r="N61" i="143"/>
  <c r="M61" i="143"/>
  <c r="L61" i="143"/>
  <c r="B61" i="143"/>
  <c r="N60" i="143"/>
  <c r="M60" i="143"/>
  <c r="L60" i="143"/>
  <c r="B60" i="143"/>
  <c r="N59" i="143"/>
  <c r="M59" i="143"/>
  <c r="L59" i="143"/>
  <c r="B59" i="143"/>
  <c r="N58" i="143"/>
  <c r="M58" i="143"/>
  <c r="L58" i="143"/>
  <c r="B58" i="143"/>
  <c r="N57" i="143"/>
  <c r="M57" i="143"/>
  <c r="L57" i="143"/>
  <c r="B57" i="143"/>
  <c r="N56" i="143"/>
  <c r="M56" i="143"/>
  <c r="L56" i="143"/>
  <c r="B56" i="143"/>
  <c r="N55" i="143"/>
  <c r="M55" i="143"/>
  <c r="L55" i="143"/>
  <c r="B55" i="143"/>
  <c r="N54" i="143"/>
  <c r="M54" i="143"/>
  <c r="L54" i="143"/>
  <c r="B54" i="143"/>
  <c r="N53" i="143"/>
  <c r="M53" i="143"/>
  <c r="L53" i="143"/>
  <c r="B53" i="143"/>
  <c r="N52" i="143"/>
  <c r="M52" i="143"/>
  <c r="L52" i="143"/>
  <c r="B52" i="143"/>
  <c r="N51" i="143"/>
  <c r="M51" i="143"/>
  <c r="L51" i="143"/>
  <c r="B51" i="143"/>
  <c r="N50" i="143"/>
  <c r="M50" i="143"/>
  <c r="L50" i="143"/>
  <c r="B50" i="143"/>
  <c r="N49" i="143"/>
  <c r="M49" i="143"/>
  <c r="L49" i="143"/>
  <c r="B49" i="143"/>
  <c r="N48" i="143"/>
  <c r="M48" i="143"/>
  <c r="L48" i="143"/>
  <c r="B48" i="143"/>
  <c r="N47" i="143"/>
  <c r="M47" i="143"/>
  <c r="L47" i="143"/>
  <c r="B47" i="143"/>
  <c r="N46" i="143"/>
  <c r="M46" i="143"/>
  <c r="L46" i="143"/>
  <c r="B46" i="143"/>
  <c r="N45" i="143"/>
  <c r="M45" i="143"/>
  <c r="L45" i="143"/>
  <c r="B45" i="143"/>
  <c r="N44" i="143"/>
  <c r="M44" i="143"/>
  <c r="L44" i="143"/>
  <c r="B44" i="143"/>
  <c r="N43" i="143"/>
  <c r="M43" i="143"/>
  <c r="L43" i="143"/>
  <c r="B43" i="143"/>
  <c r="N42" i="143"/>
  <c r="M42" i="143"/>
  <c r="L42" i="143"/>
  <c r="B42" i="143"/>
  <c r="N41" i="143"/>
  <c r="M41" i="143"/>
  <c r="L41" i="143"/>
  <c r="B41" i="143"/>
  <c r="N40" i="143"/>
  <c r="M40" i="143"/>
  <c r="L40" i="143"/>
  <c r="B40" i="143"/>
  <c r="N39" i="143"/>
  <c r="M39" i="143"/>
  <c r="L39" i="143"/>
  <c r="B39" i="143"/>
  <c r="N38" i="143"/>
  <c r="M38" i="143"/>
  <c r="L38" i="143"/>
  <c r="B38" i="143"/>
  <c r="N37" i="143"/>
  <c r="M37" i="143"/>
  <c r="L37" i="143"/>
  <c r="B37" i="143"/>
  <c r="N36" i="143"/>
  <c r="M36" i="143"/>
  <c r="L36" i="143"/>
  <c r="B36" i="143"/>
  <c r="N35" i="143"/>
  <c r="M35" i="143"/>
  <c r="L35" i="143"/>
  <c r="B35" i="143"/>
  <c r="N34" i="143"/>
  <c r="M34" i="143"/>
  <c r="L34" i="143"/>
  <c r="B34" i="143"/>
  <c r="N33" i="143"/>
  <c r="M33" i="143"/>
  <c r="L33" i="143"/>
  <c r="B33" i="143"/>
  <c r="N32" i="143"/>
  <c r="M32" i="143"/>
  <c r="L32" i="143"/>
  <c r="B32" i="143"/>
  <c r="N31" i="143"/>
  <c r="M31" i="143"/>
  <c r="L31" i="143"/>
  <c r="B31" i="143"/>
  <c r="N30" i="143"/>
  <c r="M30" i="143"/>
  <c r="L30" i="143"/>
  <c r="B30" i="143"/>
  <c r="N29" i="143"/>
  <c r="M29" i="143"/>
  <c r="L29" i="143"/>
  <c r="B29" i="143"/>
  <c r="N28" i="143"/>
  <c r="M28" i="143"/>
  <c r="L28" i="143"/>
  <c r="B28" i="143"/>
  <c r="N27" i="143"/>
  <c r="M27" i="143"/>
  <c r="L27" i="143"/>
  <c r="B27" i="143"/>
  <c r="N26" i="143"/>
  <c r="M26" i="143"/>
  <c r="L26" i="143"/>
  <c r="B26" i="143"/>
  <c r="N25" i="143"/>
  <c r="M25" i="143"/>
  <c r="L25" i="143"/>
  <c r="B25" i="143"/>
  <c r="N24" i="143"/>
  <c r="M24" i="143"/>
  <c r="L24" i="143"/>
  <c r="B24" i="143"/>
  <c r="N23" i="143"/>
  <c r="M23" i="143"/>
  <c r="L23" i="143"/>
  <c r="B23" i="143"/>
  <c r="N22" i="143"/>
  <c r="M22" i="143"/>
  <c r="L22" i="143"/>
  <c r="B22" i="143"/>
  <c r="N21" i="143"/>
  <c r="M21" i="143"/>
  <c r="L21" i="143"/>
  <c r="B21" i="143"/>
  <c r="N20" i="143"/>
  <c r="M20" i="143"/>
  <c r="L20" i="143"/>
  <c r="B20" i="143"/>
  <c r="N19" i="143"/>
  <c r="M19" i="143"/>
  <c r="L19" i="143"/>
  <c r="B19" i="143"/>
  <c r="N18" i="143"/>
  <c r="M18" i="143"/>
  <c r="L18" i="143"/>
  <c r="B18" i="143"/>
  <c r="N17" i="143"/>
  <c r="M17" i="143"/>
  <c r="L17" i="143"/>
  <c r="B17" i="143"/>
  <c r="N16" i="143"/>
  <c r="M16" i="143"/>
  <c r="L16" i="143"/>
  <c r="L15" i="143"/>
  <c r="M15" i="143" s="1"/>
  <c r="B15" i="143"/>
  <c r="B16" i="143" s="1"/>
  <c r="N7" i="143"/>
  <c r="I116" i="142"/>
  <c r="I115" i="142"/>
  <c r="I114" i="142"/>
  <c r="N113" i="142"/>
  <c r="M113" i="142"/>
  <c r="L113" i="142"/>
  <c r="B113" i="142"/>
  <c r="N112" i="142"/>
  <c r="M112" i="142"/>
  <c r="L112" i="142"/>
  <c r="B112" i="142"/>
  <c r="N111" i="142"/>
  <c r="M111" i="142"/>
  <c r="L111" i="142"/>
  <c r="B111" i="142"/>
  <c r="N110" i="142"/>
  <c r="M110" i="142"/>
  <c r="L110" i="142"/>
  <c r="B110" i="142"/>
  <c r="N109" i="142"/>
  <c r="M109" i="142"/>
  <c r="L109" i="142"/>
  <c r="B109" i="142"/>
  <c r="N108" i="142"/>
  <c r="M108" i="142"/>
  <c r="L108" i="142"/>
  <c r="B108" i="142"/>
  <c r="N107" i="142"/>
  <c r="M107" i="142"/>
  <c r="L107" i="142"/>
  <c r="B107" i="142"/>
  <c r="N106" i="142"/>
  <c r="M106" i="142"/>
  <c r="L106" i="142"/>
  <c r="B106" i="142"/>
  <c r="N105" i="142"/>
  <c r="M105" i="142"/>
  <c r="L105" i="142"/>
  <c r="B105" i="142"/>
  <c r="N104" i="142"/>
  <c r="M104" i="142"/>
  <c r="L104" i="142"/>
  <c r="B104" i="142"/>
  <c r="N103" i="142"/>
  <c r="M103" i="142"/>
  <c r="L103" i="142"/>
  <c r="B103" i="142"/>
  <c r="N102" i="142"/>
  <c r="M102" i="142"/>
  <c r="L102" i="142"/>
  <c r="B102" i="142"/>
  <c r="N101" i="142"/>
  <c r="M101" i="142"/>
  <c r="L101" i="142"/>
  <c r="B101" i="142"/>
  <c r="N100" i="142"/>
  <c r="M100" i="142"/>
  <c r="L100" i="142"/>
  <c r="B100" i="142"/>
  <c r="N99" i="142"/>
  <c r="M99" i="142"/>
  <c r="L99" i="142"/>
  <c r="B99" i="142"/>
  <c r="N98" i="142"/>
  <c r="M98" i="142"/>
  <c r="L98" i="142"/>
  <c r="B98" i="142"/>
  <c r="N97" i="142"/>
  <c r="M97" i="142"/>
  <c r="L97" i="142"/>
  <c r="B97" i="142"/>
  <c r="N96" i="142"/>
  <c r="M96" i="142"/>
  <c r="L96" i="142"/>
  <c r="B96" i="142"/>
  <c r="N95" i="142"/>
  <c r="M95" i="142"/>
  <c r="L95" i="142"/>
  <c r="B95" i="142"/>
  <c r="N94" i="142"/>
  <c r="M94" i="142"/>
  <c r="L94" i="142"/>
  <c r="B94" i="142"/>
  <c r="N93" i="142"/>
  <c r="M93" i="142"/>
  <c r="L93" i="142"/>
  <c r="B93" i="142"/>
  <c r="N92" i="142"/>
  <c r="M92" i="142"/>
  <c r="L92" i="142"/>
  <c r="B92" i="142"/>
  <c r="N91" i="142"/>
  <c r="M91" i="142"/>
  <c r="L91" i="142"/>
  <c r="B91" i="142"/>
  <c r="N90" i="142"/>
  <c r="M90" i="142"/>
  <c r="L90" i="142"/>
  <c r="B90" i="142"/>
  <c r="N89" i="142"/>
  <c r="M89" i="142"/>
  <c r="L89" i="142"/>
  <c r="B89" i="142"/>
  <c r="N88" i="142"/>
  <c r="M88" i="142"/>
  <c r="L88" i="142"/>
  <c r="B88" i="142"/>
  <c r="N87" i="142"/>
  <c r="M87" i="142"/>
  <c r="L87" i="142"/>
  <c r="B87" i="142"/>
  <c r="N86" i="142"/>
  <c r="M86" i="142"/>
  <c r="L86" i="142"/>
  <c r="B86" i="142"/>
  <c r="N85" i="142"/>
  <c r="M85" i="142"/>
  <c r="L85" i="142"/>
  <c r="B85" i="142"/>
  <c r="N84" i="142"/>
  <c r="M84" i="142"/>
  <c r="L84" i="142"/>
  <c r="B84" i="142"/>
  <c r="N83" i="142"/>
  <c r="M83" i="142"/>
  <c r="L83" i="142"/>
  <c r="B83" i="142"/>
  <c r="N82" i="142"/>
  <c r="M82" i="142"/>
  <c r="L82" i="142"/>
  <c r="B82" i="142"/>
  <c r="N81" i="142"/>
  <c r="M81" i="142"/>
  <c r="L81" i="142"/>
  <c r="B81" i="142"/>
  <c r="N80" i="142"/>
  <c r="M80" i="142"/>
  <c r="L80" i="142"/>
  <c r="B80" i="142"/>
  <c r="N79" i="142"/>
  <c r="M79" i="142"/>
  <c r="L79" i="142"/>
  <c r="B79" i="142"/>
  <c r="N78" i="142"/>
  <c r="M78" i="142"/>
  <c r="L78" i="142"/>
  <c r="B78" i="142"/>
  <c r="N77" i="142"/>
  <c r="M77" i="142"/>
  <c r="L77" i="142"/>
  <c r="B77" i="142"/>
  <c r="N76" i="142"/>
  <c r="M76" i="142"/>
  <c r="L76" i="142"/>
  <c r="B76" i="142"/>
  <c r="N75" i="142"/>
  <c r="M75" i="142"/>
  <c r="L75" i="142"/>
  <c r="B75" i="142"/>
  <c r="N74" i="142"/>
  <c r="M74" i="142"/>
  <c r="L74" i="142"/>
  <c r="B74" i="142"/>
  <c r="N73" i="142"/>
  <c r="M73" i="142"/>
  <c r="L73" i="142"/>
  <c r="B73" i="142"/>
  <c r="N72" i="142"/>
  <c r="M72" i="142"/>
  <c r="L72" i="142"/>
  <c r="B72" i="142"/>
  <c r="N71" i="142"/>
  <c r="M71" i="142"/>
  <c r="L71" i="142"/>
  <c r="B71" i="142"/>
  <c r="N70" i="142"/>
  <c r="M70" i="142"/>
  <c r="L70" i="142"/>
  <c r="B70" i="142"/>
  <c r="N69" i="142"/>
  <c r="M69" i="142"/>
  <c r="L69" i="142"/>
  <c r="B69" i="142"/>
  <c r="N68" i="142"/>
  <c r="M68" i="142"/>
  <c r="L68" i="142"/>
  <c r="B68" i="142"/>
  <c r="N67" i="142"/>
  <c r="M67" i="142"/>
  <c r="L67" i="142"/>
  <c r="B67" i="142"/>
  <c r="N66" i="142"/>
  <c r="M66" i="142"/>
  <c r="L66" i="142"/>
  <c r="B66" i="142"/>
  <c r="N65" i="142"/>
  <c r="M65" i="142"/>
  <c r="L65" i="142"/>
  <c r="B65" i="142"/>
  <c r="N64" i="142"/>
  <c r="M64" i="142"/>
  <c r="L64" i="142"/>
  <c r="B64" i="142"/>
  <c r="N63" i="142"/>
  <c r="M63" i="142"/>
  <c r="L63" i="142"/>
  <c r="B63" i="142"/>
  <c r="N62" i="142"/>
  <c r="M62" i="142"/>
  <c r="L62" i="142"/>
  <c r="B62" i="142"/>
  <c r="N61" i="142"/>
  <c r="M61" i="142"/>
  <c r="L61" i="142"/>
  <c r="B61" i="142"/>
  <c r="N60" i="142"/>
  <c r="M60" i="142"/>
  <c r="L60" i="142"/>
  <c r="B60" i="142"/>
  <c r="N59" i="142"/>
  <c r="M59" i="142"/>
  <c r="L59" i="142"/>
  <c r="B59" i="142"/>
  <c r="N58" i="142"/>
  <c r="M58" i="142"/>
  <c r="L58" i="142"/>
  <c r="B58" i="142"/>
  <c r="N57" i="142"/>
  <c r="M57" i="142"/>
  <c r="L57" i="142"/>
  <c r="B57" i="142"/>
  <c r="N56" i="142"/>
  <c r="M56" i="142"/>
  <c r="L56" i="142"/>
  <c r="B56" i="142"/>
  <c r="N55" i="142"/>
  <c r="M55" i="142"/>
  <c r="L55" i="142"/>
  <c r="B55" i="142"/>
  <c r="N54" i="142"/>
  <c r="M54" i="142"/>
  <c r="L54" i="142"/>
  <c r="B54" i="142"/>
  <c r="N53" i="142"/>
  <c r="M53" i="142"/>
  <c r="L53" i="142"/>
  <c r="B53" i="142"/>
  <c r="N52" i="142"/>
  <c r="M52" i="142"/>
  <c r="L52" i="142"/>
  <c r="B52" i="142"/>
  <c r="N51" i="142"/>
  <c r="M51" i="142"/>
  <c r="L51" i="142"/>
  <c r="B51" i="142"/>
  <c r="N50" i="142"/>
  <c r="M50" i="142"/>
  <c r="L50" i="142"/>
  <c r="B50" i="142"/>
  <c r="N49" i="142"/>
  <c r="M49" i="142"/>
  <c r="L49" i="142"/>
  <c r="B49" i="142"/>
  <c r="N48" i="142"/>
  <c r="M48" i="142"/>
  <c r="L48" i="142"/>
  <c r="B48" i="142"/>
  <c r="N47" i="142"/>
  <c r="M47" i="142"/>
  <c r="L47" i="142"/>
  <c r="B47" i="142"/>
  <c r="N46" i="142"/>
  <c r="M46" i="142"/>
  <c r="L46" i="142"/>
  <c r="B46" i="142"/>
  <c r="N45" i="142"/>
  <c r="M45" i="142"/>
  <c r="L45" i="142"/>
  <c r="B45" i="142"/>
  <c r="N44" i="142"/>
  <c r="M44" i="142"/>
  <c r="L44" i="142"/>
  <c r="B44" i="142"/>
  <c r="N43" i="142"/>
  <c r="M43" i="142"/>
  <c r="L43" i="142"/>
  <c r="B43" i="142"/>
  <c r="N42" i="142"/>
  <c r="M42" i="142"/>
  <c r="L42" i="142"/>
  <c r="B42" i="142"/>
  <c r="N41" i="142"/>
  <c r="M41" i="142"/>
  <c r="L41" i="142"/>
  <c r="B41" i="142"/>
  <c r="N40" i="142"/>
  <c r="M40" i="142"/>
  <c r="L40" i="142"/>
  <c r="B40" i="142"/>
  <c r="N39" i="142"/>
  <c r="M39" i="142"/>
  <c r="L39" i="142"/>
  <c r="B39" i="142"/>
  <c r="N38" i="142"/>
  <c r="M38" i="142"/>
  <c r="L38" i="142"/>
  <c r="B38" i="142"/>
  <c r="N37" i="142"/>
  <c r="M37" i="142"/>
  <c r="L37" i="142"/>
  <c r="B37" i="142"/>
  <c r="N36" i="142"/>
  <c r="M36" i="142"/>
  <c r="L36" i="142"/>
  <c r="B36" i="142"/>
  <c r="N35" i="142"/>
  <c r="M35" i="142"/>
  <c r="L35" i="142"/>
  <c r="B35" i="142"/>
  <c r="N34" i="142"/>
  <c r="M34" i="142"/>
  <c r="L34" i="142"/>
  <c r="B34" i="142"/>
  <c r="N33" i="142"/>
  <c r="M33" i="142"/>
  <c r="L33" i="142"/>
  <c r="B33" i="142"/>
  <c r="N32" i="142"/>
  <c r="M32" i="142"/>
  <c r="L32" i="142"/>
  <c r="B32" i="142"/>
  <c r="N31" i="142"/>
  <c r="M31" i="142"/>
  <c r="L31" i="142"/>
  <c r="B31" i="142"/>
  <c r="N30" i="142"/>
  <c r="M30" i="142"/>
  <c r="L30" i="142"/>
  <c r="B30" i="142"/>
  <c r="N29" i="142"/>
  <c r="M29" i="142"/>
  <c r="L29" i="142"/>
  <c r="B29" i="142"/>
  <c r="N28" i="142"/>
  <c r="M28" i="142"/>
  <c r="L28" i="142"/>
  <c r="B28" i="142"/>
  <c r="N27" i="142"/>
  <c r="M27" i="142"/>
  <c r="L27" i="142"/>
  <c r="B27" i="142"/>
  <c r="N26" i="142"/>
  <c r="M26" i="142"/>
  <c r="L26" i="142"/>
  <c r="B26" i="142"/>
  <c r="N25" i="142"/>
  <c r="M25" i="142"/>
  <c r="L25" i="142"/>
  <c r="B25" i="142"/>
  <c r="N24" i="142"/>
  <c r="M24" i="142"/>
  <c r="L24" i="142"/>
  <c r="B24" i="142"/>
  <c r="N23" i="142"/>
  <c r="M23" i="142"/>
  <c r="L23" i="142"/>
  <c r="B23" i="142"/>
  <c r="N22" i="142"/>
  <c r="M22" i="142"/>
  <c r="L22" i="142"/>
  <c r="B22" i="142"/>
  <c r="N21" i="142"/>
  <c r="M21" i="142"/>
  <c r="L21" i="142"/>
  <c r="B21" i="142"/>
  <c r="N20" i="142"/>
  <c r="M20" i="142"/>
  <c r="L20" i="142"/>
  <c r="B20" i="142"/>
  <c r="N19" i="142"/>
  <c r="M19" i="142"/>
  <c r="L19" i="142"/>
  <c r="B19" i="142"/>
  <c r="N18" i="142"/>
  <c r="M18" i="142"/>
  <c r="L18" i="142"/>
  <c r="B18" i="142"/>
  <c r="N17" i="142"/>
  <c r="M17" i="142"/>
  <c r="L17" i="142"/>
  <c r="B17" i="142"/>
  <c r="N16" i="142"/>
  <c r="M16" i="142"/>
  <c r="L16" i="142"/>
  <c r="L15" i="142"/>
  <c r="M15" i="142" s="1"/>
  <c r="B15" i="142"/>
  <c r="B16" i="142" s="1"/>
  <c r="N7" i="142"/>
  <c r="I17" i="141"/>
  <c r="I16" i="141"/>
  <c r="L15" i="141"/>
  <c r="M15" i="141" s="1"/>
  <c r="B15" i="141"/>
  <c r="N7" i="141"/>
  <c r="I115" i="140"/>
  <c r="I116" i="140" s="1"/>
  <c r="I114" i="140"/>
  <c r="N113" i="140"/>
  <c r="M113" i="140"/>
  <c r="L113" i="140"/>
  <c r="B113" i="140"/>
  <c r="N112" i="140"/>
  <c r="M112" i="140"/>
  <c r="L112" i="140"/>
  <c r="B112" i="140"/>
  <c r="N111" i="140"/>
  <c r="M111" i="140"/>
  <c r="L111" i="140"/>
  <c r="B111" i="140"/>
  <c r="N110" i="140"/>
  <c r="M110" i="140"/>
  <c r="L110" i="140"/>
  <c r="B110" i="140"/>
  <c r="N109" i="140"/>
  <c r="M109" i="140"/>
  <c r="L109" i="140"/>
  <c r="B109" i="140"/>
  <c r="N108" i="140"/>
  <c r="M108" i="140"/>
  <c r="L108" i="140"/>
  <c r="B108" i="140"/>
  <c r="N107" i="140"/>
  <c r="M107" i="140"/>
  <c r="L107" i="140"/>
  <c r="B107" i="140"/>
  <c r="N106" i="140"/>
  <c r="M106" i="140"/>
  <c r="L106" i="140"/>
  <c r="B106" i="140"/>
  <c r="N105" i="140"/>
  <c r="M105" i="140"/>
  <c r="L105" i="140"/>
  <c r="B105" i="140"/>
  <c r="N104" i="140"/>
  <c r="M104" i="140"/>
  <c r="L104" i="140"/>
  <c r="B104" i="140"/>
  <c r="N103" i="140"/>
  <c r="M103" i="140"/>
  <c r="L103" i="140"/>
  <c r="B103" i="140"/>
  <c r="N102" i="140"/>
  <c r="M102" i="140"/>
  <c r="L102" i="140"/>
  <c r="B102" i="140"/>
  <c r="N101" i="140"/>
  <c r="M101" i="140"/>
  <c r="L101" i="140"/>
  <c r="B101" i="140"/>
  <c r="N100" i="140"/>
  <c r="M100" i="140"/>
  <c r="L100" i="140"/>
  <c r="B100" i="140"/>
  <c r="N99" i="140"/>
  <c r="M99" i="140"/>
  <c r="L99" i="140"/>
  <c r="B99" i="140"/>
  <c r="N98" i="140"/>
  <c r="M98" i="140"/>
  <c r="L98" i="140"/>
  <c r="B98" i="140"/>
  <c r="N97" i="140"/>
  <c r="M97" i="140"/>
  <c r="L97" i="140"/>
  <c r="B97" i="140"/>
  <c r="N96" i="140"/>
  <c r="M96" i="140"/>
  <c r="L96" i="140"/>
  <c r="B96" i="140"/>
  <c r="N95" i="140"/>
  <c r="M95" i="140"/>
  <c r="L95" i="140"/>
  <c r="B95" i="140"/>
  <c r="N94" i="140"/>
  <c r="M94" i="140"/>
  <c r="L94" i="140"/>
  <c r="B94" i="140"/>
  <c r="N93" i="140"/>
  <c r="M93" i="140"/>
  <c r="L93" i="140"/>
  <c r="B93" i="140"/>
  <c r="N92" i="140"/>
  <c r="M92" i="140"/>
  <c r="L92" i="140"/>
  <c r="B92" i="140"/>
  <c r="N91" i="140"/>
  <c r="M91" i="140"/>
  <c r="L91" i="140"/>
  <c r="B91" i="140"/>
  <c r="N90" i="140"/>
  <c r="M90" i="140"/>
  <c r="L90" i="140"/>
  <c r="B90" i="140"/>
  <c r="N89" i="140"/>
  <c r="M89" i="140"/>
  <c r="L89" i="140"/>
  <c r="B89" i="140"/>
  <c r="N88" i="140"/>
  <c r="M88" i="140"/>
  <c r="L88" i="140"/>
  <c r="B88" i="140"/>
  <c r="N87" i="140"/>
  <c r="M87" i="140"/>
  <c r="L87" i="140"/>
  <c r="B87" i="140"/>
  <c r="N86" i="140"/>
  <c r="M86" i="140"/>
  <c r="L86" i="140"/>
  <c r="B86" i="140"/>
  <c r="N85" i="140"/>
  <c r="M85" i="140"/>
  <c r="L85" i="140"/>
  <c r="B85" i="140"/>
  <c r="N84" i="140"/>
  <c r="M84" i="140"/>
  <c r="L84" i="140"/>
  <c r="B84" i="140"/>
  <c r="N83" i="140"/>
  <c r="M83" i="140"/>
  <c r="L83" i="140"/>
  <c r="B83" i="140"/>
  <c r="N82" i="140"/>
  <c r="M82" i="140"/>
  <c r="L82" i="140"/>
  <c r="B82" i="140"/>
  <c r="N81" i="140"/>
  <c r="M81" i="140"/>
  <c r="L81" i="140"/>
  <c r="B81" i="140"/>
  <c r="N80" i="140"/>
  <c r="M80" i="140"/>
  <c r="L80" i="140"/>
  <c r="B80" i="140"/>
  <c r="N79" i="140"/>
  <c r="M79" i="140"/>
  <c r="L79" i="140"/>
  <c r="B79" i="140"/>
  <c r="N78" i="140"/>
  <c r="M78" i="140"/>
  <c r="L78" i="140"/>
  <c r="B78" i="140"/>
  <c r="N77" i="140"/>
  <c r="M77" i="140"/>
  <c r="L77" i="140"/>
  <c r="B77" i="140"/>
  <c r="N76" i="140"/>
  <c r="M76" i="140"/>
  <c r="L76" i="140"/>
  <c r="B76" i="140"/>
  <c r="N75" i="140"/>
  <c r="M75" i="140"/>
  <c r="L75" i="140"/>
  <c r="B75" i="140"/>
  <c r="N74" i="140"/>
  <c r="M74" i="140"/>
  <c r="L74" i="140"/>
  <c r="B74" i="140"/>
  <c r="N73" i="140"/>
  <c r="M73" i="140"/>
  <c r="L73" i="140"/>
  <c r="B73" i="140"/>
  <c r="N72" i="140"/>
  <c r="M72" i="140"/>
  <c r="L72" i="140"/>
  <c r="B72" i="140"/>
  <c r="N71" i="140"/>
  <c r="M71" i="140"/>
  <c r="L71" i="140"/>
  <c r="B71" i="140"/>
  <c r="N70" i="140"/>
  <c r="M70" i="140"/>
  <c r="L70" i="140"/>
  <c r="B70" i="140"/>
  <c r="N69" i="140"/>
  <c r="M69" i="140"/>
  <c r="L69" i="140"/>
  <c r="B69" i="140"/>
  <c r="N68" i="140"/>
  <c r="M68" i="140"/>
  <c r="L68" i="140"/>
  <c r="B68" i="140"/>
  <c r="N67" i="140"/>
  <c r="M67" i="140"/>
  <c r="L67" i="140"/>
  <c r="B67" i="140"/>
  <c r="N66" i="140"/>
  <c r="M66" i="140"/>
  <c r="L66" i="140"/>
  <c r="B66" i="140"/>
  <c r="N65" i="140"/>
  <c r="M65" i="140"/>
  <c r="L65" i="140"/>
  <c r="B65" i="140"/>
  <c r="N64" i="140"/>
  <c r="M64" i="140"/>
  <c r="L64" i="140"/>
  <c r="B64" i="140"/>
  <c r="N63" i="140"/>
  <c r="M63" i="140"/>
  <c r="L63" i="140"/>
  <c r="B63" i="140"/>
  <c r="N62" i="140"/>
  <c r="M62" i="140"/>
  <c r="L62" i="140"/>
  <c r="B62" i="140"/>
  <c r="N61" i="140"/>
  <c r="M61" i="140"/>
  <c r="L61" i="140"/>
  <c r="B61" i="140"/>
  <c r="N60" i="140"/>
  <c r="M60" i="140"/>
  <c r="L60" i="140"/>
  <c r="B60" i="140"/>
  <c r="N59" i="140"/>
  <c r="M59" i="140"/>
  <c r="L59" i="140"/>
  <c r="B59" i="140"/>
  <c r="N58" i="140"/>
  <c r="M58" i="140"/>
  <c r="L58" i="140"/>
  <c r="B58" i="140"/>
  <c r="N57" i="140"/>
  <c r="M57" i="140"/>
  <c r="L57" i="140"/>
  <c r="B57" i="140"/>
  <c r="N56" i="140"/>
  <c r="M56" i="140"/>
  <c r="L56" i="140"/>
  <c r="B56" i="140"/>
  <c r="N55" i="140"/>
  <c r="M55" i="140"/>
  <c r="L55" i="140"/>
  <c r="B55" i="140"/>
  <c r="N54" i="140"/>
  <c r="M54" i="140"/>
  <c r="L54" i="140"/>
  <c r="B54" i="140"/>
  <c r="N53" i="140"/>
  <c r="M53" i="140"/>
  <c r="L53" i="140"/>
  <c r="B53" i="140"/>
  <c r="N52" i="140"/>
  <c r="M52" i="140"/>
  <c r="L52" i="140"/>
  <c r="B52" i="140"/>
  <c r="N51" i="140"/>
  <c r="M51" i="140"/>
  <c r="L51" i="140"/>
  <c r="B51" i="140"/>
  <c r="N50" i="140"/>
  <c r="M50" i="140"/>
  <c r="L50" i="140"/>
  <c r="B50" i="140"/>
  <c r="N49" i="140"/>
  <c r="M49" i="140"/>
  <c r="L49" i="140"/>
  <c r="B49" i="140"/>
  <c r="N48" i="140"/>
  <c r="M48" i="140"/>
  <c r="L48" i="140"/>
  <c r="B48" i="140"/>
  <c r="N47" i="140"/>
  <c r="M47" i="140"/>
  <c r="L47" i="140"/>
  <c r="B47" i="140"/>
  <c r="N46" i="140"/>
  <c r="M46" i="140"/>
  <c r="L46" i="140"/>
  <c r="B46" i="140"/>
  <c r="N45" i="140"/>
  <c r="M45" i="140"/>
  <c r="L45" i="140"/>
  <c r="B45" i="140"/>
  <c r="N44" i="140"/>
  <c r="M44" i="140"/>
  <c r="L44" i="140"/>
  <c r="B44" i="140"/>
  <c r="N43" i="140"/>
  <c r="M43" i="140"/>
  <c r="L43" i="140"/>
  <c r="B43" i="140"/>
  <c r="N42" i="140"/>
  <c r="M42" i="140"/>
  <c r="L42" i="140"/>
  <c r="B42" i="140"/>
  <c r="N41" i="140"/>
  <c r="M41" i="140"/>
  <c r="L41" i="140"/>
  <c r="B41" i="140"/>
  <c r="N40" i="140"/>
  <c r="M40" i="140"/>
  <c r="L40" i="140"/>
  <c r="B40" i="140"/>
  <c r="N39" i="140"/>
  <c r="M39" i="140"/>
  <c r="L39" i="140"/>
  <c r="B39" i="140"/>
  <c r="N38" i="140"/>
  <c r="M38" i="140"/>
  <c r="L38" i="140"/>
  <c r="B38" i="140"/>
  <c r="N37" i="140"/>
  <c r="M37" i="140"/>
  <c r="L37" i="140"/>
  <c r="B37" i="140"/>
  <c r="N36" i="140"/>
  <c r="M36" i="140"/>
  <c r="L36" i="140"/>
  <c r="B36" i="140"/>
  <c r="N35" i="140"/>
  <c r="M35" i="140"/>
  <c r="L35" i="140"/>
  <c r="B35" i="140"/>
  <c r="N34" i="140"/>
  <c r="M34" i="140"/>
  <c r="L34" i="140"/>
  <c r="B34" i="140"/>
  <c r="N33" i="140"/>
  <c r="M33" i="140"/>
  <c r="L33" i="140"/>
  <c r="B33" i="140"/>
  <c r="N32" i="140"/>
  <c r="M32" i="140"/>
  <c r="L32" i="140"/>
  <c r="B32" i="140"/>
  <c r="N31" i="140"/>
  <c r="M31" i="140"/>
  <c r="L31" i="140"/>
  <c r="B31" i="140"/>
  <c r="N30" i="140"/>
  <c r="M30" i="140"/>
  <c r="L30" i="140"/>
  <c r="B30" i="140"/>
  <c r="N29" i="140"/>
  <c r="M29" i="140"/>
  <c r="L29" i="140"/>
  <c r="B29" i="140"/>
  <c r="N28" i="140"/>
  <c r="M28" i="140"/>
  <c r="L28" i="140"/>
  <c r="B28" i="140"/>
  <c r="N27" i="140"/>
  <c r="M27" i="140"/>
  <c r="L27" i="140"/>
  <c r="B27" i="140"/>
  <c r="N26" i="140"/>
  <c r="M26" i="140"/>
  <c r="L26" i="140"/>
  <c r="B26" i="140"/>
  <c r="N25" i="140"/>
  <c r="M25" i="140"/>
  <c r="L25" i="140"/>
  <c r="B25" i="140"/>
  <c r="N24" i="140"/>
  <c r="M24" i="140"/>
  <c r="L24" i="140"/>
  <c r="B24" i="140"/>
  <c r="N23" i="140"/>
  <c r="M23" i="140"/>
  <c r="L23" i="140"/>
  <c r="B23" i="140"/>
  <c r="N22" i="140"/>
  <c r="M22" i="140"/>
  <c r="L22" i="140"/>
  <c r="B22" i="140"/>
  <c r="N21" i="140"/>
  <c r="M21" i="140"/>
  <c r="L21" i="140"/>
  <c r="B21" i="140"/>
  <c r="N20" i="140"/>
  <c r="M20" i="140"/>
  <c r="L20" i="140"/>
  <c r="B20" i="140"/>
  <c r="N19" i="140"/>
  <c r="M19" i="140"/>
  <c r="L19" i="140"/>
  <c r="B19" i="140"/>
  <c r="N18" i="140"/>
  <c r="M18" i="140"/>
  <c r="L18" i="140"/>
  <c r="B18" i="140"/>
  <c r="N17" i="140"/>
  <c r="M17" i="140"/>
  <c r="L17" i="140"/>
  <c r="B17" i="140"/>
  <c r="N16" i="140"/>
  <c r="M16" i="140"/>
  <c r="L16" i="140"/>
  <c r="L15" i="140"/>
  <c r="M15" i="140" s="1"/>
  <c r="B15" i="140"/>
  <c r="B16" i="140" s="1"/>
  <c r="N7" i="140"/>
  <c r="I17" i="139"/>
  <c r="I16" i="139"/>
  <c r="L15" i="139"/>
  <c r="M15" i="139" s="1"/>
  <c r="G22" i="139" s="1"/>
  <c r="B15" i="139"/>
  <c r="N7" i="139"/>
  <c r="I115" i="138"/>
  <c r="I116" i="138" s="1"/>
  <c r="I114" i="138"/>
  <c r="N113" i="138"/>
  <c r="M113" i="138"/>
  <c r="L113" i="138"/>
  <c r="B113" i="138"/>
  <c r="N112" i="138"/>
  <c r="M112" i="138"/>
  <c r="L112" i="138"/>
  <c r="B112" i="138"/>
  <c r="N111" i="138"/>
  <c r="M111" i="138"/>
  <c r="L111" i="138"/>
  <c r="B111" i="138"/>
  <c r="N110" i="138"/>
  <c r="M110" i="138"/>
  <c r="L110" i="138"/>
  <c r="B110" i="138"/>
  <c r="N109" i="138"/>
  <c r="M109" i="138"/>
  <c r="L109" i="138"/>
  <c r="B109" i="138"/>
  <c r="N108" i="138"/>
  <c r="M108" i="138"/>
  <c r="L108" i="138"/>
  <c r="B108" i="138"/>
  <c r="N107" i="138"/>
  <c r="M107" i="138"/>
  <c r="L107" i="138"/>
  <c r="B107" i="138"/>
  <c r="N106" i="138"/>
  <c r="M106" i="138"/>
  <c r="L106" i="138"/>
  <c r="B106" i="138"/>
  <c r="N105" i="138"/>
  <c r="M105" i="138"/>
  <c r="L105" i="138"/>
  <c r="B105" i="138"/>
  <c r="N104" i="138"/>
  <c r="M104" i="138"/>
  <c r="L104" i="138"/>
  <c r="B104" i="138"/>
  <c r="N103" i="138"/>
  <c r="M103" i="138"/>
  <c r="L103" i="138"/>
  <c r="B103" i="138"/>
  <c r="N102" i="138"/>
  <c r="M102" i="138"/>
  <c r="L102" i="138"/>
  <c r="B102" i="138"/>
  <c r="N101" i="138"/>
  <c r="M101" i="138"/>
  <c r="L101" i="138"/>
  <c r="B101" i="138"/>
  <c r="N100" i="138"/>
  <c r="M100" i="138"/>
  <c r="L100" i="138"/>
  <c r="B100" i="138"/>
  <c r="N99" i="138"/>
  <c r="M99" i="138"/>
  <c r="L99" i="138"/>
  <c r="B99" i="138"/>
  <c r="N98" i="138"/>
  <c r="M98" i="138"/>
  <c r="L98" i="138"/>
  <c r="B98" i="138"/>
  <c r="N97" i="138"/>
  <c r="M97" i="138"/>
  <c r="L97" i="138"/>
  <c r="B97" i="138"/>
  <c r="N96" i="138"/>
  <c r="M96" i="138"/>
  <c r="L96" i="138"/>
  <c r="B96" i="138"/>
  <c r="N95" i="138"/>
  <c r="M95" i="138"/>
  <c r="L95" i="138"/>
  <c r="B95" i="138"/>
  <c r="N94" i="138"/>
  <c r="M94" i="138"/>
  <c r="L94" i="138"/>
  <c r="B94" i="138"/>
  <c r="N93" i="138"/>
  <c r="M93" i="138"/>
  <c r="L93" i="138"/>
  <c r="B93" i="138"/>
  <c r="N92" i="138"/>
  <c r="M92" i="138"/>
  <c r="L92" i="138"/>
  <c r="B92" i="138"/>
  <c r="N91" i="138"/>
  <c r="M91" i="138"/>
  <c r="L91" i="138"/>
  <c r="B91" i="138"/>
  <c r="N90" i="138"/>
  <c r="M90" i="138"/>
  <c r="L90" i="138"/>
  <c r="B90" i="138"/>
  <c r="N89" i="138"/>
  <c r="M89" i="138"/>
  <c r="L89" i="138"/>
  <c r="B89" i="138"/>
  <c r="N88" i="138"/>
  <c r="M88" i="138"/>
  <c r="L88" i="138"/>
  <c r="B88" i="138"/>
  <c r="N87" i="138"/>
  <c r="M87" i="138"/>
  <c r="L87" i="138"/>
  <c r="B87" i="138"/>
  <c r="N86" i="138"/>
  <c r="M86" i="138"/>
  <c r="L86" i="138"/>
  <c r="B86" i="138"/>
  <c r="N85" i="138"/>
  <c r="M85" i="138"/>
  <c r="L85" i="138"/>
  <c r="B85" i="138"/>
  <c r="N84" i="138"/>
  <c r="M84" i="138"/>
  <c r="L84" i="138"/>
  <c r="B84" i="138"/>
  <c r="N83" i="138"/>
  <c r="M83" i="138"/>
  <c r="L83" i="138"/>
  <c r="B83" i="138"/>
  <c r="N82" i="138"/>
  <c r="M82" i="138"/>
  <c r="L82" i="138"/>
  <c r="B82" i="138"/>
  <c r="N81" i="138"/>
  <c r="M81" i="138"/>
  <c r="L81" i="138"/>
  <c r="B81" i="138"/>
  <c r="N80" i="138"/>
  <c r="M80" i="138"/>
  <c r="L80" i="138"/>
  <c r="B80" i="138"/>
  <c r="N79" i="138"/>
  <c r="M79" i="138"/>
  <c r="L79" i="138"/>
  <c r="B79" i="138"/>
  <c r="N78" i="138"/>
  <c r="M78" i="138"/>
  <c r="L78" i="138"/>
  <c r="B78" i="138"/>
  <c r="N77" i="138"/>
  <c r="M77" i="138"/>
  <c r="L77" i="138"/>
  <c r="B77" i="138"/>
  <c r="N76" i="138"/>
  <c r="M76" i="138"/>
  <c r="L76" i="138"/>
  <c r="B76" i="138"/>
  <c r="N75" i="138"/>
  <c r="M75" i="138"/>
  <c r="L75" i="138"/>
  <c r="B75" i="138"/>
  <c r="N74" i="138"/>
  <c r="M74" i="138"/>
  <c r="L74" i="138"/>
  <c r="B74" i="138"/>
  <c r="N73" i="138"/>
  <c r="M73" i="138"/>
  <c r="L73" i="138"/>
  <c r="B73" i="138"/>
  <c r="N72" i="138"/>
  <c r="M72" i="138"/>
  <c r="L72" i="138"/>
  <c r="B72" i="138"/>
  <c r="N71" i="138"/>
  <c r="M71" i="138"/>
  <c r="L71" i="138"/>
  <c r="B71" i="138"/>
  <c r="N70" i="138"/>
  <c r="M70" i="138"/>
  <c r="L70" i="138"/>
  <c r="B70" i="138"/>
  <c r="N69" i="138"/>
  <c r="M69" i="138"/>
  <c r="L69" i="138"/>
  <c r="B69" i="138"/>
  <c r="N68" i="138"/>
  <c r="M68" i="138"/>
  <c r="L68" i="138"/>
  <c r="B68" i="138"/>
  <c r="N67" i="138"/>
  <c r="M67" i="138"/>
  <c r="L67" i="138"/>
  <c r="B67" i="138"/>
  <c r="N66" i="138"/>
  <c r="M66" i="138"/>
  <c r="L66" i="138"/>
  <c r="B66" i="138"/>
  <c r="N65" i="138"/>
  <c r="M65" i="138"/>
  <c r="L65" i="138"/>
  <c r="B65" i="138"/>
  <c r="N64" i="138"/>
  <c r="M64" i="138"/>
  <c r="L64" i="138"/>
  <c r="B64" i="138"/>
  <c r="N63" i="138"/>
  <c r="M63" i="138"/>
  <c r="L63" i="138"/>
  <c r="B63" i="138"/>
  <c r="N62" i="138"/>
  <c r="M62" i="138"/>
  <c r="L62" i="138"/>
  <c r="B62" i="138"/>
  <c r="N61" i="138"/>
  <c r="M61" i="138"/>
  <c r="L61" i="138"/>
  <c r="B61" i="138"/>
  <c r="N60" i="138"/>
  <c r="M60" i="138"/>
  <c r="L60" i="138"/>
  <c r="B60" i="138"/>
  <c r="N59" i="138"/>
  <c r="M59" i="138"/>
  <c r="L59" i="138"/>
  <c r="B59" i="138"/>
  <c r="N58" i="138"/>
  <c r="M58" i="138"/>
  <c r="L58" i="138"/>
  <c r="B58" i="138"/>
  <c r="N57" i="138"/>
  <c r="M57" i="138"/>
  <c r="L57" i="138"/>
  <c r="B57" i="138"/>
  <c r="N56" i="138"/>
  <c r="M56" i="138"/>
  <c r="L56" i="138"/>
  <c r="B56" i="138"/>
  <c r="N55" i="138"/>
  <c r="M55" i="138"/>
  <c r="L55" i="138"/>
  <c r="B55" i="138"/>
  <c r="N54" i="138"/>
  <c r="M54" i="138"/>
  <c r="L54" i="138"/>
  <c r="B54" i="138"/>
  <c r="N53" i="138"/>
  <c r="M53" i="138"/>
  <c r="L53" i="138"/>
  <c r="B53" i="138"/>
  <c r="N52" i="138"/>
  <c r="M52" i="138"/>
  <c r="L52" i="138"/>
  <c r="B52" i="138"/>
  <c r="N51" i="138"/>
  <c r="M51" i="138"/>
  <c r="L51" i="138"/>
  <c r="B51" i="138"/>
  <c r="N50" i="138"/>
  <c r="M50" i="138"/>
  <c r="L50" i="138"/>
  <c r="B50" i="138"/>
  <c r="N49" i="138"/>
  <c r="M49" i="138"/>
  <c r="L49" i="138"/>
  <c r="B49" i="138"/>
  <c r="N48" i="138"/>
  <c r="M48" i="138"/>
  <c r="L48" i="138"/>
  <c r="B48" i="138"/>
  <c r="N47" i="138"/>
  <c r="M47" i="138"/>
  <c r="L47" i="138"/>
  <c r="B47" i="138"/>
  <c r="N46" i="138"/>
  <c r="M46" i="138"/>
  <c r="L46" i="138"/>
  <c r="B46" i="138"/>
  <c r="N45" i="138"/>
  <c r="M45" i="138"/>
  <c r="L45" i="138"/>
  <c r="B45" i="138"/>
  <c r="N44" i="138"/>
  <c r="M44" i="138"/>
  <c r="L44" i="138"/>
  <c r="B44" i="138"/>
  <c r="N43" i="138"/>
  <c r="M43" i="138"/>
  <c r="L43" i="138"/>
  <c r="B43" i="138"/>
  <c r="N42" i="138"/>
  <c r="M42" i="138"/>
  <c r="L42" i="138"/>
  <c r="B42" i="138"/>
  <c r="N41" i="138"/>
  <c r="M41" i="138"/>
  <c r="L41" i="138"/>
  <c r="B41" i="138"/>
  <c r="N40" i="138"/>
  <c r="M40" i="138"/>
  <c r="L40" i="138"/>
  <c r="B40" i="138"/>
  <c r="N39" i="138"/>
  <c r="M39" i="138"/>
  <c r="L39" i="138"/>
  <c r="B39" i="138"/>
  <c r="N38" i="138"/>
  <c r="M38" i="138"/>
  <c r="L38" i="138"/>
  <c r="B38" i="138"/>
  <c r="N37" i="138"/>
  <c r="M37" i="138"/>
  <c r="L37" i="138"/>
  <c r="B37" i="138"/>
  <c r="N36" i="138"/>
  <c r="M36" i="138"/>
  <c r="L36" i="138"/>
  <c r="B36" i="138"/>
  <c r="N35" i="138"/>
  <c r="M35" i="138"/>
  <c r="L35" i="138"/>
  <c r="B35" i="138"/>
  <c r="N34" i="138"/>
  <c r="M34" i="138"/>
  <c r="L34" i="138"/>
  <c r="B34" i="138"/>
  <c r="N33" i="138"/>
  <c r="M33" i="138"/>
  <c r="L33" i="138"/>
  <c r="B33" i="138"/>
  <c r="N32" i="138"/>
  <c r="M32" i="138"/>
  <c r="L32" i="138"/>
  <c r="B32" i="138"/>
  <c r="N31" i="138"/>
  <c r="M31" i="138"/>
  <c r="L31" i="138"/>
  <c r="B31" i="138"/>
  <c r="N30" i="138"/>
  <c r="M30" i="138"/>
  <c r="L30" i="138"/>
  <c r="B30" i="138"/>
  <c r="N29" i="138"/>
  <c r="M29" i="138"/>
  <c r="L29" i="138"/>
  <c r="B29" i="138"/>
  <c r="N28" i="138"/>
  <c r="M28" i="138"/>
  <c r="L28" i="138"/>
  <c r="B28" i="138"/>
  <c r="N27" i="138"/>
  <c r="M27" i="138"/>
  <c r="L27" i="138"/>
  <c r="B27" i="138"/>
  <c r="N26" i="138"/>
  <c r="M26" i="138"/>
  <c r="L26" i="138"/>
  <c r="B26" i="138"/>
  <c r="N25" i="138"/>
  <c r="M25" i="138"/>
  <c r="L25" i="138"/>
  <c r="B25" i="138"/>
  <c r="N24" i="138"/>
  <c r="M24" i="138"/>
  <c r="L24" i="138"/>
  <c r="B24" i="138"/>
  <c r="N23" i="138"/>
  <c r="M23" i="138"/>
  <c r="L23" i="138"/>
  <c r="B23" i="138"/>
  <c r="N22" i="138"/>
  <c r="M22" i="138"/>
  <c r="L22" i="138"/>
  <c r="B22" i="138"/>
  <c r="N21" i="138"/>
  <c r="M21" i="138"/>
  <c r="L21" i="138"/>
  <c r="B21" i="138"/>
  <c r="N20" i="138"/>
  <c r="M20" i="138"/>
  <c r="L20" i="138"/>
  <c r="B20" i="138"/>
  <c r="N19" i="138"/>
  <c r="M19" i="138"/>
  <c r="L19" i="138"/>
  <c r="B19" i="138"/>
  <c r="N18" i="138"/>
  <c r="M18" i="138"/>
  <c r="L18" i="138"/>
  <c r="B18" i="138"/>
  <c r="N17" i="138"/>
  <c r="M17" i="138"/>
  <c r="L17" i="138"/>
  <c r="B17" i="138"/>
  <c r="N16" i="138"/>
  <c r="M16" i="138"/>
  <c r="L16" i="138"/>
  <c r="L15" i="138"/>
  <c r="M15" i="138" s="1"/>
  <c r="B15" i="138"/>
  <c r="B16" i="138" s="1"/>
  <c r="N7" i="138"/>
  <c r="I115" i="137"/>
  <c r="I114" i="137"/>
  <c r="N113" i="137"/>
  <c r="M113" i="137"/>
  <c r="L113" i="137"/>
  <c r="B113" i="137"/>
  <c r="N112" i="137"/>
  <c r="M112" i="137"/>
  <c r="L112" i="137"/>
  <c r="B112" i="137"/>
  <c r="N111" i="137"/>
  <c r="M111" i="137"/>
  <c r="L111" i="137"/>
  <c r="B111" i="137"/>
  <c r="N110" i="137"/>
  <c r="M110" i="137"/>
  <c r="L110" i="137"/>
  <c r="B110" i="137"/>
  <c r="N109" i="137"/>
  <c r="M109" i="137"/>
  <c r="L109" i="137"/>
  <c r="B109" i="137"/>
  <c r="N108" i="137"/>
  <c r="M108" i="137"/>
  <c r="L108" i="137"/>
  <c r="B108" i="137"/>
  <c r="N107" i="137"/>
  <c r="M107" i="137"/>
  <c r="L107" i="137"/>
  <c r="B107" i="137"/>
  <c r="N106" i="137"/>
  <c r="M106" i="137"/>
  <c r="L106" i="137"/>
  <c r="B106" i="137"/>
  <c r="N105" i="137"/>
  <c r="M105" i="137"/>
  <c r="L105" i="137"/>
  <c r="B105" i="137"/>
  <c r="N104" i="137"/>
  <c r="M104" i="137"/>
  <c r="L104" i="137"/>
  <c r="B104" i="137"/>
  <c r="N103" i="137"/>
  <c r="M103" i="137"/>
  <c r="L103" i="137"/>
  <c r="B103" i="137"/>
  <c r="N102" i="137"/>
  <c r="M102" i="137"/>
  <c r="L102" i="137"/>
  <c r="B102" i="137"/>
  <c r="N101" i="137"/>
  <c r="M101" i="137"/>
  <c r="L101" i="137"/>
  <c r="B101" i="137"/>
  <c r="N100" i="137"/>
  <c r="M100" i="137"/>
  <c r="L100" i="137"/>
  <c r="B100" i="137"/>
  <c r="N99" i="137"/>
  <c r="M99" i="137"/>
  <c r="L99" i="137"/>
  <c r="B99" i="137"/>
  <c r="N98" i="137"/>
  <c r="M98" i="137"/>
  <c r="L98" i="137"/>
  <c r="B98" i="137"/>
  <c r="N97" i="137"/>
  <c r="M97" i="137"/>
  <c r="L97" i="137"/>
  <c r="B97" i="137"/>
  <c r="N96" i="137"/>
  <c r="M96" i="137"/>
  <c r="L96" i="137"/>
  <c r="B96" i="137"/>
  <c r="N95" i="137"/>
  <c r="M95" i="137"/>
  <c r="L95" i="137"/>
  <c r="B95" i="137"/>
  <c r="N94" i="137"/>
  <c r="M94" i="137"/>
  <c r="L94" i="137"/>
  <c r="B94" i="137"/>
  <c r="N93" i="137"/>
  <c r="M93" i="137"/>
  <c r="L93" i="137"/>
  <c r="B93" i="137"/>
  <c r="N92" i="137"/>
  <c r="M92" i="137"/>
  <c r="L92" i="137"/>
  <c r="B92" i="137"/>
  <c r="N91" i="137"/>
  <c r="M91" i="137"/>
  <c r="L91" i="137"/>
  <c r="B91" i="137"/>
  <c r="N90" i="137"/>
  <c r="M90" i="137"/>
  <c r="L90" i="137"/>
  <c r="B90" i="137"/>
  <c r="N89" i="137"/>
  <c r="M89" i="137"/>
  <c r="L89" i="137"/>
  <c r="B89" i="137"/>
  <c r="N88" i="137"/>
  <c r="M88" i="137"/>
  <c r="L88" i="137"/>
  <c r="B88" i="137"/>
  <c r="N87" i="137"/>
  <c r="M87" i="137"/>
  <c r="L87" i="137"/>
  <c r="B87" i="137"/>
  <c r="N86" i="137"/>
  <c r="M86" i="137"/>
  <c r="L86" i="137"/>
  <c r="B86" i="137"/>
  <c r="N85" i="137"/>
  <c r="M85" i="137"/>
  <c r="L85" i="137"/>
  <c r="B85" i="137"/>
  <c r="N84" i="137"/>
  <c r="M84" i="137"/>
  <c r="L84" i="137"/>
  <c r="B84" i="137"/>
  <c r="N83" i="137"/>
  <c r="M83" i="137"/>
  <c r="L83" i="137"/>
  <c r="B83" i="137"/>
  <c r="N82" i="137"/>
  <c r="M82" i="137"/>
  <c r="L82" i="137"/>
  <c r="B82" i="137"/>
  <c r="N81" i="137"/>
  <c r="M81" i="137"/>
  <c r="L81" i="137"/>
  <c r="B81" i="137"/>
  <c r="N80" i="137"/>
  <c r="M80" i="137"/>
  <c r="L80" i="137"/>
  <c r="B80" i="137"/>
  <c r="N79" i="137"/>
  <c r="M79" i="137"/>
  <c r="L79" i="137"/>
  <c r="B79" i="137"/>
  <c r="N78" i="137"/>
  <c r="M78" i="137"/>
  <c r="L78" i="137"/>
  <c r="B78" i="137"/>
  <c r="N77" i="137"/>
  <c r="M77" i="137"/>
  <c r="L77" i="137"/>
  <c r="B77" i="137"/>
  <c r="N76" i="137"/>
  <c r="M76" i="137"/>
  <c r="L76" i="137"/>
  <c r="B76" i="137"/>
  <c r="N75" i="137"/>
  <c r="M75" i="137"/>
  <c r="L75" i="137"/>
  <c r="B75" i="137"/>
  <c r="N74" i="137"/>
  <c r="M74" i="137"/>
  <c r="L74" i="137"/>
  <c r="B74" i="137"/>
  <c r="N73" i="137"/>
  <c r="M73" i="137"/>
  <c r="L73" i="137"/>
  <c r="B73" i="137"/>
  <c r="N72" i="137"/>
  <c r="M72" i="137"/>
  <c r="L72" i="137"/>
  <c r="B72" i="137"/>
  <c r="N71" i="137"/>
  <c r="M71" i="137"/>
  <c r="L71" i="137"/>
  <c r="B71" i="137"/>
  <c r="N70" i="137"/>
  <c r="M70" i="137"/>
  <c r="L70" i="137"/>
  <c r="B70" i="137"/>
  <c r="N69" i="137"/>
  <c r="M69" i="137"/>
  <c r="L69" i="137"/>
  <c r="B69" i="137"/>
  <c r="N68" i="137"/>
  <c r="M68" i="137"/>
  <c r="L68" i="137"/>
  <c r="B68" i="137"/>
  <c r="N67" i="137"/>
  <c r="M67" i="137"/>
  <c r="L67" i="137"/>
  <c r="B67" i="137"/>
  <c r="N66" i="137"/>
  <c r="M66" i="137"/>
  <c r="L66" i="137"/>
  <c r="B66" i="137"/>
  <c r="N65" i="137"/>
  <c r="M65" i="137"/>
  <c r="L65" i="137"/>
  <c r="B65" i="137"/>
  <c r="N64" i="137"/>
  <c r="M64" i="137"/>
  <c r="L64" i="137"/>
  <c r="B64" i="137"/>
  <c r="N63" i="137"/>
  <c r="M63" i="137"/>
  <c r="L63" i="137"/>
  <c r="B63" i="137"/>
  <c r="N62" i="137"/>
  <c r="M62" i="137"/>
  <c r="L62" i="137"/>
  <c r="B62" i="137"/>
  <c r="N61" i="137"/>
  <c r="M61" i="137"/>
  <c r="L61" i="137"/>
  <c r="B61" i="137"/>
  <c r="N60" i="137"/>
  <c r="M60" i="137"/>
  <c r="L60" i="137"/>
  <c r="B60" i="137"/>
  <c r="N59" i="137"/>
  <c r="M59" i="137"/>
  <c r="L59" i="137"/>
  <c r="B59" i="137"/>
  <c r="N58" i="137"/>
  <c r="M58" i="137"/>
  <c r="L58" i="137"/>
  <c r="B58" i="137"/>
  <c r="N57" i="137"/>
  <c r="M57" i="137"/>
  <c r="L57" i="137"/>
  <c r="B57" i="137"/>
  <c r="N56" i="137"/>
  <c r="M56" i="137"/>
  <c r="L56" i="137"/>
  <c r="B56" i="137"/>
  <c r="N55" i="137"/>
  <c r="M55" i="137"/>
  <c r="L55" i="137"/>
  <c r="B55" i="137"/>
  <c r="N54" i="137"/>
  <c r="M54" i="137"/>
  <c r="L54" i="137"/>
  <c r="B54" i="137"/>
  <c r="N53" i="137"/>
  <c r="M53" i="137"/>
  <c r="L53" i="137"/>
  <c r="B53" i="137"/>
  <c r="N52" i="137"/>
  <c r="M52" i="137"/>
  <c r="L52" i="137"/>
  <c r="B52" i="137"/>
  <c r="N51" i="137"/>
  <c r="M51" i="137"/>
  <c r="L51" i="137"/>
  <c r="B51" i="137"/>
  <c r="N50" i="137"/>
  <c r="M50" i="137"/>
  <c r="L50" i="137"/>
  <c r="B50" i="137"/>
  <c r="N49" i="137"/>
  <c r="M49" i="137"/>
  <c r="L49" i="137"/>
  <c r="B49" i="137"/>
  <c r="N48" i="137"/>
  <c r="M48" i="137"/>
  <c r="L48" i="137"/>
  <c r="B48" i="137"/>
  <c r="N47" i="137"/>
  <c r="M47" i="137"/>
  <c r="L47" i="137"/>
  <c r="B47" i="137"/>
  <c r="N46" i="137"/>
  <c r="M46" i="137"/>
  <c r="L46" i="137"/>
  <c r="B46" i="137"/>
  <c r="N45" i="137"/>
  <c r="M45" i="137"/>
  <c r="L45" i="137"/>
  <c r="B45" i="137"/>
  <c r="N44" i="137"/>
  <c r="M44" i="137"/>
  <c r="L44" i="137"/>
  <c r="B44" i="137"/>
  <c r="N43" i="137"/>
  <c r="M43" i="137"/>
  <c r="L43" i="137"/>
  <c r="B43" i="137"/>
  <c r="N42" i="137"/>
  <c r="M42" i="137"/>
  <c r="L42" i="137"/>
  <c r="B42" i="137"/>
  <c r="N41" i="137"/>
  <c r="M41" i="137"/>
  <c r="L41" i="137"/>
  <c r="B41" i="137"/>
  <c r="N40" i="137"/>
  <c r="M40" i="137"/>
  <c r="L40" i="137"/>
  <c r="B40" i="137"/>
  <c r="N39" i="137"/>
  <c r="M39" i="137"/>
  <c r="L39" i="137"/>
  <c r="B39" i="137"/>
  <c r="N38" i="137"/>
  <c r="M38" i="137"/>
  <c r="L38" i="137"/>
  <c r="B38" i="137"/>
  <c r="N37" i="137"/>
  <c r="M37" i="137"/>
  <c r="L37" i="137"/>
  <c r="B37" i="137"/>
  <c r="N36" i="137"/>
  <c r="M36" i="137"/>
  <c r="L36" i="137"/>
  <c r="B36" i="137"/>
  <c r="N35" i="137"/>
  <c r="M35" i="137"/>
  <c r="L35" i="137"/>
  <c r="B35" i="137"/>
  <c r="N34" i="137"/>
  <c r="M34" i="137"/>
  <c r="L34" i="137"/>
  <c r="B34" i="137"/>
  <c r="N33" i="137"/>
  <c r="M33" i="137"/>
  <c r="L33" i="137"/>
  <c r="B33" i="137"/>
  <c r="N32" i="137"/>
  <c r="M32" i="137"/>
  <c r="L32" i="137"/>
  <c r="B32" i="137"/>
  <c r="N31" i="137"/>
  <c r="M31" i="137"/>
  <c r="L31" i="137"/>
  <c r="B31" i="137"/>
  <c r="N30" i="137"/>
  <c r="M30" i="137"/>
  <c r="L30" i="137"/>
  <c r="B30" i="137"/>
  <c r="N29" i="137"/>
  <c r="M29" i="137"/>
  <c r="L29" i="137"/>
  <c r="B29" i="137"/>
  <c r="N28" i="137"/>
  <c r="M28" i="137"/>
  <c r="L28" i="137"/>
  <c r="B28" i="137"/>
  <c r="N27" i="137"/>
  <c r="M27" i="137"/>
  <c r="L27" i="137"/>
  <c r="B27" i="137"/>
  <c r="N26" i="137"/>
  <c r="M26" i="137"/>
  <c r="L26" i="137"/>
  <c r="B26" i="137"/>
  <c r="N25" i="137"/>
  <c r="M25" i="137"/>
  <c r="L25" i="137"/>
  <c r="B25" i="137"/>
  <c r="N24" i="137"/>
  <c r="M24" i="137"/>
  <c r="L24" i="137"/>
  <c r="B24" i="137"/>
  <c r="N23" i="137"/>
  <c r="M23" i="137"/>
  <c r="L23" i="137"/>
  <c r="B23" i="137"/>
  <c r="N22" i="137"/>
  <c r="M22" i="137"/>
  <c r="L22" i="137"/>
  <c r="B22" i="137"/>
  <c r="N21" i="137"/>
  <c r="M21" i="137"/>
  <c r="L21" i="137"/>
  <c r="B21" i="137"/>
  <c r="N20" i="137"/>
  <c r="M20" i="137"/>
  <c r="L20" i="137"/>
  <c r="B20" i="137"/>
  <c r="N19" i="137"/>
  <c r="M19" i="137"/>
  <c r="L19" i="137"/>
  <c r="B19" i="137"/>
  <c r="N18" i="137"/>
  <c r="M18" i="137"/>
  <c r="L18" i="137"/>
  <c r="B18" i="137"/>
  <c r="N17" i="137"/>
  <c r="M17" i="137"/>
  <c r="L17" i="137"/>
  <c r="B17" i="137"/>
  <c r="N16" i="137"/>
  <c r="M16" i="137"/>
  <c r="L16" i="137"/>
  <c r="M15" i="137"/>
  <c r="G120" i="137" s="1"/>
  <c r="L15" i="137"/>
  <c r="B15" i="137"/>
  <c r="B16" i="137" s="1"/>
  <c r="N7" i="137"/>
  <c r="I115" i="136"/>
  <c r="I116" i="136" s="1"/>
  <c r="I114" i="136"/>
  <c r="N113" i="136"/>
  <c r="M113" i="136"/>
  <c r="L113" i="136"/>
  <c r="B113" i="136"/>
  <c r="N112" i="136"/>
  <c r="M112" i="136"/>
  <c r="L112" i="136"/>
  <c r="B112" i="136"/>
  <c r="N111" i="136"/>
  <c r="M111" i="136"/>
  <c r="L111" i="136"/>
  <c r="B111" i="136"/>
  <c r="N110" i="136"/>
  <c r="M110" i="136"/>
  <c r="L110" i="136"/>
  <c r="B110" i="136"/>
  <c r="N109" i="136"/>
  <c r="M109" i="136"/>
  <c r="L109" i="136"/>
  <c r="B109" i="136"/>
  <c r="N108" i="136"/>
  <c r="M108" i="136"/>
  <c r="L108" i="136"/>
  <c r="B108" i="136"/>
  <c r="N107" i="136"/>
  <c r="M107" i="136"/>
  <c r="L107" i="136"/>
  <c r="B107" i="136"/>
  <c r="N106" i="136"/>
  <c r="M106" i="136"/>
  <c r="L106" i="136"/>
  <c r="B106" i="136"/>
  <c r="N105" i="136"/>
  <c r="M105" i="136"/>
  <c r="L105" i="136"/>
  <c r="B105" i="136"/>
  <c r="N104" i="136"/>
  <c r="M104" i="136"/>
  <c r="L104" i="136"/>
  <c r="B104" i="136"/>
  <c r="N103" i="136"/>
  <c r="M103" i="136"/>
  <c r="L103" i="136"/>
  <c r="B103" i="136"/>
  <c r="N102" i="136"/>
  <c r="M102" i="136"/>
  <c r="L102" i="136"/>
  <c r="B102" i="136"/>
  <c r="N101" i="136"/>
  <c r="M101" i="136"/>
  <c r="L101" i="136"/>
  <c r="B101" i="136"/>
  <c r="N100" i="136"/>
  <c r="M100" i="136"/>
  <c r="L100" i="136"/>
  <c r="B100" i="136"/>
  <c r="N99" i="136"/>
  <c r="M99" i="136"/>
  <c r="L99" i="136"/>
  <c r="B99" i="136"/>
  <c r="N98" i="136"/>
  <c r="M98" i="136"/>
  <c r="L98" i="136"/>
  <c r="B98" i="136"/>
  <c r="N97" i="136"/>
  <c r="M97" i="136"/>
  <c r="L97" i="136"/>
  <c r="B97" i="136"/>
  <c r="N96" i="136"/>
  <c r="M96" i="136"/>
  <c r="L96" i="136"/>
  <c r="B96" i="136"/>
  <c r="N95" i="136"/>
  <c r="M95" i="136"/>
  <c r="L95" i="136"/>
  <c r="B95" i="136"/>
  <c r="N94" i="136"/>
  <c r="M94" i="136"/>
  <c r="L94" i="136"/>
  <c r="B94" i="136"/>
  <c r="N93" i="136"/>
  <c r="M93" i="136"/>
  <c r="L93" i="136"/>
  <c r="B93" i="136"/>
  <c r="N92" i="136"/>
  <c r="M92" i="136"/>
  <c r="L92" i="136"/>
  <c r="B92" i="136"/>
  <c r="N91" i="136"/>
  <c r="M91" i="136"/>
  <c r="L91" i="136"/>
  <c r="B91" i="136"/>
  <c r="N90" i="136"/>
  <c r="M90" i="136"/>
  <c r="L90" i="136"/>
  <c r="B90" i="136"/>
  <c r="N89" i="136"/>
  <c r="M89" i="136"/>
  <c r="L89" i="136"/>
  <c r="B89" i="136"/>
  <c r="N88" i="136"/>
  <c r="M88" i="136"/>
  <c r="L88" i="136"/>
  <c r="B88" i="136"/>
  <c r="N87" i="136"/>
  <c r="M87" i="136"/>
  <c r="L87" i="136"/>
  <c r="B87" i="136"/>
  <c r="N86" i="136"/>
  <c r="M86" i="136"/>
  <c r="L86" i="136"/>
  <c r="B86" i="136"/>
  <c r="N85" i="136"/>
  <c r="M85" i="136"/>
  <c r="L85" i="136"/>
  <c r="B85" i="136"/>
  <c r="N84" i="136"/>
  <c r="M84" i="136"/>
  <c r="L84" i="136"/>
  <c r="B84" i="136"/>
  <c r="N83" i="136"/>
  <c r="M83" i="136"/>
  <c r="L83" i="136"/>
  <c r="B83" i="136"/>
  <c r="N82" i="136"/>
  <c r="M82" i="136"/>
  <c r="L82" i="136"/>
  <c r="B82" i="136"/>
  <c r="N81" i="136"/>
  <c r="M81" i="136"/>
  <c r="L81" i="136"/>
  <c r="B81" i="136"/>
  <c r="N80" i="136"/>
  <c r="M80" i="136"/>
  <c r="L80" i="136"/>
  <c r="B80" i="136"/>
  <c r="N79" i="136"/>
  <c r="M79" i="136"/>
  <c r="L79" i="136"/>
  <c r="B79" i="136"/>
  <c r="N78" i="136"/>
  <c r="M78" i="136"/>
  <c r="L78" i="136"/>
  <c r="B78" i="136"/>
  <c r="N77" i="136"/>
  <c r="M77" i="136"/>
  <c r="L77" i="136"/>
  <c r="B77" i="136"/>
  <c r="N76" i="136"/>
  <c r="M76" i="136"/>
  <c r="L76" i="136"/>
  <c r="B76" i="136"/>
  <c r="N75" i="136"/>
  <c r="M75" i="136"/>
  <c r="L75" i="136"/>
  <c r="B75" i="136"/>
  <c r="N74" i="136"/>
  <c r="M74" i="136"/>
  <c r="L74" i="136"/>
  <c r="B74" i="136"/>
  <c r="N73" i="136"/>
  <c r="M73" i="136"/>
  <c r="L73" i="136"/>
  <c r="B73" i="136"/>
  <c r="N72" i="136"/>
  <c r="M72" i="136"/>
  <c r="L72" i="136"/>
  <c r="B72" i="136"/>
  <c r="N71" i="136"/>
  <c r="M71" i="136"/>
  <c r="L71" i="136"/>
  <c r="B71" i="136"/>
  <c r="N70" i="136"/>
  <c r="M70" i="136"/>
  <c r="L70" i="136"/>
  <c r="B70" i="136"/>
  <c r="N69" i="136"/>
  <c r="M69" i="136"/>
  <c r="L69" i="136"/>
  <c r="B69" i="136"/>
  <c r="N68" i="136"/>
  <c r="M68" i="136"/>
  <c r="L68" i="136"/>
  <c r="B68" i="136"/>
  <c r="N67" i="136"/>
  <c r="M67" i="136"/>
  <c r="L67" i="136"/>
  <c r="B67" i="136"/>
  <c r="N66" i="136"/>
  <c r="M66" i="136"/>
  <c r="L66" i="136"/>
  <c r="B66" i="136"/>
  <c r="N65" i="136"/>
  <c r="M65" i="136"/>
  <c r="L65" i="136"/>
  <c r="B65" i="136"/>
  <c r="N64" i="136"/>
  <c r="M64" i="136"/>
  <c r="L64" i="136"/>
  <c r="B64" i="136"/>
  <c r="N63" i="136"/>
  <c r="M63" i="136"/>
  <c r="L63" i="136"/>
  <c r="B63" i="136"/>
  <c r="N62" i="136"/>
  <c r="M62" i="136"/>
  <c r="L62" i="136"/>
  <c r="B62" i="136"/>
  <c r="N61" i="136"/>
  <c r="M61" i="136"/>
  <c r="L61" i="136"/>
  <c r="B61" i="136"/>
  <c r="N60" i="136"/>
  <c r="M60" i="136"/>
  <c r="L60" i="136"/>
  <c r="B60" i="136"/>
  <c r="N59" i="136"/>
  <c r="M59" i="136"/>
  <c r="L59" i="136"/>
  <c r="B59" i="136"/>
  <c r="N58" i="136"/>
  <c r="M58" i="136"/>
  <c r="L58" i="136"/>
  <c r="B58" i="136"/>
  <c r="N57" i="136"/>
  <c r="M57" i="136"/>
  <c r="L57" i="136"/>
  <c r="B57" i="136"/>
  <c r="N56" i="136"/>
  <c r="M56" i="136"/>
  <c r="L56" i="136"/>
  <c r="B56" i="136"/>
  <c r="N55" i="136"/>
  <c r="M55" i="136"/>
  <c r="L55" i="136"/>
  <c r="B55" i="136"/>
  <c r="N54" i="136"/>
  <c r="M54" i="136"/>
  <c r="L54" i="136"/>
  <c r="B54" i="136"/>
  <c r="N53" i="136"/>
  <c r="M53" i="136"/>
  <c r="L53" i="136"/>
  <c r="B53" i="136"/>
  <c r="N52" i="136"/>
  <c r="M52" i="136"/>
  <c r="L52" i="136"/>
  <c r="B52" i="136"/>
  <c r="N51" i="136"/>
  <c r="M51" i="136"/>
  <c r="L51" i="136"/>
  <c r="B51" i="136"/>
  <c r="N50" i="136"/>
  <c r="M50" i="136"/>
  <c r="L50" i="136"/>
  <c r="B50" i="136"/>
  <c r="N49" i="136"/>
  <c r="M49" i="136"/>
  <c r="L49" i="136"/>
  <c r="B49" i="136"/>
  <c r="N48" i="136"/>
  <c r="M48" i="136"/>
  <c r="L48" i="136"/>
  <c r="B48" i="136"/>
  <c r="N47" i="136"/>
  <c r="M47" i="136"/>
  <c r="L47" i="136"/>
  <c r="B47" i="136"/>
  <c r="N46" i="136"/>
  <c r="M46" i="136"/>
  <c r="L46" i="136"/>
  <c r="B46" i="136"/>
  <c r="N45" i="136"/>
  <c r="M45" i="136"/>
  <c r="L45" i="136"/>
  <c r="B45" i="136"/>
  <c r="N44" i="136"/>
  <c r="M44" i="136"/>
  <c r="L44" i="136"/>
  <c r="B44" i="136"/>
  <c r="N43" i="136"/>
  <c r="M43" i="136"/>
  <c r="L43" i="136"/>
  <c r="B43" i="136"/>
  <c r="N42" i="136"/>
  <c r="M42" i="136"/>
  <c r="L42" i="136"/>
  <c r="B42" i="136"/>
  <c r="N41" i="136"/>
  <c r="M41" i="136"/>
  <c r="L41" i="136"/>
  <c r="B41" i="136"/>
  <c r="N40" i="136"/>
  <c r="M40" i="136"/>
  <c r="L40" i="136"/>
  <c r="B40" i="136"/>
  <c r="N39" i="136"/>
  <c r="M39" i="136"/>
  <c r="L39" i="136"/>
  <c r="B39" i="136"/>
  <c r="N38" i="136"/>
  <c r="M38" i="136"/>
  <c r="L38" i="136"/>
  <c r="B38" i="136"/>
  <c r="N37" i="136"/>
  <c r="M37" i="136"/>
  <c r="L37" i="136"/>
  <c r="B37" i="136"/>
  <c r="N36" i="136"/>
  <c r="M36" i="136"/>
  <c r="L36" i="136"/>
  <c r="B36" i="136"/>
  <c r="N35" i="136"/>
  <c r="M35" i="136"/>
  <c r="L35" i="136"/>
  <c r="B35" i="136"/>
  <c r="N34" i="136"/>
  <c r="M34" i="136"/>
  <c r="L34" i="136"/>
  <c r="B34" i="136"/>
  <c r="N33" i="136"/>
  <c r="M33" i="136"/>
  <c r="L33" i="136"/>
  <c r="B33" i="136"/>
  <c r="N32" i="136"/>
  <c r="M32" i="136"/>
  <c r="L32" i="136"/>
  <c r="B32" i="136"/>
  <c r="N31" i="136"/>
  <c r="M31" i="136"/>
  <c r="L31" i="136"/>
  <c r="B31" i="136"/>
  <c r="N30" i="136"/>
  <c r="M30" i="136"/>
  <c r="L30" i="136"/>
  <c r="B30" i="136"/>
  <c r="N29" i="136"/>
  <c r="M29" i="136"/>
  <c r="L29" i="136"/>
  <c r="B29" i="136"/>
  <c r="N28" i="136"/>
  <c r="M28" i="136"/>
  <c r="L28" i="136"/>
  <c r="B28" i="136"/>
  <c r="N27" i="136"/>
  <c r="M27" i="136"/>
  <c r="L27" i="136"/>
  <c r="B27" i="136"/>
  <c r="N26" i="136"/>
  <c r="M26" i="136"/>
  <c r="L26" i="136"/>
  <c r="B26" i="136"/>
  <c r="N25" i="136"/>
  <c r="M25" i="136"/>
  <c r="L25" i="136"/>
  <c r="B25" i="136"/>
  <c r="N24" i="136"/>
  <c r="M24" i="136"/>
  <c r="L24" i="136"/>
  <c r="B24" i="136"/>
  <c r="N23" i="136"/>
  <c r="M23" i="136"/>
  <c r="L23" i="136"/>
  <c r="B23" i="136"/>
  <c r="N22" i="136"/>
  <c r="M22" i="136"/>
  <c r="L22" i="136"/>
  <c r="B22" i="136"/>
  <c r="N21" i="136"/>
  <c r="M21" i="136"/>
  <c r="L21" i="136"/>
  <c r="B21" i="136"/>
  <c r="N20" i="136"/>
  <c r="M20" i="136"/>
  <c r="L20" i="136"/>
  <c r="B20" i="136"/>
  <c r="N19" i="136"/>
  <c r="M19" i="136"/>
  <c r="L19" i="136"/>
  <c r="B19" i="136"/>
  <c r="N18" i="136"/>
  <c r="M18" i="136"/>
  <c r="L18" i="136"/>
  <c r="B18" i="136"/>
  <c r="N17" i="136"/>
  <c r="M17" i="136"/>
  <c r="L17" i="136"/>
  <c r="B17" i="136"/>
  <c r="N16" i="136"/>
  <c r="M16" i="136"/>
  <c r="L16" i="136"/>
  <c r="L15" i="136"/>
  <c r="M15" i="136" s="1"/>
  <c r="B15" i="136"/>
  <c r="B16" i="136" s="1"/>
  <c r="N7" i="136"/>
  <c r="I115" i="135"/>
  <c r="I114" i="135"/>
  <c r="N113" i="135"/>
  <c r="M113" i="135"/>
  <c r="L113" i="135"/>
  <c r="B113" i="135"/>
  <c r="N112" i="135"/>
  <c r="M112" i="135"/>
  <c r="L112" i="135"/>
  <c r="B112" i="135"/>
  <c r="N111" i="135"/>
  <c r="M111" i="135"/>
  <c r="L111" i="135"/>
  <c r="B111" i="135"/>
  <c r="N110" i="135"/>
  <c r="M110" i="135"/>
  <c r="L110" i="135"/>
  <c r="B110" i="135"/>
  <c r="N109" i="135"/>
  <c r="M109" i="135"/>
  <c r="L109" i="135"/>
  <c r="B109" i="135"/>
  <c r="N108" i="135"/>
  <c r="M108" i="135"/>
  <c r="L108" i="135"/>
  <c r="B108" i="135"/>
  <c r="N107" i="135"/>
  <c r="M107" i="135"/>
  <c r="L107" i="135"/>
  <c r="B107" i="135"/>
  <c r="N106" i="135"/>
  <c r="M106" i="135"/>
  <c r="L106" i="135"/>
  <c r="B106" i="135"/>
  <c r="N105" i="135"/>
  <c r="M105" i="135"/>
  <c r="L105" i="135"/>
  <c r="B105" i="135"/>
  <c r="N104" i="135"/>
  <c r="M104" i="135"/>
  <c r="L104" i="135"/>
  <c r="B104" i="135"/>
  <c r="N103" i="135"/>
  <c r="M103" i="135"/>
  <c r="L103" i="135"/>
  <c r="B103" i="135"/>
  <c r="N102" i="135"/>
  <c r="M102" i="135"/>
  <c r="L102" i="135"/>
  <c r="B102" i="135"/>
  <c r="N101" i="135"/>
  <c r="M101" i="135"/>
  <c r="L101" i="135"/>
  <c r="B101" i="135"/>
  <c r="N100" i="135"/>
  <c r="M100" i="135"/>
  <c r="L100" i="135"/>
  <c r="B100" i="135"/>
  <c r="N99" i="135"/>
  <c r="M99" i="135"/>
  <c r="L99" i="135"/>
  <c r="B99" i="135"/>
  <c r="N98" i="135"/>
  <c r="M98" i="135"/>
  <c r="L98" i="135"/>
  <c r="B98" i="135"/>
  <c r="N97" i="135"/>
  <c r="M97" i="135"/>
  <c r="L97" i="135"/>
  <c r="B97" i="135"/>
  <c r="N96" i="135"/>
  <c r="M96" i="135"/>
  <c r="L96" i="135"/>
  <c r="B96" i="135"/>
  <c r="N95" i="135"/>
  <c r="M95" i="135"/>
  <c r="L95" i="135"/>
  <c r="B95" i="135"/>
  <c r="N94" i="135"/>
  <c r="M94" i="135"/>
  <c r="L94" i="135"/>
  <c r="B94" i="135"/>
  <c r="N93" i="135"/>
  <c r="M93" i="135"/>
  <c r="L93" i="135"/>
  <c r="B93" i="135"/>
  <c r="N92" i="135"/>
  <c r="M92" i="135"/>
  <c r="L92" i="135"/>
  <c r="B92" i="135"/>
  <c r="N91" i="135"/>
  <c r="M91" i="135"/>
  <c r="L91" i="135"/>
  <c r="B91" i="135"/>
  <c r="N90" i="135"/>
  <c r="M90" i="135"/>
  <c r="L90" i="135"/>
  <c r="B90" i="135"/>
  <c r="N89" i="135"/>
  <c r="M89" i="135"/>
  <c r="L89" i="135"/>
  <c r="B89" i="135"/>
  <c r="N88" i="135"/>
  <c r="M88" i="135"/>
  <c r="L88" i="135"/>
  <c r="B88" i="135"/>
  <c r="N87" i="135"/>
  <c r="M87" i="135"/>
  <c r="L87" i="135"/>
  <c r="B87" i="135"/>
  <c r="N86" i="135"/>
  <c r="M86" i="135"/>
  <c r="L86" i="135"/>
  <c r="B86" i="135"/>
  <c r="N85" i="135"/>
  <c r="M85" i="135"/>
  <c r="L85" i="135"/>
  <c r="B85" i="135"/>
  <c r="N84" i="135"/>
  <c r="M84" i="135"/>
  <c r="L84" i="135"/>
  <c r="B84" i="135"/>
  <c r="N83" i="135"/>
  <c r="M83" i="135"/>
  <c r="L83" i="135"/>
  <c r="B83" i="135"/>
  <c r="N82" i="135"/>
  <c r="M82" i="135"/>
  <c r="L82" i="135"/>
  <c r="B82" i="135"/>
  <c r="N81" i="135"/>
  <c r="M81" i="135"/>
  <c r="L81" i="135"/>
  <c r="B81" i="135"/>
  <c r="N80" i="135"/>
  <c r="M80" i="135"/>
  <c r="L80" i="135"/>
  <c r="B80" i="135"/>
  <c r="N79" i="135"/>
  <c r="M79" i="135"/>
  <c r="L79" i="135"/>
  <c r="B79" i="135"/>
  <c r="N78" i="135"/>
  <c r="M78" i="135"/>
  <c r="L78" i="135"/>
  <c r="B78" i="135"/>
  <c r="N77" i="135"/>
  <c r="M77" i="135"/>
  <c r="L77" i="135"/>
  <c r="B77" i="135"/>
  <c r="N76" i="135"/>
  <c r="M76" i="135"/>
  <c r="L76" i="135"/>
  <c r="B76" i="135"/>
  <c r="N75" i="135"/>
  <c r="M75" i="135"/>
  <c r="L75" i="135"/>
  <c r="B75" i="135"/>
  <c r="N74" i="135"/>
  <c r="M74" i="135"/>
  <c r="L74" i="135"/>
  <c r="B74" i="135"/>
  <c r="N73" i="135"/>
  <c r="M73" i="135"/>
  <c r="L73" i="135"/>
  <c r="B73" i="135"/>
  <c r="N72" i="135"/>
  <c r="M72" i="135"/>
  <c r="L72" i="135"/>
  <c r="B72" i="135"/>
  <c r="N71" i="135"/>
  <c r="M71" i="135"/>
  <c r="L71" i="135"/>
  <c r="B71" i="135"/>
  <c r="N70" i="135"/>
  <c r="M70" i="135"/>
  <c r="L70" i="135"/>
  <c r="B70" i="135"/>
  <c r="N69" i="135"/>
  <c r="M69" i="135"/>
  <c r="L69" i="135"/>
  <c r="B69" i="135"/>
  <c r="N68" i="135"/>
  <c r="M68" i="135"/>
  <c r="L68" i="135"/>
  <c r="B68" i="135"/>
  <c r="N67" i="135"/>
  <c r="M67" i="135"/>
  <c r="L67" i="135"/>
  <c r="B67" i="135"/>
  <c r="N66" i="135"/>
  <c r="M66" i="135"/>
  <c r="L66" i="135"/>
  <c r="B66" i="135"/>
  <c r="N65" i="135"/>
  <c r="M65" i="135"/>
  <c r="L65" i="135"/>
  <c r="B65" i="135"/>
  <c r="N64" i="135"/>
  <c r="M64" i="135"/>
  <c r="L64" i="135"/>
  <c r="B64" i="135"/>
  <c r="N63" i="135"/>
  <c r="M63" i="135"/>
  <c r="L63" i="135"/>
  <c r="B63" i="135"/>
  <c r="N62" i="135"/>
  <c r="M62" i="135"/>
  <c r="L62" i="135"/>
  <c r="B62" i="135"/>
  <c r="N61" i="135"/>
  <c r="M61" i="135"/>
  <c r="L61" i="135"/>
  <c r="B61" i="135"/>
  <c r="N60" i="135"/>
  <c r="M60" i="135"/>
  <c r="L60" i="135"/>
  <c r="B60" i="135"/>
  <c r="N59" i="135"/>
  <c r="M59" i="135"/>
  <c r="L59" i="135"/>
  <c r="B59" i="135"/>
  <c r="N58" i="135"/>
  <c r="M58" i="135"/>
  <c r="L58" i="135"/>
  <c r="B58" i="135"/>
  <c r="N57" i="135"/>
  <c r="M57" i="135"/>
  <c r="L57" i="135"/>
  <c r="B57" i="135"/>
  <c r="N56" i="135"/>
  <c r="M56" i="135"/>
  <c r="L56" i="135"/>
  <c r="B56" i="135"/>
  <c r="N55" i="135"/>
  <c r="M55" i="135"/>
  <c r="L55" i="135"/>
  <c r="B55" i="135"/>
  <c r="N54" i="135"/>
  <c r="M54" i="135"/>
  <c r="L54" i="135"/>
  <c r="B54" i="135"/>
  <c r="N53" i="135"/>
  <c r="M53" i="135"/>
  <c r="L53" i="135"/>
  <c r="B53" i="135"/>
  <c r="N52" i="135"/>
  <c r="M52" i="135"/>
  <c r="L52" i="135"/>
  <c r="B52" i="135"/>
  <c r="N51" i="135"/>
  <c r="M51" i="135"/>
  <c r="L51" i="135"/>
  <c r="B51" i="135"/>
  <c r="N50" i="135"/>
  <c r="M50" i="135"/>
  <c r="L50" i="135"/>
  <c r="B50" i="135"/>
  <c r="N49" i="135"/>
  <c r="M49" i="135"/>
  <c r="L49" i="135"/>
  <c r="B49" i="135"/>
  <c r="N48" i="135"/>
  <c r="M48" i="135"/>
  <c r="L48" i="135"/>
  <c r="B48" i="135"/>
  <c r="N47" i="135"/>
  <c r="M47" i="135"/>
  <c r="L47" i="135"/>
  <c r="B47" i="135"/>
  <c r="N46" i="135"/>
  <c r="M46" i="135"/>
  <c r="L46" i="135"/>
  <c r="B46" i="135"/>
  <c r="N45" i="135"/>
  <c r="M45" i="135"/>
  <c r="L45" i="135"/>
  <c r="B45" i="135"/>
  <c r="N44" i="135"/>
  <c r="M44" i="135"/>
  <c r="L44" i="135"/>
  <c r="B44" i="135"/>
  <c r="N43" i="135"/>
  <c r="M43" i="135"/>
  <c r="L43" i="135"/>
  <c r="B43" i="135"/>
  <c r="N42" i="135"/>
  <c r="M42" i="135"/>
  <c r="L42" i="135"/>
  <c r="B42" i="135"/>
  <c r="N41" i="135"/>
  <c r="M41" i="135"/>
  <c r="L41" i="135"/>
  <c r="B41" i="135"/>
  <c r="N40" i="135"/>
  <c r="M40" i="135"/>
  <c r="L40" i="135"/>
  <c r="B40" i="135"/>
  <c r="N39" i="135"/>
  <c r="M39" i="135"/>
  <c r="L39" i="135"/>
  <c r="B39" i="135"/>
  <c r="N38" i="135"/>
  <c r="M38" i="135"/>
  <c r="L38" i="135"/>
  <c r="B38" i="135"/>
  <c r="N37" i="135"/>
  <c r="M37" i="135"/>
  <c r="L37" i="135"/>
  <c r="B37" i="135"/>
  <c r="N36" i="135"/>
  <c r="M36" i="135"/>
  <c r="L36" i="135"/>
  <c r="B36" i="135"/>
  <c r="N35" i="135"/>
  <c r="M35" i="135"/>
  <c r="L35" i="135"/>
  <c r="B35" i="135"/>
  <c r="N34" i="135"/>
  <c r="M34" i="135"/>
  <c r="L34" i="135"/>
  <c r="B34" i="135"/>
  <c r="N33" i="135"/>
  <c r="M33" i="135"/>
  <c r="L33" i="135"/>
  <c r="B33" i="135"/>
  <c r="N32" i="135"/>
  <c r="M32" i="135"/>
  <c r="L32" i="135"/>
  <c r="B32" i="135"/>
  <c r="N31" i="135"/>
  <c r="M31" i="135"/>
  <c r="L31" i="135"/>
  <c r="B31" i="135"/>
  <c r="N30" i="135"/>
  <c r="M30" i="135"/>
  <c r="L30" i="135"/>
  <c r="B30" i="135"/>
  <c r="N29" i="135"/>
  <c r="M29" i="135"/>
  <c r="L29" i="135"/>
  <c r="B29" i="135"/>
  <c r="N28" i="135"/>
  <c r="M28" i="135"/>
  <c r="L28" i="135"/>
  <c r="B28" i="135"/>
  <c r="N27" i="135"/>
  <c r="M27" i="135"/>
  <c r="L27" i="135"/>
  <c r="B27" i="135"/>
  <c r="N26" i="135"/>
  <c r="M26" i="135"/>
  <c r="L26" i="135"/>
  <c r="B26" i="135"/>
  <c r="N25" i="135"/>
  <c r="M25" i="135"/>
  <c r="L25" i="135"/>
  <c r="B25" i="135"/>
  <c r="N24" i="135"/>
  <c r="M24" i="135"/>
  <c r="L24" i="135"/>
  <c r="B24" i="135"/>
  <c r="N23" i="135"/>
  <c r="M23" i="135"/>
  <c r="L23" i="135"/>
  <c r="B23" i="135"/>
  <c r="N22" i="135"/>
  <c r="M22" i="135"/>
  <c r="L22" i="135"/>
  <c r="B22" i="135"/>
  <c r="N21" i="135"/>
  <c r="M21" i="135"/>
  <c r="L21" i="135"/>
  <c r="B21" i="135"/>
  <c r="N20" i="135"/>
  <c r="M20" i="135"/>
  <c r="L20" i="135"/>
  <c r="B20" i="135"/>
  <c r="N19" i="135"/>
  <c r="M19" i="135"/>
  <c r="L19" i="135"/>
  <c r="B19" i="135"/>
  <c r="N18" i="135"/>
  <c r="M18" i="135"/>
  <c r="L18" i="135"/>
  <c r="B18" i="135"/>
  <c r="N17" i="135"/>
  <c r="M17" i="135"/>
  <c r="L17" i="135"/>
  <c r="B17" i="135"/>
  <c r="N16" i="135"/>
  <c r="M16" i="135"/>
  <c r="L16" i="135"/>
  <c r="L15" i="135"/>
  <c r="M15" i="135" s="1"/>
  <c r="B15" i="135"/>
  <c r="B16" i="135" s="1"/>
  <c r="N7" i="135"/>
  <c r="I115" i="134"/>
  <c r="I116" i="134" s="1"/>
  <c r="I114" i="134"/>
  <c r="N113" i="134"/>
  <c r="M113" i="134"/>
  <c r="L113" i="134"/>
  <c r="B113" i="134"/>
  <c r="N112" i="134"/>
  <c r="M112" i="134"/>
  <c r="L112" i="134"/>
  <c r="B112" i="134"/>
  <c r="N111" i="134"/>
  <c r="M111" i="134"/>
  <c r="L111" i="134"/>
  <c r="B111" i="134"/>
  <c r="N110" i="134"/>
  <c r="M110" i="134"/>
  <c r="L110" i="134"/>
  <c r="B110" i="134"/>
  <c r="N109" i="134"/>
  <c r="M109" i="134"/>
  <c r="L109" i="134"/>
  <c r="B109" i="134"/>
  <c r="N108" i="134"/>
  <c r="M108" i="134"/>
  <c r="L108" i="134"/>
  <c r="B108" i="134"/>
  <c r="N107" i="134"/>
  <c r="M107" i="134"/>
  <c r="L107" i="134"/>
  <c r="B107" i="134"/>
  <c r="N106" i="134"/>
  <c r="M106" i="134"/>
  <c r="L106" i="134"/>
  <c r="B106" i="134"/>
  <c r="N105" i="134"/>
  <c r="M105" i="134"/>
  <c r="L105" i="134"/>
  <c r="B105" i="134"/>
  <c r="N104" i="134"/>
  <c r="M104" i="134"/>
  <c r="L104" i="134"/>
  <c r="B104" i="134"/>
  <c r="N103" i="134"/>
  <c r="M103" i="134"/>
  <c r="L103" i="134"/>
  <c r="B103" i="134"/>
  <c r="N102" i="134"/>
  <c r="M102" i="134"/>
  <c r="L102" i="134"/>
  <c r="B102" i="134"/>
  <c r="N101" i="134"/>
  <c r="M101" i="134"/>
  <c r="L101" i="134"/>
  <c r="B101" i="134"/>
  <c r="N100" i="134"/>
  <c r="M100" i="134"/>
  <c r="L100" i="134"/>
  <c r="B100" i="134"/>
  <c r="N99" i="134"/>
  <c r="M99" i="134"/>
  <c r="L99" i="134"/>
  <c r="B99" i="134"/>
  <c r="N98" i="134"/>
  <c r="M98" i="134"/>
  <c r="L98" i="134"/>
  <c r="B98" i="134"/>
  <c r="N97" i="134"/>
  <c r="M97" i="134"/>
  <c r="L97" i="134"/>
  <c r="B97" i="134"/>
  <c r="N96" i="134"/>
  <c r="M96" i="134"/>
  <c r="L96" i="134"/>
  <c r="B96" i="134"/>
  <c r="N95" i="134"/>
  <c r="M95" i="134"/>
  <c r="L95" i="134"/>
  <c r="B95" i="134"/>
  <c r="N94" i="134"/>
  <c r="M94" i="134"/>
  <c r="L94" i="134"/>
  <c r="B94" i="134"/>
  <c r="N93" i="134"/>
  <c r="M93" i="134"/>
  <c r="L93" i="134"/>
  <c r="B93" i="134"/>
  <c r="N92" i="134"/>
  <c r="M92" i="134"/>
  <c r="L92" i="134"/>
  <c r="B92" i="134"/>
  <c r="N91" i="134"/>
  <c r="M91" i="134"/>
  <c r="L91" i="134"/>
  <c r="B91" i="134"/>
  <c r="N90" i="134"/>
  <c r="M90" i="134"/>
  <c r="L90" i="134"/>
  <c r="B90" i="134"/>
  <c r="N89" i="134"/>
  <c r="M89" i="134"/>
  <c r="L89" i="134"/>
  <c r="B89" i="134"/>
  <c r="N88" i="134"/>
  <c r="M88" i="134"/>
  <c r="L88" i="134"/>
  <c r="B88" i="134"/>
  <c r="N87" i="134"/>
  <c r="M87" i="134"/>
  <c r="L87" i="134"/>
  <c r="B87" i="134"/>
  <c r="N86" i="134"/>
  <c r="M86" i="134"/>
  <c r="L86" i="134"/>
  <c r="B86" i="134"/>
  <c r="N85" i="134"/>
  <c r="M85" i="134"/>
  <c r="L85" i="134"/>
  <c r="B85" i="134"/>
  <c r="N84" i="134"/>
  <c r="M84" i="134"/>
  <c r="L84" i="134"/>
  <c r="B84" i="134"/>
  <c r="N83" i="134"/>
  <c r="M83" i="134"/>
  <c r="L83" i="134"/>
  <c r="B83" i="134"/>
  <c r="N82" i="134"/>
  <c r="M82" i="134"/>
  <c r="L82" i="134"/>
  <c r="B82" i="134"/>
  <c r="N81" i="134"/>
  <c r="M81" i="134"/>
  <c r="L81" i="134"/>
  <c r="B81" i="134"/>
  <c r="N80" i="134"/>
  <c r="M80" i="134"/>
  <c r="L80" i="134"/>
  <c r="B80" i="134"/>
  <c r="N79" i="134"/>
  <c r="M79" i="134"/>
  <c r="L79" i="134"/>
  <c r="B79" i="134"/>
  <c r="N78" i="134"/>
  <c r="M78" i="134"/>
  <c r="L78" i="134"/>
  <c r="B78" i="134"/>
  <c r="N77" i="134"/>
  <c r="M77" i="134"/>
  <c r="L77" i="134"/>
  <c r="B77" i="134"/>
  <c r="N76" i="134"/>
  <c r="M76" i="134"/>
  <c r="L76" i="134"/>
  <c r="B76" i="134"/>
  <c r="N75" i="134"/>
  <c r="M75" i="134"/>
  <c r="L75" i="134"/>
  <c r="B75" i="134"/>
  <c r="N74" i="134"/>
  <c r="M74" i="134"/>
  <c r="L74" i="134"/>
  <c r="B74" i="134"/>
  <c r="N73" i="134"/>
  <c r="M73" i="134"/>
  <c r="L73" i="134"/>
  <c r="B73" i="134"/>
  <c r="N72" i="134"/>
  <c r="M72" i="134"/>
  <c r="L72" i="134"/>
  <c r="B72" i="134"/>
  <c r="N71" i="134"/>
  <c r="M71" i="134"/>
  <c r="L71" i="134"/>
  <c r="B71" i="134"/>
  <c r="N70" i="134"/>
  <c r="M70" i="134"/>
  <c r="L70" i="134"/>
  <c r="B70" i="134"/>
  <c r="N69" i="134"/>
  <c r="M69" i="134"/>
  <c r="L69" i="134"/>
  <c r="B69" i="134"/>
  <c r="N68" i="134"/>
  <c r="M68" i="134"/>
  <c r="L68" i="134"/>
  <c r="B68" i="134"/>
  <c r="N67" i="134"/>
  <c r="M67" i="134"/>
  <c r="L67" i="134"/>
  <c r="B67" i="134"/>
  <c r="N66" i="134"/>
  <c r="M66" i="134"/>
  <c r="L66" i="134"/>
  <c r="B66" i="134"/>
  <c r="N65" i="134"/>
  <c r="M65" i="134"/>
  <c r="L65" i="134"/>
  <c r="B65" i="134"/>
  <c r="N64" i="134"/>
  <c r="M64" i="134"/>
  <c r="L64" i="134"/>
  <c r="B64" i="134"/>
  <c r="N63" i="134"/>
  <c r="M63" i="134"/>
  <c r="L63" i="134"/>
  <c r="B63" i="134"/>
  <c r="N62" i="134"/>
  <c r="M62" i="134"/>
  <c r="L62" i="134"/>
  <c r="B62" i="134"/>
  <c r="N61" i="134"/>
  <c r="M61" i="134"/>
  <c r="L61" i="134"/>
  <c r="B61" i="134"/>
  <c r="N60" i="134"/>
  <c r="M60" i="134"/>
  <c r="L60" i="134"/>
  <c r="B60" i="134"/>
  <c r="N59" i="134"/>
  <c r="M59" i="134"/>
  <c r="L59" i="134"/>
  <c r="B59" i="134"/>
  <c r="N58" i="134"/>
  <c r="M58" i="134"/>
  <c r="L58" i="134"/>
  <c r="B58" i="134"/>
  <c r="N57" i="134"/>
  <c r="M57" i="134"/>
  <c r="L57" i="134"/>
  <c r="B57" i="134"/>
  <c r="N56" i="134"/>
  <c r="M56" i="134"/>
  <c r="L56" i="134"/>
  <c r="B56" i="134"/>
  <c r="N55" i="134"/>
  <c r="M55" i="134"/>
  <c r="L55" i="134"/>
  <c r="B55" i="134"/>
  <c r="N54" i="134"/>
  <c r="M54" i="134"/>
  <c r="L54" i="134"/>
  <c r="B54" i="134"/>
  <c r="N53" i="134"/>
  <c r="M53" i="134"/>
  <c r="L53" i="134"/>
  <c r="B53" i="134"/>
  <c r="N52" i="134"/>
  <c r="M52" i="134"/>
  <c r="L52" i="134"/>
  <c r="B52" i="134"/>
  <c r="N51" i="134"/>
  <c r="M51" i="134"/>
  <c r="L51" i="134"/>
  <c r="B51" i="134"/>
  <c r="N50" i="134"/>
  <c r="M50" i="134"/>
  <c r="L50" i="134"/>
  <c r="B50" i="134"/>
  <c r="N49" i="134"/>
  <c r="M49" i="134"/>
  <c r="L49" i="134"/>
  <c r="B49" i="134"/>
  <c r="N48" i="134"/>
  <c r="M48" i="134"/>
  <c r="L48" i="134"/>
  <c r="B48" i="134"/>
  <c r="N47" i="134"/>
  <c r="M47" i="134"/>
  <c r="L47" i="134"/>
  <c r="B47" i="134"/>
  <c r="N46" i="134"/>
  <c r="M46" i="134"/>
  <c r="L46" i="134"/>
  <c r="B46" i="134"/>
  <c r="N45" i="134"/>
  <c r="M45" i="134"/>
  <c r="L45" i="134"/>
  <c r="B45" i="134"/>
  <c r="N44" i="134"/>
  <c r="M44" i="134"/>
  <c r="L44" i="134"/>
  <c r="B44" i="134"/>
  <c r="N43" i="134"/>
  <c r="M43" i="134"/>
  <c r="L43" i="134"/>
  <c r="B43" i="134"/>
  <c r="N42" i="134"/>
  <c r="M42" i="134"/>
  <c r="L42" i="134"/>
  <c r="B42" i="134"/>
  <c r="N41" i="134"/>
  <c r="M41" i="134"/>
  <c r="L41" i="134"/>
  <c r="B41" i="134"/>
  <c r="N40" i="134"/>
  <c r="M40" i="134"/>
  <c r="L40" i="134"/>
  <c r="B40" i="134"/>
  <c r="N39" i="134"/>
  <c r="M39" i="134"/>
  <c r="L39" i="134"/>
  <c r="B39" i="134"/>
  <c r="N38" i="134"/>
  <c r="M38" i="134"/>
  <c r="L38" i="134"/>
  <c r="B38" i="134"/>
  <c r="N37" i="134"/>
  <c r="M37" i="134"/>
  <c r="L37" i="134"/>
  <c r="B37" i="134"/>
  <c r="N36" i="134"/>
  <c r="M36" i="134"/>
  <c r="L36" i="134"/>
  <c r="B36" i="134"/>
  <c r="N35" i="134"/>
  <c r="M35" i="134"/>
  <c r="L35" i="134"/>
  <c r="B35" i="134"/>
  <c r="N34" i="134"/>
  <c r="M34" i="134"/>
  <c r="L34" i="134"/>
  <c r="B34" i="134"/>
  <c r="N33" i="134"/>
  <c r="M33" i="134"/>
  <c r="L33" i="134"/>
  <c r="B33" i="134"/>
  <c r="N32" i="134"/>
  <c r="M32" i="134"/>
  <c r="L32" i="134"/>
  <c r="B32" i="134"/>
  <c r="N31" i="134"/>
  <c r="M31" i="134"/>
  <c r="L31" i="134"/>
  <c r="B31" i="134"/>
  <c r="N30" i="134"/>
  <c r="M30" i="134"/>
  <c r="L30" i="134"/>
  <c r="B30" i="134"/>
  <c r="N29" i="134"/>
  <c r="M29" i="134"/>
  <c r="L29" i="134"/>
  <c r="B29" i="134"/>
  <c r="N28" i="134"/>
  <c r="M28" i="134"/>
  <c r="L28" i="134"/>
  <c r="B28" i="134"/>
  <c r="N27" i="134"/>
  <c r="M27" i="134"/>
  <c r="L27" i="134"/>
  <c r="B27" i="134"/>
  <c r="N26" i="134"/>
  <c r="M26" i="134"/>
  <c r="L26" i="134"/>
  <c r="B26" i="134"/>
  <c r="N25" i="134"/>
  <c r="M25" i="134"/>
  <c r="L25" i="134"/>
  <c r="B25" i="134"/>
  <c r="N24" i="134"/>
  <c r="M24" i="134"/>
  <c r="L24" i="134"/>
  <c r="B24" i="134"/>
  <c r="N23" i="134"/>
  <c r="M23" i="134"/>
  <c r="L23" i="134"/>
  <c r="B23" i="134"/>
  <c r="N22" i="134"/>
  <c r="M22" i="134"/>
  <c r="L22" i="134"/>
  <c r="B22" i="134"/>
  <c r="N21" i="134"/>
  <c r="M21" i="134"/>
  <c r="L21" i="134"/>
  <c r="B21" i="134"/>
  <c r="N20" i="134"/>
  <c r="M20" i="134"/>
  <c r="L20" i="134"/>
  <c r="B20" i="134"/>
  <c r="N19" i="134"/>
  <c r="M19" i="134"/>
  <c r="L19" i="134"/>
  <c r="B19" i="134"/>
  <c r="N18" i="134"/>
  <c r="M18" i="134"/>
  <c r="L18" i="134"/>
  <c r="B18" i="134"/>
  <c r="N17" i="134"/>
  <c r="M17" i="134"/>
  <c r="L17" i="134"/>
  <c r="B17" i="134"/>
  <c r="N16" i="134"/>
  <c r="M16" i="134"/>
  <c r="L16" i="134"/>
  <c r="M15" i="134"/>
  <c r="G120" i="134" s="1"/>
  <c r="L15" i="134"/>
  <c r="B15" i="134"/>
  <c r="B16" i="134" s="1"/>
  <c r="N7" i="134"/>
  <c r="I20" i="133"/>
  <c r="I19" i="133"/>
  <c r="M18" i="133"/>
  <c r="N18" i="133" s="1"/>
  <c r="L18" i="133"/>
  <c r="L17" i="133"/>
  <c r="L16" i="133"/>
  <c r="L15" i="133"/>
  <c r="M15" i="133" s="1"/>
  <c r="B15" i="133"/>
  <c r="B16" i="133" s="1"/>
  <c r="B17" i="133" s="1"/>
  <c r="B18" i="133" s="1"/>
  <c r="N7" i="133"/>
  <c r="I115" i="132"/>
  <c r="I116" i="132" s="1"/>
  <c r="I114" i="132"/>
  <c r="N113" i="132"/>
  <c r="M113" i="132"/>
  <c r="L113" i="132"/>
  <c r="B113" i="132"/>
  <c r="N112" i="132"/>
  <c r="M112" i="132"/>
  <c r="L112" i="132"/>
  <c r="B112" i="132"/>
  <c r="N111" i="132"/>
  <c r="M111" i="132"/>
  <c r="L111" i="132"/>
  <c r="B111" i="132"/>
  <c r="N110" i="132"/>
  <c r="M110" i="132"/>
  <c r="L110" i="132"/>
  <c r="B110" i="132"/>
  <c r="N109" i="132"/>
  <c r="M109" i="132"/>
  <c r="L109" i="132"/>
  <c r="B109" i="132"/>
  <c r="N108" i="132"/>
  <c r="M108" i="132"/>
  <c r="L108" i="132"/>
  <c r="B108" i="132"/>
  <c r="N107" i="132"/>
  <c r="M107" i="132"/>
  <c r="L107" i="132"/>
  <c r="B107" i="132"/>
  <c r="N106" i="132"/>
  <c r="M106" i="132"/>
  <c r="L106" i="132"/>
  <c r="B106" i="132"/>
  <c r="N105" i="132"/>
  <c r="M105" i="132"/>
  <c r="L105" i="132"/>
  <c r="B105" i="132"/>
  <c r="N104" i="132"/>
  <c r="M104" i="132"/>
  <c r="L104" i="132"/>
  <c r="B104" i="132"/>
  <c r="N103" i="132"/>
  <c r="M103" i="132"/>
  <c r="L103" i="132"/>
  <c r="B103" i="132"/>
  <c r="N102" i="132"/>
  <c r="M102" i="132"/>
  <c r="L102" i="132"/>
  <c r="B102" i="132"/>
  <c r="N101" i="132"/>
  <c r="M101" i="132"/>
  <c r="L101" i="132"/>
  <c r="B101" i="132"/>
  <c r="N100" i="132"/>
  <c r="M100" i="132"/>
  <c r="L100" i="132"/>
  <c r="B100" i="132"/>
  <c r="N99" i="132"/>
  <c r="M99" i="132"/>
  <c r="L99" i="132"/>
  <c r="B99" i="132"/>
  <c r="N98" i="132"/>
  <c r="M98" i="132"/>
  <c r="L98" i="132"/>
  <c r="B98" i="132"/>
  <c r="N97" i="132"/>
  <c r="M97" i="132"/>
  <c r="L97" i="132"/>
  <c r="B97" i="132"/>
  <c r="N96" i="132"/>
  <c r="M96" i="132"/>
  <c r="L96" i="132"/>
  <c r="B96" i="132"/>
  <c r="N95" i="132"/>
  <c r="M95" i="132"/>
  <c r="L95" i="132"/>
  <c r="B95" i="132"/>
  <c r="N94" i="132"/>
  <c r="M94" i="132"/>
  <c r="L94" i="132"/>
  <c r="B94" i="132"/>
  <c r="N93" i="132"/>
  <c r="M93" i="132"/>
  <c r="L93" i="132"/>
  <c r="B93" i="132"/>
  <c r="N92" i="132"/>
  <c r="M92" i="132"/>
  <c r="L92" i="132"/>
  <c r="B92" i="132"/>
  <c r="N91" i="132"/>
  <c r="M91" i="132"/>
  <c r="L91" i="132"/>
  <c r="B91" i="132"/>
  <c r="N90" i="132"/>
  <c r="M90" i="132"/>
  <c r="L90" i="132"/>
  <c r="B90" i="132"/>
  <c r="N89" i="132"/>
  <c r="M89" i="132"/>
  <c r="L89" i="132"/>
  <c r="B89" i="132"/>
  <c r="N88" i="132"/>
  <c r="M88" i="132"/>
  <c r="L88" i="132"/>
  <c r="B88" i="132"/>
  <c r="N87" i="132"/>
  <c r="M87" i="132"/>
  <c r="L87" i="132"/>
  <c r="B87" i="132"/>
  <c r="N86" i="132"/>
  <c r="M86" i="132"/>
  <c r="L86" i="132"/>
  <c r="B86" i="132"/>
  <c r="N85" i="132"/>
  <c r="M85" i="132"/>
  <c r="L85" i="132"/>
  <c r="B85" i="132"/>
  <c r="N84" i="132"/>
  <c r="M84" i="132"/>
  <c r="L84" i="132"/>
  <c r="B84" i="132"/>
  <c r="N83" i="132"/>
  <c r="M83" i="132"/>
  <c r="L83" i="132"/>
  <c r="B83" i="132"/>
  <c r="N82" i="132"/>
  <c r="M82" i="132"/>
  <c r="L82" i="132"/>
  <c r="B82" i="132"/>
  <c r="N81" i="132"/>
  <c r="M81" i="132"/>
  <c r="L81" i="132"/>
  <c r="B81" i="132"/>
  <c r="N80" i="132"/>
  <c r="M80" i="132"/>
  <c r="L80" i="132"/>
  <c r="B80" i="132"/>
  <c r="N79" i="132"/>
  <c r="M79" i="132"/>
  <c r="L79" i="132"/>
  <c r="B79" i="132"/>
  <c r="N78" i="132"/>
  <c r="M78" i="132"/>
  <c r="L78" i="132"/>
  <c r="B78" i="132"/>
  <c r="N77" i="132"/>
  <c r="M77" i="132"/>
  <c r="L77" i="132"/>
  <c r="B77" i="132"/>
  <c r="N76" i="132"/>
  <c r="M76" i="132"/>
  <c r="L76" i="132"/>
  <c r="B76" i="132"/>
  <c r="N75" i="132"/>
  <c r="M75" i="132"/>
  <c r="L75" i="132"/>
  <c r="B75" i="132"/>
  <c r="N74" i="132"/>
  <c r="M74" i="132"/>
  <c r="L74" i="132"/>
  <c r="B74" i="132"/>
  <c r="N73" i="132"/>
  <c r="M73" i="132"/>
  <c r="L73" i="132"/>
  <c r="B73" i="132"/>
  <c r="N72" i="132"/>
  <c r="M72" i="132"/>
  <c r="L72" i="132"/>
  <c r="B72" i="132"/>
  <c r="N71" i="132"/>
  <c r="M71" i="132"/>
  <c r="L71" i="132"/>
  <c r="B71" i="132"/>
  <c r="N70" i="132"/>
  <c r="M70" i="132"/>
  <c r="L70" i="132"/>
  <c r="B70" i="132"/>
  <c r="N69" i="132"/>
  <c r="M69" i="132"/>
  <c r="L69" i="132"/>
  <c r="B69" i="132"/>
  <c r="N68" i="132"/>
  <c r="M68" i="132"/>
  <c r="L68" i="132"/>
  <c r="B68" i="132"/>
  <c r="N67" i="132"/>
  <c r="M67" i="132"/>
  <c r="L67" i="132"/>
  <c r="B67" i="132"/>
  <c r="N66" i="132"/>
  <c r="M66" i="132"/>
  <c r="L66" i="132"/>
  <c r="B66" i="132"/>
  <c r="N65" i="132"/>
  <c r="M65" i="132"/>
  <c r="L65" i="132"/>
  <c r="B65" i="132"/>
  <c r="N64" i="132"/>
  <c r="M64" i="132"/>
  <c r="L64" i="132"/>
  <c r="B64" i="132"/>
  <c r="N63" i="132"/>
  <c r="M63" i="132"/>
  <c r="L63" i="132"/>
  <c r="B63" i="132"/>
  <c r="N62" i="132"/>
  <c r="M62" i="132"/>
  <c r="L62" i="132"/>
  <c r="B62" i="132"/>
  <c r="N61" i="132"/>
  <c r="M61" i="132"/>
  <c r="L61" i="132"/>
  <c r="B61" i="132"/>
  <c r="N60" i="132"/>
  <c r="M60" i="132"/>
  <c r="L60" i="132"/>
  <c r="B60" i="132"/>
  <c r="N59" i="132"/>
  <c r="M59" i="132"/>
  <c r="L59" i="132"/>
  <c r="B59" i="132"/>
  <c r="N58" i="132"/>
  <c r="M58" i="132"/>
  <c r="L58" i="132"/>
  <c r="B58" i="132"/>
  <c r="N57" i="132"/>
  <c r="M57" i="132"/>
  <c r="L57" i="132"/>
  <c r="B57" i="132"/>
  <c r="N56" i="132"/>
  <c r="M56" i="132"/>
  <c r="L56" i="132"/>
  <c r="B56" i="132"/>
  <c r="N55" i="132"/>
  <c r="M55" i="132"/>
  <c r="L55" i="132"/>
  <c r="B55" i="132"/>
  <c r="N54" i="132"/>
  <c r="M54" i="132"/>
  <c r="L54" i="132"/>
  <c r="B54" i="132"/>
  <c r="N53" i="132"/>
  <c r="M53" i="132"/>
  <c r="L53" i="132"/>
  <c r="B53" i="132"/>
  <c r="N52" i="132"/>
  <c r="M52" i="132"/>
  <c r="L52" i="132"/>
  <c r="B52" i="132"/>
  <c r="N51" i="132"/>
  <c r="M51" i="132"/>
  <c r="L51" i="132"/>
  <c r="B51" i="132"/>
  <c r="N50" i="132"/>
  <c r="M50" i="132"/>
  <c r="L50" i="132"/>
  <c r="B50" i="132"/>
  <c r="N49" i="132"/>
  <c r="M49" i="132"/>
  <c r="L49" i="132"/>
  <c r="B49" i="132"/>
  <c r="N48" i="132"/>
  <c r="M48" i="132"/>
  <c r="L48" i="132"/>
  <c r="B48" i="132"/>
  <c r="N47" i="132"/>
  <c r="M47" i="132"/>
  <c r="L47" i="132"/>
  <c r="B47" i="132"/>
  <c r="N46" i="132"/>
  <c r="M46" i="132"/>
  <c r="L46" i="132"/>
  <c r="B46" i="132"/>
  <c r="N45" i="132"/>
  <c r="M45" i="132"/>
  <c r="L45" i="132"/>
  <c r="B45" i="132"/>
  <c r="N44" i="132"/>
  <c r="M44" i="132"/>
  <c r="L44" i="132"/>
  <c r="B44" i="132"/>
  <c r="N43" i="132"/>
  <c r="M43" i="132"/>
  <c r="L43" i="132"/>
  <c r="B43" i="132"/>
  <c r="N42" i="132"/>
  <c r="M42" i="132"/>
  <c r="L42" i="132"/>
  <c r="B42" i="132"/>
  <c r="N41" i="132"/>
  <c r="M41" i="132"/>
  <c r="L41" i="132"/>
  <c r="B41" i="132"/>
  <c r="N40" i="132"/>
  <c r="M40" i="132"/>
  <c r="L40" i="132"/>
  <c r="B40" i="132"/>
  <c r="N39" i="132"/>
  <c r="M39" i="132"/>
  <c r="L39" i="132"/>
  <c r="B39" i="132"/>
  <c r="N38" i="132"/>
  <c r="M38" i="132"/>
  <c r="L38" i="132"/>
  <c r="B38" i="132"/>
  <c r="N37" i="132"/>
  <c r="M37" i="132"/>
  <c r="L37" i="132"/>
  <c r="B37" i="132"/>
  <c r="N36" i="132"/>
  <c r="M36" i="132"/>
  <c r="L36" i="132"/>
  <c r="B36" i="132"/>
  <c r="N35" i="132"/>
  <c r="M35" i="132"/>
  <c r="L35" i="132"/>
  <c r="B35" i="132"/>
  <c r="N34" i="132"/>
  <c r="M34" i="132"/>
  <c r="L34" i="132"/>
  <c r="B34" i="132"/>
  <c r="N33" i="132"/>
  <c r="M33" i="132"/>
  <c r="L33" i="132"/>
  <c r="B33" i="132"/>
  <c r="N32" i="132"/>
  <c r="M32" i="132"/>
  <c r="L32" i="132"/>
  <c r="B32" i="132"/>
  <c r="N31" i="132"/>
  <c r="M31" i="132"/>
  <c r="L31" i="132"/>
  <c r="B31" i="132"/>
  <c r="N30" i="132"/>
  <c r="M30" i="132"/>
  <c r="L30" i="132"/>
  <c r="B30" i="132"/>
  <c r="N29" i="132"/>
  <c r="M29" i="132"/>
  <c r="L29" i="132"/>
  <c r="B29" i="132"/>
  <c r="N28" i="132"/>
  <c r="M28" i="132"/>
  <c r="L28" i="132"/>
  <c r="B28" i="132"/>
  <c r="N27" i="132"/>
  <c r="M27" i="132"/>
  <c r="L27" i="132"/>
  <c r="B27" i="132"/>
  <c r="N26" i="132"/>
  <c r="M26" i="132"/>
  <c r="L26" i="132"/>
  <c r="B26" i="132"/>
  <c r="N25" i="132"/>
  <c r="M25" i="132"/>
  <c r="L25" i="132"/>
  <c r="B25" i="132"/>
  <c r="N24" i="132"/>
  <c r="M24" i="132"/>
  <c r="L24" i="132"/>
  <c r="B24" i="132"/>
  <c r="N23" i="132"/>
  <c r="M23" i="132"/>
  <c r="L23" i="132"/>
  <c r="B23" i="132"/>
  <c r="N22" i="132"/>
  <c r="M22" i="132"/>
  <c r="L22" i="132"/>
  <c r="B22" i="132"/>
  <c r="N21" i="132"/>
  <c r="M21" i="132"/>
  <c r="L21" i="132"/>
  <c r="B21" i="132"/>
  <c r="N20" i="132"/>
  <c r="M20" i="132"/>
  <c r="L20" i="132"/>
  <c r="B20" i="132"/>
  <c r="N19" i="132"/>
  <c r="M19" i="132"/>
  <c r="L19" i="132"/>
  <c r="B19" i="132"/>
  <c r="N18" i="132"/>
  <c r="M18" i="132"/>
  <c r="L18" i="132"/>
  <c r="B18" i="132"/>
  <c r="N17" i="132"/>
  <c r="M17" i="132"/>
  <c r="L17" i="132"/>
  <c r="B17" i="132"/>
  <c r="N16" i="132"/>
  <c r="M16" i="132"/>
  <c r="L16" i="132"/>
  <c r="L15" i="132"/>
  <c r="M15" i="132" s="1"/>
  <c r="B15" i="132"/>
  <c r="B16" i="132" s="1"/>
  <c r="N7" i="132"/>
  <c r="I18" i="131"/>
  <c r="I17" i="131"/>
  <c r="L16" i="131"/>
  <c r="L15" i="131"/>
  <c r="B15" i="131"/>
  <c r="B16" i="131" s="1"/>
  <c r="N7" i="131"/>
  <c r="M16" i="131" s="1"/>
  <c r="N16" i="131" s="1"/>
  <c r="I19" i="130"/>
  <c r="I18" i="130"/>
  <c r="L17" i="130"/>
  <c r="L16" i="130"/>
  <c r="L15" i="130"/>
  <c r="B15" i="130"/>
  <c r="B16" i="130" s="1"/>
  <c r="B17" i="130" s="1"/>
  <c r="N7" i="130"/>
  <c r="I17" i="129"/>
  <c r="I16" i="129"/>
  <c r="L15" i="129"/>
  <c r="M15" i="129" s="1"/>
  <c r="G22" i="129" s="1"/>
  <c r="B15" i="129"/>
  <c r="N7" i="129"/>
  <c r="I115" i="128"/>
  <c r="I116" i="128" s="1"/>
  <c r="I114" i="128"/>
  <c r="N113" i="128"/>
  <c r="M113" i="128"/>
  <c r="L113" i="128"/>
  <c r="B113" i="128"/>
  <c r="N112" i="128"/>
  <c r="M112" i="128"/>
  <c r="L112" i="128"/>
  <c r="B112" i="128"/>
  <c r="N111" i="128"/>
  <c r="M111" i="128"/>
  <c r="L111" i="128"/>
  <c r="B111" i="128"/>
  <c r="N110" i="128"/>
  <c r="M110" i="128"/>
  <c r="L110" i="128"/>
  <c r="B110" i="128"/>
  <c r="N109" i="128"/>
  <c r="M109" i="128"/>
  <c r="L109" i="128"/>
  <c r="B109" i="128"/>
  <c r="N108" i="128"/>
  <c r="M108" i="128"/>
  <c r="L108" i="128"/>
  <c r="B108" i="128"/>
  <c r="N107" i="128"/>
  <c r="M107" i="128"/>
  <c r="L107" i="128"/>
  <c r="B107" i="128"/>
  <c r="N106" i="128"/>
  <c r="M106" i="128"/>
  <c r="L106" i="128"/>
  <c r="B106" i="128"/>
  <c r="N105" i="128"/>
  <c r="M105" i="128"/>
  <c r="L105" i="128"/>
  <c r="B105" i="128"/>
  <c r="N104" i="128"/>
  <c r="M104" i="128"/>
  <c r="L104" i="128"/>
  <c r="B104" i="128"/>
  <c r="N103" i="128"/>
  <c r="M103" i="128"/>
  <c r="L103" i="128"/>
  <c r="B103" i="128"/>
  <c r="N102" i="128"/>
  <c r="M102" i="128"/>
  <c r="L102" i="128"/>
  <c r="B102" i="128"/>
  <c r="N101" i="128"/>
  <c r="M101" i="128"/>
  <c r="L101" i="128"/>
  <c r="B101" i="128"/>
  <c r="N100" i="128"/>
  <c r="M100" i="128"/>
  <c r="L100" i="128"/>
  <c r="B100" i="128"/>
  <c r="N99" i="128"/>
  <c r="M99" i="128"/>
  <c r="L99" i="128"/>
  <c r="B99" i="128"/>
  <c r="N98" i="128"/>
  <c r="M98" i="128"/>
  <c r="L98" i="128"/>
  <c r="B98" i="128"/>
  <c r="N97" i="128"/>
  <c r="M97" i="128"/>
  <c r="L97" i="128"/>
  <c r="B97" i="128"/>
  <c r="N96" i="128"/>
  <c r="M96" i="128"/>
  <c r="L96" i="128"/>
  <c r="B96" i="128"/>
  <c r="N95" i="128"/>
  <c r="M95" i="128"/>
  <c r="L95" i="128"/>
  <c r="B95" i="128"/>
  <c r="N94" i="128"/>
  <c r="M94" i="128"/>
  <c r="L94" i="128"/>
  <c r="B94" i="128"/>
  <c r="N93" i="128"/>
  <c r="M93" i="128"/>
  <c r="L93" i="128"/>
  <c r="B93" i="128"/>
  <c r="N92" i="128"/>
  <c r="M92" i="128"/>
  <c r="L92" i="128"/>
  <c r="B92" i="128"/>
  <c r="N91" i="128"/>
  <c r="M91" i="128"/>
  <c r="L91" i="128"/>
  <c r="B91" i="128"/>
  <c r="N90" i="128"/>
  <c r="M90" i="128"/>
  <c r="L90" i="128"/>
  <c r="B90" i="128"/>
  <c r="N89" i="128"/>
  <c r="M89" i="128"/>
  <c r="L89" i="128"/>
  <c r="B89" i="128"/>
  <c r="N88" i="128"/>
  <c r="M88" i="128"/>
  <c r="L88" i="128"/>
  <c r="B88" i="128"/>
  <c r="N87" i="128"/>
  <c r="M87" i="128"/>
  <c r="L87" i="128"/>
  <c r="B87" i="128"/>
  <c r="N86" i="128"/>
  <c r="M86" i="128"/>
  <c r="L86" i="128"/>
  <c r="B86" i="128"/>
  <c r="N85" i="128"/>
  <c r="M85" i="128"/>
  <c r="L85" i="128"/>
  <c r="B85" i="128"/>
  <c r="N84" i="128"/>
  <c r="M84" i="128"/>
  <c r="L84" i="128"/>
  <c r="B84" i="128"/>
  <c r="N83" i="128"/>
  <c r="M83" i="128"/>
  <c r="L83" i="128"/>
  <c r="B83" i="128"/>
  <c r="N82" i="128"/>
  <c r="M82" i="128"/>
  <c r="L82" i="128"/>
  <c r="B82" i="128"/>
  <c r="N81" i="128"/>
  <c r="M81" i="128"/>
  <c r="L81" i="128"/>
  <c r="B81" i="128"/>
  <c r="N80" i="128"/>
  <c r="M80" i="128"/>
  <c r="L80" i="128"/>
  <c r="B80" i="128"/>
  <c r="N79" i="128"/>
  <c r="M79" i="128"/>
  <c r="L79" i="128"/>
  <c r="B79" i="128"/>
  <c r="N78" i="128"/>
  <c r="M78" i="128"/>
  <c r="L78" i="128"/>
  <c r="B78" i="128"/>
  <c r="N77" i="128"/>
  <c r="M77" i="128"/>
  <c r="L77" i="128"/>
  <c r="B77" i="128"/>
  <c r="N76" i="128"/>
  <c r="M76" i="128"/>
  <c r="L76" i="128"/>
  <c r="B76" i="128"/>
  <c r="N75" i="128"/>
  <c r="M75" i="128"/>
  <c r="L75" i="128"/>
  <c r="B75" i="128"/>
  <c r="N74" i="128"/>
  <c r="M74" i="128"/>
  <c r="L74" i="128"/>
  <c r="B74" i="128"/>
  <c r="N73" i="128"/>
  <c r="M73" i="128"/>
  <c r="L73" i="128"/>
  <c r="B73" i="128"/>
  <c r="N72" i="128"/>
  <c r="M72" i="128"/>
  <c r="L72" i="128"/>
  <c r="B72" i="128"/>
  <c r="N71" i="128"/>
  <c r="M71" i="128"/>
  <c r="L71" i="128"/>
  <c r="B71" i="128"/>
  <c r="N70" i="128"/>
  <c r="M70" i="128"/>
  <c r="L70" i="128"/>
  <c r="B70" i="128"/>
  <c r="N69" i="128"/>
  <c r="M69" i="128"/>
  <c r="L69" i="128"/>
  <c r="B69" i="128"/>
  <c r="N68" i="128"/>
  <c r="M68" i="128"/>
  <c r="L68" i="128"/>
  <c r="B68" i="128"/>
  <c r="N67" i="128"/>
  <c r="M67" i="128"/>
  <c r="L67" i="128"/>
  <c r="B67" i="128"/>
  <c r="N66" i="128"/>
  <c r="M66" i="128"/>
  <c r="L66" i="128"/>
  <c r="B66" i="128"/>
  <c r="N65" i="128"/>
  <c r="M65" i="128"/>
  <c r="L65" i="128"/>
  <c r="B65" i="128"/>
  <c r="N64" i="128"/>
  <c r="M64" i="128"/>
  <c r="L64" i="128"/>
  <c r="B64" i="128"/>
  <c r="N63" i="128"/>
  <c r="M63" i="128"/>
  <c r="L63" i="128"/>
  <c r="B63" i="128"/>
  <c r="N62" i="128"/>
  <c r="M62" i="128"/>
  <c r="L62" i="128"/>
  <c r="B62" i="128"/>
  <c r="N61" i="128"/>
  <c r="M61" i="128"/>
  <c r="L61" i="128"/>
  <c r="B61" i="128"/>
  <c r="N60" i="128"/>
  <c r="M60" i="128"/>
  <c r="L60" i="128"/>
  <c r="B60" i="128"/>
  <c r="N59" i="128"/>
  <c r="M59" i="128"/>
  <c r="L59" i="128"/>
  <c r="B59" i="128"/>
  <c r="N58" i="128"/>
  <c r="M58" i="128"/>
  <c r="L58" i="128"/>
  <c r="B58" i="128"/>
  <c r="N57" i="128"/>
  <c r="M57" i="128"/>
  <c r="L57" i="128"/>
  <c r="B57" i="128"/>
  <c r="N56" i="128"/>
  <c r="M56" i="128"/>
  <c r="L56" i="128"/>
  <c r="B56" i="128"/>
  <c r="N55" i="128"/>
  <c r="M55" i="128"/>
  <c r="L55" i="128"/>
  <c r="B55" i="128"/>
  <c r="N54" i="128"/>
  <c r="M54" i="128"/>
  <c r="L54" i="128"/>
  <c r="B54" i="128"/>
  <c r="N53" i="128"/>
  <c r="M53" i="128"/>
  <c r="L53" i="128"/>
  <c r="B53" i="128"/>
  <c r="N52" i="128"/>
  <c r="M52" i="128"/>
  <c r="L52" i="128"/>
  <c r="B52" i="128"/>
  <c r="N51" i="128"/>
  <c r="M51" i="128"/>
  <c r="L51" i="128"/>
  <c r="B51" i="128"/>
  <c r="N50" i="128"/>
  <c r="M50" i="128"/>
  <c r="L50" i="128"/>
  <c r="B50" i="128"/>
  <c r="N49" i="128"/>
  <c r="M49" i="128"/>
  <c r="L49" i="128"/>
  <c r="B49" i="128"/>
  <c r="N48" i="128"/>
  <c r="M48" i="128"/>
  <c r="L48" i="128"/>
  <c r="B48" i="128"/>
  <c r="N47" i="128"/>
  <c r="M47" i="128"/>
  <c r="L47" i="128"/>
  <c r="B47" i="128"/>
  <c r="N46" i="128"/>
  <c r="M46" i="128"/>
  <c r="L46" i="128"/>
  <c r="B46" i="128"/>
  <c r="N45" i="128"/>
  <c r="M45" i="128"/>
  <c r="L45" i="128"/>
  <c r="B45" i="128"/>
  <c r="N44" i="128"/>
  <c r="M44" i="128"/>
  <c r="L44" i="128"/>
  <c r="B44" i="128"/>
  <c r="N43" i="128"/>
  <c r="M43" i="128"/>
  <c r="L43" i="128"/>
  <c r="B43" i="128"/>
  <c r="N42" i="128"/>
  <c r="M42" i="128"/>
  <c r="L42" i="128"/>
  <c r="B42" i="128"/>
  <c r="N41" i="128"/>
  <c r="M41" i="128"/>
  <c r="L41" i="128"/>
  <c r="B41" i="128"/>
  <c r="N40" i="128"/>
  <c r="M40" i="128"/>
  <c r="L40" i="128"/>
  <c r="B40" i="128"/>
  <c r="N39" i="128"/>
  <c r="M39" i="128"/>
  <c r="L39" i="128"/>
  <c r="B39" i="128"/>
  <c r="N38" i="128"/>
  <c r="M38" i="128"/>
  <c r="L38" i="128"/>
  <c r="B38" i="128"/>
  <c r="N37" i="128"/>
  <c r="M37" i="128"/>
  <c r="L37" i="128"/>
  <c r="B37" i="128"/>
  <c r="N36" i="128"/>
  <c r="M36" i="128"/>
  <c r="L36" i="128"/>
  <c r="B36" i="128"/>
  <c r="N35" i="128"/>
  <c r="M35" i="128"/>
  <c r="L35" i="128"/>
  <c r="B35" i="128"/>
  <c r="N34" i="128"/>
  <c r="M34" i="128"/>
  <c r="L34" i="128"/>
  <c r="B34" i="128"/>
  <c r="N33" i="128"/>
  <c r="M33" i="128"/>
  <c r="L33" i="128"/>
  <c r="B33" i="128"/>
  <c r="N32" i="128"/>
  <c r="M32" i="128"/>
  <c r="L32" i="128"/>
  <c r="B32" i="128"/>
  <c r="N31" i="128"/>
  <c r="M31" i="128"/>
  <c r="L31" i="128"/>
  <c r="B31" i="128"/>
  <c r="N30" i="128"/>
  <c r="M30" i="128"/>
  <c r="L30" i="128"/>
  <c r="B30" i="128"/>
  <c r="N29" i="128"/>
  <c r="M29" i="128"/>
  <c r="L29" i="128"/>
  <c r="B29" i="128"/>
  <c r="N28" i="128"/>
  <c r="M28" i="128"/>
  <c r="L28" i="128"/>
  <c r="B28" i="128"/>
  <c r="N27" i="128"/>
  <c r="M27" i="128"/>
  <c r="L27" i="128"/>
  <c r="B27" i="128"/>
  <c r="N26" i="128"/>
  <c r="M26" i="128"/>
  <c r="L26" i="128"/>
  <c r="B26" i="128"/>
  <c r="N25" i="128"/>
  <c r="M25" i="128"/>
  <c r="L25" i="128"/>
  <c r="B25" i="128"/>
  <c r="N24" i="128"/>
  <c r="M24" i="128"/>
  <c r="L24" i="128"/>
  <c r="B24" i="128"/>
  <c r="N23" i="128"/>
  <c r="M23" i="128"/>
  <c r="L23" i="128"/>
  <c r="B23" i="128"/>
  <c r="N22" i="128"/>
  <c r="M22" i="128"/>
  <c r="L22" i="128"/>
  <c r="B22" i="128"/>
  <c r="N21" i="128"/>
  <c r="M21" i="128"/>
  <c r="L21" i="128"/>
  <c r="B21" i="128"/>
  <c r="N20" i="128"/>
  <c r="M20" i="128"/>
  <c r="L20" i="128"/>
  <c r="B20" i="128"/>
  <c r="N19" i="128"/>
  <c r="M19" i="128"/>
  <c r="L19" i="128"/>
  <c r="B19" i="128"/>
  <c r="N18" i="128"/>
  <c r="M18" i="128"/>
  <c r="L18" i="128"/>
  <c r="B18" i="128"/>
  <c r="N17" i="128"/>
  <c r="M17" i="128"/>
  <c r="L17" i="128"/>
  <c r="B17" i="128"/>
  <c r="N16" i="128"/>
  <c r="M16" i="128"/>
  <c r="L16" i="128"/>
  <c r="M15" i="128"/>
  <c r="G120" i="128" s="1"/>
  <c r="L15" i="128"/>
  <c r="B15" i="128"/>
  <c r="B16" i="128" s="1"/>
  <c r="N7" i="128"/>
  <c r="I18" i="127"/>
  <c r="I17" i="127"/>
  <c r="L16" i="127"/>
  <c r="L15" i="127"/>
  <c r="B15" i="127"/>
  <c r="B16" i="127" s="1"/>
  <c r="N7" i="127"/>
  <c r="M16" i="127" s="1"/>
  <c r="N16" i="127" s="1"/>
  <c r="I21" i="126"/>
  <c r="I22" i="126" s="1"/>
  <c r="I20" i="126"/>
  <c r="L19" i="126"/>
  <c r="L18" i="126"/>
  <c r="M18" i="126" s="1"/>
  <c r="N18" i="126" s="1"/>
  <c r="L17" i="126"/>
  <c r="L16" i="126"/>
  <c r="L15" i="126"/>
  <c r="B15" i="126"/>
  <c r="B16" i="126" s="1"/>
  <c r="B17" i="126" s="1"/>
  <c r="B18" i="126" s="1"/>
  <c r="B19" i="126" s="1"/>
  <c r="N7" i="126"/>
  <c r="I40" i="125"/>
  <c r="I39" i="125"/>
  <c r="L38" i="125"/>
  <c r="L37" i="125"/>
  <c r="L36" i="125"/>
  <c r="L35" i="125"/>
  <c r="M35" i="125" s="1"/>
  <c r="N35" i="125" s="1"/>
  <c r="L34" i="125"/>
  <c r="L33" i="125"/>
  <c r="M33" i="125" s="1"/>
  <c r="N33" i="125" s="1"/>
  <c r="L32" i="125"/>
  <c r="L31" i="125"/>
  <c r="L30" i="125"/>
  <c r="L29" i="125"/>
  <c r="L28" i="125"/>
  <c r="M28" i="125" s="1"/>
  <c r="N28" i="125" s="1"/>
  <c r="L27" i="125"/>
  <c r="L26" i="125"/>
  <c r="M26" i="125" s="1"/>
  <c r="N26" i="125" s="1"/>
  <c r="L25" i="125"/>
  <c r="L24" i="125"/>
  <c r="M24" i="125" s="1"/>
  <c r="N24" i="125" s="1"/>
  <c r="L23" i="125"/>
  <c r="L22" i="125"/>
  <c r="L21" i="125"/>
  <c r="L20" i="125"/>
  <c r="L19" i="125"/>
  <c r="L18" i="125"/>
  <c r="L17" i="125"/>
  <c r="L16" i="125"/>
  <c r="M16" i="125" s="1"/>
  <c r="N16" i="125" s="1"/>
  <c r="L15" i="125"/>
  <c r="B15" i="125"/>
  <c r="B16" i="125" s="1"/>
  <c r="B17" i="125" s="1"/>
  <c r="B18" i="125" s="1"/>
  <c r="B19" i="125" s="1"/>
  <c r="B20" i="125" s="1"/>
  <c r="B21" i="125" s="1"/>
  <c r="B22" i="125" s="1"/>
  <c r="B23" i="125" s="1"/>
  <c r="B24" i="125" s="1"/>
  <c r="B25" i="125" s="1"/>
  <c r="B26" i="125" s="1"/>
  <c r="B27" i="125" s="1"/>
  <c r="B28" i="125" s="1"/>
  <c r="B29" i="125" s="1"/>
  <c r="B30" i="125" s="1"/>
  <c r="B31" i="125" s="1"/>
  <c r="B32" i="125" s="1"/>
  <c r="B33" i="125" s="1"/>
  <c r="B34" i="125" s="1"/>
  <c r="B35" i="125" s="1"/>
  <c r="B36" i="125" s="1"/>
  <c r="B37" i="125" s="1"/>
  <c r="B38" i="125" s="1"/>
  <c r="N7" i="125"/>
  <c r="M36" i="125" s="1"/>
  <c r="N36" i="125" s="1"/>
  <c r="I18" i="124"/>
  <c r="I19" i="124" s="1"/>
  <c r="I17" i="124"/>
  <c r="L16" i="124"/>
  <c r="L15" i="124"/>
  <c r="M15" i="124" s="1"/>
  <c r="B15" i="124"/>
  <c r="B16" i="124" s="1"/>
  <c r="N7" i="124"/>
  <c r="I21" i="123"/>
  <c r="I20" i="123"/>
  <c r="L19" i="123"/>
  <c r="L18" i="123"/>
  <c r="M18" i="123" s="1"/>
  <c r="N18" i="123" s="1"/>
  <c r="L17" i="123"/>
  <c r="L16" i="123"/>
  <c r="M16" i="123" s="1"/>
  <c r="N16" i="123" s="1"/>
  <c r="L15" i="123"/>
  <c r="M15" i="123" s="1"/>
  <c r="B15" i="123"/>
  <c r="B16" i="123" s="1"/>
  <c r="B17" i="123" s="1"/>
  <c r="B18" i="123" s="1"/>
  <c r="B19" i="123" s="1"/>
  <c r="N7" i="123"/>
  <c r="M19" i="123" s="1"/>
  <c r="N19" i="123" s="1"/>
  <c r="I18" i="122"/>
  <c r="I17" i="122"/>
  <c r="L16" i="122"/>
  <c r="M15" i="122"/>
  <c r="L15" i="122"/>
  <c r="B15" i="122"/>
  <c r="B16" i="122" s="1"/>
  <c r="N7" i="122"/>
  <c r="I19" i="121"/>
  <c r="I18" i="121"/>
  <c r="L17" i="121"/>
  <c r="M17" i="121" s="1"/>
  <c r="N17" i="121" s="1"/>
  <c r="L16" i="121"/>
  <c r="L15" i="121"/>
  <c r="B15" i="121"/>
  <c r="B16" i="121" s="1"/>
  <c r="B17" i="121" s="1"/>
  <c r="N7" i="121"/>
  <c r="M16" i="121" s="1"/>
  <c r="N16" i="121" s="1"/>
  <c r="I17" i="120"/>
  <c r="I18" i="120" s="1"/>
  <c r="I16" i="120"/>
  <c r="L15" i="120"/>
  <c r="M15" i="120" s="1"/>
  <c r="N15" i="120" s="1"/>
  <c r="B15" i="120"/>
  <c r="N7" i="120"/>
  <c r="I17" i="119"/>
  <c r="I16" i="119"/>
  <c r="L15" i="119"/>
  <c r="M15" i="119" s="1"/>
  <c r="B15" i="119"/>
  <c r="N7" i="119"/>
  <c r="I22" i="118"/>
  <c r="I21" i="118"/>
  <c r="L20" i="118"/>
  <c r="L19" i="118"/>
  <c r="L18" i="118"/>
  <c r="L17" i="118"/>
  <c r="M17" i="118" s="1"/>
  <c r="N17" i="118" s="1"/>
  <c r="L16" i="118"/>
  <c r="L15" i="118"/>
  <c r="B15" i="118"/>
  <c r="B16" i="118" s="1"/>
  <c r="B17" i="118" s="1"/>
  <c r="B18" i="118" s="1"/>
  <c r="B19" i="118" s="1"/>
  <c r="B20" i="118" s="1"/>
  <c r="N7" i="118"/>
  <c r="I17" i="117"/>
  <c r="I16" i="117"/>
  <c r="L15" i="117"/>
  <c r="M15" i="117" s="1"/>
  <c r="B15" i="117"/>
  <c r="N7" i="117"/>
  <c r="I18" i="116"/>
  <c r="I19" i="116" s="1"/>
  <c r="I17" i="116"/>
  <c r="L16" i="116"/>
  <c r="M16" i="116" s="1"/>
  <c r="N16" i="116" s="1"/>
  <c r="L15" i="116"/>
  <c r="M15" i="116" s="1"/>
  <c r="B15" i="116"/>
  <c r="B16" i="116" s="1"/>
  <c r="N7" i="116"/>
  <c r="I115" i="115"/>
  <c r="I116" i="115" s="1"/>
  <c r="I114" i="115"/>
  <c r="N113" i="115"/>
  <c r="M113" i="115"/>
  <c r="L113" i="115"/>
  <c r="B113" i="115"/>
  <c r="N112" i="115"/>
  <c r="M112" i="115"/>
  <c r="L112" i="115"/>
  <c r="B112" i="115"/>
  <c r="N111" i="115"/>
  <c r="M111" i="115"/>
  <c r="L111" i="115"/>
  <c r="B111" i="115"/>
  <c r="N110" i="115"/>
  <c r="M110" i="115"/>
  <c r="L110" i="115"/>
  <c r="B110" i="115"/>
  <c r="N109" i="115"/>
  <c r="M109" i="115"/>
  <c r="L109" i="115"/>
  <c r="B109" i="115"/>
  <c r="N108" i="115"/>
  <c r="M108" i="115"/>
  <c r="L108" i="115"/>
  <c r="B108" i="115"/>
  <c r="N107" i="115"/>
  <c r="M107" i="115"/>
  <c r="L107" i="115"/>
  <c r="B107" i="115"/>
  <c r="N106" i="115"/>
  <c r="M106" i="115"/>
  <c r="L106" i="115"/>
  <c r="B106" i="115"/>
  <c r="N105" i="115"/>
  <c r="M105" i="115"/>
  <c r="L105" i="115"/>
  <c r="B105" i="115"/>
  <c r="N104" i="115"/>
  <c r="M104" i="115"/>
  <c r="L104" i="115"/>
  <c r="B104" i="115"/>
  <c r="N103" i="115"/>
  <c r="M103" i="115"/>
  <c r="L103" i="115"/>
  <c r="B103" i="115"/>
  <c r="N102" i="115"/>
  <c r="M102" i="115"/>
  <c r="L102" i="115"/>
  <c r="B102" i="115"/>
  <c r="N101" i="115"/>
  <c r="M101" i="115"/>
  <c r="L101" i="115"/>
  <c r="B101" i="115"/>
  <c r="N100" i="115"/>
  <c r="M100" i="115"/>
  <c r="L100" i="115"/>
  <c r="B100" i="115"/>
  <c r="N99" i="115"/>
  <c r="M99" i="115"/>
  <c r="L99" i="115"/>
  <c r="B99" i="115"/>
  <c r="N98" i="115"/>
  <c r="M98" i="115"/>
  <c r="L98" i="115"/>
  <c r="B98" i="115"/>
  <c r="N97" i="115"/>
  <c r="M97" i="115"/>
  <c r="L97" i="115"/>
  <c r="B97" i="115"/>
  <c r="N96" i="115"/>
  <c r="M96" i="115"/>
  <c r="L96" i="115"/>
  <c r="B96" i="115"/>
  <c r="N95" i="115"/>
  <c r="M95" i="115"/>
  <c r="L95" i="115"/>
  <c r="B95" i="115"/>
  <c r="N94" i="115"/>
  <c r="M94" i="115"/>
  <c r="L94" i="115"/>
  <c r="B94" i="115"/>
  <c r="N93" i="115"/>
  <c r="M93" i="115"/>
  <c r="L93" i="115"/>
  <c r="B93" i="115"/>
  <c r="N92" i="115"/>
  <c r="M92" i="115"/>
  <c r="L92" i="115"/>
  <c r="B92" i="115"/>
  <c r="N91" i="115"/>
  <c r="M91" i="115"/>
  <c r="L91" i="115"/>
  <c r="B91" i="115"/>
  <c r="N90" i="115"/>
  <c r="M90" i="115"/>
  <c r="L90" i="115"/>
  <c r="B90" i="115"/>
  <c r="N89" i="115"/>
  <c r="M89" i="115"/>
  <c r="L89" i="115"/>
  <c r="B89" i="115"/>
  <c r="N88" i="115"/>
  <c r="M88" i="115"/>
  <c r="L88" i="115"/>
  <c r="B88" i="115"/>
  <c r="N87" i="115"/>
  <c r="M87" i="115"/>
  <c r="L87" i="115"/>
  <c r="B87" i="115"/>
  <c r="N86" i="115"/>
  <c r="M86" i="115"/>
  <c r="L86" i="115"/>
  <c r="B86" i="115"/>
  <c r="N85" i="115"/>
  <c r="M85" i="115"/>
  <c r="L85" i="115"/>
  <c r="B85" i="115"/>
  <c r="N84" i="115"/>
  <c r="M84" i="115"/>
  <c r="L84" i="115"/>
  <c r="B84" i="115"/>
  <c r="N83" i="115"/>
  <c r="M83" i="115"/>
  <c r="L83" i="115"/>
  <c r="B83" i="115"/>
  <c r="N82" i="115"/>
  <c r="M82" i="115"/>
  <c r="L82" i="115"/>
  <c r="B82" i="115"/>
  <c r="N81" i="115"/>
  <c r="M81" i="115"/>
  <c r="L81" i="115"/>
  <c r="B81" i="115"/>
  <c r="N80" i="115"/>
  <c r="M80" i="115"/>
  <c r="L80" i="115"/>
  <c r="B80" i="115"/>
  <c r="N79" i="115"/>
  <c r="M79" i="115"/>
  <c r="L79" i="115"/>
  <c r="B79" i="115"/>
  <c r="N78" i="115"/>
  <c r="M78" i="115"/>
  <c r="L78" i="115"/>
  <c r="B78" i="115"/>
  <c r="N77" i="115"/>
  <c r="M77" i="115"/>
  <c r="L77" i="115"/>
  <c r="B77" i="115"/>
  <c r="N76" i="115"/>
  <c r="M76" i="115"/>
  <c r="L76" i="115"/>
  <c r="B76" i="115"/>
  <c r="N75" i="115"/>
  <c r="M75" i="115"/>
  <c r="L75" i="115"/>
  <c r="B75" i="115"/>
  <c r="N74" i="115"/>
  <c r="M74" i="115"/>
  <c r="L74" i="115"/>
  <c r="B74" i="115"/>
  <c r="N73" i="115"/>
  <c r="M73" i="115"/>
  <c r="L73" i="115"/>
  <c r="B73" i="115"/>
  <c r="N72" i="115"/>
  <c r="M72" i="115"/>
  <c r="L72" i="115"/>
  <c r="B72" i="115"/>
  <c r="N71" i="115"/>
  <c r="M71" i="115"/>
  <c r="L71" i="115"/>
  <c r="B71" i="115"/>
  <c r="N70" i="115"/>
  <c r="M70" i="115"/>
  <c r="L70" i="115"/>
  <c r="B70" i="115"/>
  <c r="N69" i="115"/>
  <c r="M69" i="115"/>
  <c r="L69" i="115"/>
  <c r="B69" i="115"/>
  <c r="N68" i="115"/>
  <c r="M68" i="115"/>
  <c r="L68" i="115"/>
  <c r="B68" i="115"/>
  <c r="N67" i="115"/>
  <c r="M67" i="115"/>
  <c r="L67" i="115"/>
  <c r="B67" i="115"/>
  <c r="N66" i="115"/>
  <c r="M66" i="115"/>
  <c r="L66" i="115"/>
  <c r="B66" i="115"/>
  <c r="N65" i="115"/>
  <c r="M65" i="115"/>
  <c r="L65" i="115"/>
  <c r="B65" i="115"/>
  <c r="N64" i="115"/>
  <c r="M64" i="115"/>
  <c r="L64" i="115"/>
  <c r="B64" i="115"/>
  <c r="N63" i="115"/>
  <c r="M63" i="115"/>
  <c r="L63" i="115"/>
  <c r="B63" i="115"/>
  <c r="N62" i="115"/>
  <c r="M62" i="115"/>
  <c r="L62" i="115"/>
  <c r="B62" i="115"/>
  <c r="N61" i="115"/>
  <c r="M61" i="115"/>
  <c r="L61" i="115"/>
  <c r="B61" i="115"/>
  <c r="N60" i="115"/>
  <c r="M60" i="115"/>
  <c r="L60" i="115"/>
  <c r="B60" i="115"/>
  <c r="N59" i="115"/>
  <c r="M59" i="115"/>
  <c r="L59" i="115"/>
  <c r="B59" i="115"/>
  <c r="N58" i="115"/>
  <c r="M58" i="115"/>
  <c r="L58" i="115"/>
  <c r="B58" i="115"/>
  <c r="N57" i="115"/>
  <c r="M57" i="115"/>
  <c r="L57" i="115"/>
  <c r="B57" i="115"/>
  <c r="N56" i="115"/>
  <c r="M56" i="115"/>
  <c r="L56" i="115"/>
  <c r="B56" i="115"/>
  <c r="N55" i="115"/>
  <c r="M55" i="115"/>
  <c r="L55" i="115"/>
  <c r="B55" i="115"/>
  <c r="N54" i="115"/>
  <c r="M54" i="115"/>
  <c r="L54" i="115"/>
  <c r="B54" i="115"/>
  <c r="N53" i="115"/>
  <c r="M53" i="115"/>
  <c r="L53" i="115"/>
  <c r="B53" i="115"/>
  <c r="N52" i="115"/>
  <c r="M52" i="115"/>
  <c r="L52" i="115"/>
  <c r="B52" i="115"/>
  <c r="N51" i="115"/>
  <c r="M51" i="115"/>
  <c r="L51" i="115"/>
  <c r="B51" i="115"/>
  <c r="N50" i="115"/>
  <c r="M50" i="115"/>
  <c r="L50" i="115"/>
  <c r="B50" i="115"/>
  <c r="N49" i="115"/>
  <c r="M49" i="115"/>
  <c r="L49" i="115"/>
  <c r="B49" i="115"/>
  <c r="N48" i="115"/>
  <c r="M48" i="115"/>
  <c r="L48" i="115"/>
  <c r="B48" i="115"/>
  <c r="N47" i="115"/>
  <c r="M47" i="115"/>
  <c r="L47" i="115"/>
  <c r="B47" i="115"/>
  <c r="N46" i="115"/>
  <c r="M46" i="115"/>
  <c r="L46" i="115"/>
  <c r="B46" i="115"/>
  <c r="N45" i="115"/>
  <c r="M45" i="115"/>
  <c r="L45" i="115"/>
  <c r="B45" i="115"/>
  <c r="N44" i="115"/>
  <c r="M44" i="115"/>
  <c r="L44" i="115"/>
  <c r="B44" i="115"/>
  <c r="N43" i="115"/>
  <c r="M43" i="115"/>
  <c r="L43" i="115"/>
  <c r="B43" i="115"/>
  <c r="N42" i="115"/>
  <c r="M42" i="115"/>
  <c r="L42" i="115"/>
  <c r="B42" i="115"/>
  <c r="N41" i="115"/>
  <c r="M41" i="115"/>
  <c r="L41" i="115"/>
  <c r="B41" i="115"/>
  <c r="N40" i="115"/>
  <c r="M40" i="115"/>
  <c r="L40" i="115"/>
  <c r="B40" i="115"/>
  <c r="N39" i="115"/>
  <c r="M39" i="115"/>
  <c r="L39" i="115"/>
  <c r="B39" i="115"/>
  <c r="N38" i="115"/>
  <c r="M38" i="115"/>
  <c r="L38" i="115"/>
  <c r="B38" i="115"/>
  <c r="N37" i="115"/>
  <c r="M37" i="115"/>
  <c r="L37" i="115"/>
  <c r="B37" i="115"/>
  <c r="N36" i="115"/>
  <c r="M36" i="115"/>
  <c r="L36" i="115"/>
  <c r="B36" i="115"/>
  <c r="N35" i="115"/>
  <c r="M35" i="115"/>
  <c r="L35" i="115"/>
  <c r="B35" i="115"/>
  <c r="N34" i="115"/>
  <c r="M34" i="115"/>
  <c r="L34" i="115"/>
  <c r="B34" i="115"/>
  <c r="N33" i="115"/>
  <c r="M33" i="115"/>
  <c r="L33" i="115"/>
  <c r="B33" i="115"/>
  <c r="N32" i="115"/>
  <c r="M32" i="115"/>
  <c r="L32" i="115"/>
  <c r="B32" i="115"/>
  <c r="N31" i="115"/>
  <c r="M31" i="115"/>
  <c r="L31" i="115"/>
  <c r="B31" i="115"/>
  <c r="N30" i="115"/>
  <c r="M30" i="115"/>
  <c r="L30" i="115"/>
  <c r="B30" i="115"/>
  <c r="N29" i="115"/>
  <c r="M29" i="115"/>
  <c r="L29" i="115"/>
  <c r="B29" i="115"/>
  <c r="N28" i="115"/>
  <c r="M28" i="115"/>
  <c r="L28" i="115"/>
  <c r="B28" i="115"/>
  <c r="N27" i="115"/>
  <c r="M27" i="115"/>
  <c r="L27" i="115"/>
  <c r="B27" i="115"/>
  <c r="N26" i="115"/>
  <c r="M26" i="115"/>
  <c r="L26" i="115"/>
  <c r="B26" i="115"/>
  <c r="N25" i="115"/>
  <c r="M25" i="115"/>
  <c r="L25" i="115"/>
  <c r="B25" i="115"/>
  <c r="N24" i="115"/>
  <c r="M24" i="115"/>
  <c r="L24" i="115"/>
  <c r="B24" i="115"/>
  <c r="N23" i="115"/>
  <c r="M23" i="115"/>
  <c r="L23" i="115"/>
  <c r="B23" i="115"/>
  <c r="N22" i="115"/>
  <c r="M22" i="115"/>
  <c r="L22" i="115"/>
  <c r="B22" i="115"/>
  <c r="N21" i="115"/>
  <c r="M21" i="115"/>
  <c r="L21" i="115"/>
  <c r="B21" i="115"/>
  <c r="N20" i="115"/>
  <c r="M20" i="115"/>
  <c r="L20" i="115"/>
  <c r="B20" i="115"/>
  <c r="N19" i="115"/>
  <c r="M19" i="115"/>
  <c r="L19" i="115"/>
  <c r="B19" i="115"/>
  <c r="N18" i="115"/>
  <c r="M18" i="115"/>
  <c r="L18" i="115"/>
  <c r="B18" i="115"/>
  <c r="N17" i="115"/>
  <c r="M17" i="115"/>
  <c r="L17" i="115"/>
  <c r="B17" i="115"/>
  <c r="N16" i="115"/>
  <c r="M16" i="115"/>
  <c r="L16" i="115"/>
  <c r="L15" i="115"/>
  <c r="M15" i="115" s="1"/>
  <c r="B15" i="115"/>
  <c r="B16" i="115" s="1"/>
  <c r="N7" i="115"/>
  <c r="I17" i="114"/>
  <c r="I16" i="114"/>
  <c r="L15" i="114"/>
  <c r="M15" i="114" s="1"/>
  <c r="B15" i="114"/>
  <c r="N7" i="114"/>
  <c r="I21" i="113"/>
  <c r="I22" i="113" s="1"/>
  <c r="I20" i="113"/>
  <c r="L19" i="113"/>
  <c r="L18" i="113"/>
  <c r="L17" i="113"/>
  <c r="L16" i="113"/>
  <c r="L15" i="113"/>
  <c r="B15" i="113"/>
  <c r="B16" i="113" s="1"/>
  <c r="B17" i="113" s="1"/>
  <c r="B18" i="113" s="1"/>
  <c r="B19" i="113" s="1"/>
  <c r="N7" i="113"/>
  <c r="I19" i="112"/>
  <c r="I18" i="112"/>
  <c r="L17" i="112"/>
  <c r="L16" i="112"/>
  <c r="L15" i="112"/>
  <c r="B15" i="112"/>
  <c r="B16" i="112" s="1"/>
  <c r="B17" i="112" s="1"/>
  <c r="N7" i="112"/>
  <c r="I19" i="111"/>
  <c r="I18" i="111"/>
  <c r="L17" i="111"/>
  <c r="M17" i="111" s="1"/>
  <c r="N17" i="111" s="1"/>
  <c r="L16" i="111"/>
  <c r="M16" i="111" s="1"/>
  <c r="N16" i="111" s="1"/>
  <c r="L15" i="111"/>
  <c r="B15" i="111"/>
  <c r="B16" i="111" s="1"/>
  <c r="B17" i="111" s="1"/>
  <c r="N7" i="111"/>
  <c r="M15" i="111" s="1"/>
  <c r="N15" i="111" s="1"/>
  <c r="I17" i="110"/>
  <c r="I16" i="110"/>
  <c r="L15" i="110"/>
  <c r="B15" i="110"/>
  <c r="N7" i="110"/>
  <c r="I27" i="109"/>
  <c r="I26" i="109"/>
  <c r="L25" i="109"/>
  <c r="L24" i="109"/>
  <c r="M24" i="109" s="1"/>
  <c r="N24" i="109" s="1"/>
  <c r="L23" i="109"/>
  <c r="M23" i="109" s="1"/>
  <c r="N23" i="109" s="1"/>
  <c r="L22" i="109"/>
  <c r="M22" i="109" s="1"/>
  <c r="N22" i="109" s="1"/>
  <c r="L21" i="109"/>
  <c r="L20" i="109"/>
  <c r="M20" i="109" s="1"/>
  <c r="N20" i="109" s="1"/>
  <c r="L19" i="109"/>
  <c r="M19" i="109" s="1"/>
  <c r="N19" i="109" s="1"/>
  <c r="L18" i="109"/>
  <c r="M18" i="109" s="1"/>
  <c r="N18" i="109" s="1"/>
  <c r="L17" i="109"/>
  <c r="L16" i="109"/>
  <c r="M16" i="109" s="1"/>
  <c r="N16" i="109" s="1"/>
  <c r="L15" i="109"/>
  <c r="M15" i="109" s="1"/>
  <c r="B15" i="109"/>
  <c r="B16" i="109" s="1"/>
  <c r="B17" i="109" s="1"/>
  <c r="B18" i="109" s="1"/>
  <c r="B19" i="109" s="1"/>
  <c r="B20" i="109" s="1"/>
  <c r="B21" i="109" s="1"/>
  <c r="B22" i="109" s="1"/>
  <c r="B23" i="109" s="1"/>
  <c r="B24" i="109" s="1"/>
  <c r="B25" i="109" s="1"/>
  <c r="N7" i="109"/>
  <c r="M25" i="109" s="1"/>
  <c r="N25" i="109" s="1"/>
  <c r="I19" i="157" l="1"/>
  <c r="N15" i="157"/>
  <c r="M16" i="156"/>
  <c r="N16" i="156" s="1"/>
  <c r="M17" i="156"/>
  <c r="N17" i="156" s="1"/>
  <c r="G25" i="156"/>
  <c r="I21" i="156"/>
  <c r="N15" i="156"/>
  <c r="I25" i="156"/>
  <c r="E25" i="156"/>
  <c r="M15" i="155"/>
  <c r="M16" i="155"/>
  <c r="N16" i="155" s="1"/>
  <c r="I19" i="155"/>
  <c r="G23" i="155"/>
  <c r="N15" i="155"/>
  <c r="M16" i="154"/>
  <c r="N16" i="154" s="1"/>
  <c r="G24" i="154"/>
  <c r="I20" i="154"/>
  <c r="N15" i="154"/>
  <c r="I21" i="153"/>
  <c r="N15" i="153"/>
  <c r="G22" i="152"/>
  <c r="N15" i="152"/>
  <c r="M16" i="151"/>
  <c r="N16" i="151" s="1"/>
  <c r="G23" i="151"/>
  <c r="N15" i="151"/>
  <c r="M17" i="150"/>
  <c r="N17" i="150" s="1"/>
  <c r="I20" i="150"/>
  <c r="G24" i="150"/>
  <c r="I18" i="149"/>
  <c r="N15" i="149"/>
  <c r="I18" i="148"/>
  <c r="G22" i="148"/>
  <c r="N15" i="148"/>
  <c r="I18" i="147"/>
  <c r="G22" i="147"/>
  <c r="N15" i="147"/>
  <c r="M16" i="146"/>
  <c r="N16" i="146" s="1"/>
  <c r="G23" i="146"/>
  <c r="M18" i="145"/>
  <c r="N18" i="145" s="1"/>
  <c r="M16" i="145"/>
  <c r="N16" i="145" s="1"/>
  <c r="I21" i="145"/>
  <c r="M17" i="145"/>
  <c r="N17" i="145" s="1"/>
  <c r="N15" i="145"/>
  <c r="I18" i="144"/>
  <c r="N15" i="144"/>
  <c r="G120" i="143"/>
  <c r="N15" i="143"/>
  <c r="G120" i="142"/>
  <c r="N15" i="142"/>
  <c r="I18" i="141"/>
  <c r="G22" i="141"/>
  <c r="N15" i="141"/>
  <c r="G120" i="140"/>
  <c r="N15" i="140"/>
  <c r="I18" i="139"/>
  <c r="N15" i="139"/>
  <c r="G120" i="138"/>
  <c r="N15" i="138"/>
  <c r="I116" i="137"/>
  <c r="D120" i="137"/>
  <c r="N15" i="137"/>
  <c r="H120" i="137"/>
  <c r="G120" i="136"/>
  <c r="N15" i="136"/>
  <c r="I116" i="135"/>
  <c r="G120" i="135"/>
  <c r="N15" i="135"/>
  <c r="D120" i="134"/>
  <c r="N15" i="134"/>
  <c r="H120" i="134"/>
  <c r="M16" i="133"/>
  <c r="N16" i="133" s="1"/>
  <c r="M17" i="133"/>
  <c r="N17" i="133" s="1"/>
  <c r="I21" i="133"/>
  <c r="G25" i="133"/>
  <c r="N15" i="133"/>
  <c r="G120" i="132"/>
  <c r="N15" i="132"/>
  <c r="M15" i="131"/>
  <c r="N15" i="131" s="1"/>
  <c r="I19" i="131"/>
  <c r="G23" i="131"/>
  <c r="M15" i="130"/>
  <c r="N15" i="130" s="1"/>
  <c r="I20" i="130"/>
  <c r="M16" i="130"/>
  <c r="N16" i="130" s="1"/>
  <c r="M17" i="130"/>
  <c r="N17" i="130" s="1"/>
  <c r="G24" i="130"/>
  <c r="I24" i="130"/>
  <c r="E24" i="130"/>
  <c r="I18" i="129"/>
  <c r="N15" i="129"/>
  <c r="N15" i="128"/>
  <c r="I120" i="128"/>
  <c r="E120" i="128"/>
  <c r="M15" i="127"/>
  <c r="N15" i="127" s="1"/>
  <c r="I19" i="127"/>
  <c r="G23" i="127"/>
  <c r="M17" i="126"/>
  <c r="N17" i="126" s="1"/>
  <c r="M15" i="126"/>
  <c r="N15" i="126" s="1"/>
  <c r="M19" i="126"/>
  <c r="N19" i="126" s="1"/>
  <c r="M16" i="126"/>
  <c r="N16" i="126" s="1"/>
  <c r="G26" i="126"/>
  <c r="M17" i="125"/>
  <c r="N17" i="125" s="1"/>
  <c r="M21" i="125"/>
  <c r="N21" i="125" s="1"/>
  <c r="M27" i="125"/>
  <c r="N27" i="125" s="1"/>
  <c r="M30" i="125"/>
  <c r="N30" i="125" s="1"/>
  <c r="M15" i="125"/>
  <c r="N15" i="125" s="1"/>
  <c r="M18" i="125"/>
  <c r="N18" i="125" s="1"/>
  <c r="M22" i="125"/>
  <c r="N22" i="125" s="1"/>
  <c r="M25" i="125"/>
  <c r="N25" i="125" s="1"/>
  <c r="M31" i="125"/>
  <c r="N31" i="125" s="1"/>
  <c r="M34" i="125"/>
  <c r="N34" i="125" s="1"/>
  <c r="M19" i="125"/>
  <c r="N19" i="125" s="1"/>
  <c r="M23" i="125"/>
  <c r="N23" i="125" s="1"/>
  <c r="M32" i="125"/>
  <c r="N32" i="125" s="1"/>
  <c r="M37" i="125"/>
  <c r="N37" i="125" s="1"/>
  <c r="M20" i="125"/>
  <c r="N20" i="125" s="1"/>
  <c r="M29" i="125"/>
  <c r="N29" i="125" s="1"/>
  <c r="M38" i="125"/>
  <c r="N38" i="125" s="1"/>
  <c r="I41" i="125"/>
  <c r="G45" i="125"/>
  <c r="M16" i="124"/>
  <c r="N16" i="124" s="1"/>
  <c r="G23" i="124"/>
  <c r="N15" i="124"/>
  <c r="M17" i="123"/>
  <c r="N17" i="123" s="1"/>
  <c r="G26" i="123"/>
  <c r="I22" i="123"/>
  <c r="N15" i="123"/>
  <c r="I19" i="122"/>
  <c r="M16" i="122"/>
  <c r="N16" i="122" s="1"/>
  <c r="G23" i="122"/>
  <c r="N15" i="122"/>
  <c r="M15" i="121"/>
  <c r="G24" i="121" s="1"/>
  <c r="I20" i="121"/>
  <c r="G22" i="120"/>
  <c r="I18" i="119"/>
  <c r="G22" i="119"/>
  <c r="N15" i="119"/>
  <c r="M15" i="118"/>
  <c r="N15" i="118" s="1"/>
  <c r="M18" i="118"/>
  <c r="N18" i="118" s="1"/>
  <c r="M16" i="118"/>
  <c r="N16" i="118" s="1"/>
  <c r="M19" i="118"/>
  <c r="N19" i="118" s="1"/>
  <c r="M20" i="118"/>
  <c r="N20" i="118" s="1"/>
  <c r="I23" i="118"/>
  <c r="G27" i="118"/>
  <c r="I18" i="117"/>
  <c r="G22" i="117"/>
  <c r="N15" i="117"/>
  <c r="G23" i="116"/>
  <c r="N15" i="116"/>
  <c r="G120" i="115"/>
  <c r="N15" i="115"/>
  <c r="I18" i="114"/>
  <c r="G22" i="114"/>
  <c r="N15" i="114"/>
  <c r="M17" i="113"/>
  <c r="N17" i="113" s="1"/>
  <c r="M18" i="113"/>
  <c r="N18" i="113" s="1"/>
  <c r="M15" i="113"/>
  <c r="N15" i="113" s="1"/>
  <c r="M19" i="113"/>
  <c r="N19" i="113" s="1"/>
  <c r="M16" i="113"/>
  <c r="N16" i="113" s="1"/>
  <c r="M15" i="112"/>
  <c r="M16" i="112"/>
  <c r="N16" i="112" s="1"/>
  <c r="M17" i="112"/>
  <c r="N17" i="112" s="1"/>
  <c r="I20" i="112"/>
  <c r="G24" i="112"/>
  <c r="N15" i="112"/>
  <c r="I20" i="111"/>
  <c r="G24" i="111"/>
  <c r="M15" i="110"/>
  <c r="N15" i="110" s="1"/>
  <c r="I18" i="110"/>
  <c r="G22" i="110"/>
  <c r="M17" i="109"/>
  <c r="N17" i="109" s="1"/>
  <c r="M21" i="109"/>
  <c r="N21" i="109" s="1"/>
  <c r="I28" i="109"/>
  <c r="N15" i="109"/>
  <c r="D23" i="157"/>
  <c r="H23" i="157"/>
  <c r="E23" i="157"/>
  <c r="I23" i="157"/>
  <c r="F23" i="157"/>
  <c r="D25" i="156"/>
  <c r="H25" i="156"/>
  <c r="K25" i="156" s="1"/>
  <c r="F25" i="156"/>
  <c r="D23" i="155"/>
  <c r="H23" i="155"/>
  <c r="E23" i="155"/>
  <c r="I23" i="155"/>
  <c r="F23" i="155"/>
  <c r="D24" i="154"/>
  <c r="H24" i="154"/>
  <c r="E24" i="154"/>
  <c r="F24" i="154"/>
  <c r="D25" i="153"/>
  <c r="H25" i="153"/>
  <c r="E25" i="153"/>
  <c r="I25" i="153"/>
  <c r="F25" i="153"/>
  <c r="D22" i="152"/>
  <c r="H22" i="152"/>
  <c r="K22" i="152" s="1"/>
  <c r="E22" i="152"/>
  <c r="I22" i="152"/>
  <c r="F22" i="152"/>
  <c r="D23" i="151"/>
  <c r="H23" i="151"/>
  <c r="E23" i="151"/>
  <c r="I23" i="151"/>
  <c r="F23" i="151"/>
  <c r="D24" i="150"/>
  <c r="H24" i="150"/>
  <c r="E24" i="150"/>
  <c r="I24" i="150"/>
  <c r="F24" i="150"/>
  <c r="D22" i="149"/>
  <c r="H22" i="149"/>
  <c r="E22" i="149"/>
  <c r="I22" i="149"/>
  <c r="F22" i="149"/>
  <c r="D22" i="148"/>
  <c r="H22" i="148"/>
  <c r="E22" i="148"/>
  <c r="I22" i="148"/>
  <c r="F22" i="148"/>
  <c r="D22" i="147"/>
  <c r="H22" i="147"/>
  <c r="E22" i="147"/>
  <c r="I22" i="147"/>
  <c r="F22" i="147"/>
  <c r="D23" i="146"/>
  <c r="H23" i="146"/>
  <c r="E23" i="146"/>
  <c r="I23" i="146"/>
  <c r="F23" i="146"/>
  <c r="D25" i="145"/>
  <c r="I25" i="145"/>
  <c r="F25" i="145"/>
  <c r="D22" i="144"/>
  <c r="H22" i="144"/>
  <c r="K22" i="144" s="1"/>
  <c r="E22" i="144"/>
  <c r="I22" i="144"/>
  <c r="F22" i="144"/>
  <c r="D120" i="143"/>
  <c r="H120" i="143"/>
  <c r="K120" i="143" s="1"/>
  <c r="E120" i="143"/>
  <c r="I120" i="143"/>
  <c r="F120" i="143"/>
  <c r="D120" i="142"/>
  <c r="H120" i="142"/>
  <c r="E120" i="142"/>
  <c r="I120" i="142"/>
  <c r="F120" i="142"/>
  <c r="D22" i="141"/>
  <c r="H22" i="141"/>
  <c r="E22" i="141"/>
  <c r="I22" i="141"/>
  <c r="F22" i="141"/>
  <c r="D120" i="140"/>
  <c r="H120" i="140"/>
  <c r="E120" i="140"/>
  <c r="I120" i="140"/>
  <c r="F120" i="140"/>
  <c r="D22" i="139"/>
  <c r="H22" i="139"/>
  <c r="K22" i="139" s="1"/>
  <c r="E22" i="139"/>
  <c r="I22" i="139"/>
  <c r="F22" i="139"/>
  <c r="D120" i="138"/>
  <c r="H120" i="138"/>
  <c r="E120" i="138"/>
  <c r="I120" i="138"/>
  <c r="F120" i="138"/>
  <c r="E120" i="137"/>
  <c r="I120" i="137"/>
  <c r="K120" i="137" s="1"/>
  <c r="F120" i="137"/>
  <c r="D120" i="136"/>
  <c r="H120" i="136"/>
  <c r="E120" i="136"/>
  <c r="I120" i="136"/>
  <c r="F120" i="136"/>
  <c r="D120" i="135"/>
  <c r="H120" i="135"/>
  <c r="K120" i="135" s="1"/>
  <c r="E120" i="135"/>
  <c r="I120" i="135"/>
  <c r="F120" i="135"/>
  <c r="E120" i="134"/>
  <c r="I120" i="134"/>
  <c r="K120" i="134" s="1"/>
  <c r="F120" i="134"/>
  <c r="D25" i="133"/>
  <c r="H25" i="133"/>
  <c r="E25" i="133"/>
  <c r="I25" i="133"/>
  <c r="F25" i="133"/>
  <c r="D120" i="132"/>
  <c r="H120" i="132"/>
  <c r="K120" i="132" s="1"/>
  <c r="E120" i="132"/>
  <c r="I120" i="132"/>
  <c r="F120" i="132"/>
  <c r="D23" i="131"/>
  <c r="H23" i="131"/>
  <c r="K23" i="131" s="1"/>
  <c r="E23" i="131"/>
  <c r="I23" i="131"/>
  <c r="F23" i="131"/>
  <c r="D24" i="130"/>
  <c r="H24" i="130"/>
  <c r="F24" i="130"/>
  <c r="D22" i="129"/>
  <c r="H22" i="129"/>
  <c r="E22" i="129"/>
  <c r="I22" i="129"/>
  <c r="F22" i="129"/>
  <c r="D120" i="128"/>
  <c r="H120" i="128"/>
  <c r="K120" i="128" s="1"/>
  <c r="F120" i="128"/>
  <c r="D23" i="127"/>
  <c r="H23" i="127"/>
  <c r="E23" i="127"/>
  <c r="I23" i="127"/>
  <c r="F23" i="127"/>
  <c r="D26" i="126"/>
  <c r="H26" i="126"/>
  <c r="F26" i="126"/>
  <c r="E45" i="125"/>
  <c r="D23" i="124"/>
  <c r="H23" i="124"/>
  <c r="E23" i="124"/>
  <c r="I23" i="124"/>
  <c r="F23" i="124"/>
  <c r="D26" i="123"/>
  <c r="H26" i="123"/>
  <c r="E26" i="123"/>
  <c r="I26" i="123"/>
  <c r="F26" i="123"/>
  <c r="D23" i="122"/>
  <c r="H23" i="122"/>
  <c r="E23" i="122"/>
  <c r="I23" i="122"/>
  <c r="F23" i="122"/>
  <c r="D24" i="121"/>
  <c r="H24" i="121"/>
  <c r="E24" i="121"/>
  <c r="I24" i="121"/>
  <c r="F24" i="121"/>
  <c r="D22" i="120"/>
  <c r="H22" i="120"/>
  <c r="E22" i="120"/>
  <c r="I22" i="120"/>
  <c r="F22" i="120"/>
  <c r="D22" i="119"/>
  <c r="H22" i="119"/>
  <c r="K22" i="119" s="1"/>
  <c r="E22" i="119"/>
  <c r="I22" i="119"/>
  <c r="F22" i="119"/>
  <c r="D27" i="118"/>
  <c r="H27" i="118"/>
  <c r="E27" i="118"/>
  <c r="I27" i="118"/>
  <c r="F27" i="118"/>
  <c r="D22" i="117"/>
  <c r="H22" i="117"/>
  <c r="E22" i="117"/>
  <c r="I22" i="117"/>
  <c r="F22" i="117"/>
  <c r="D23" i="116"/>
  <c r="H23" i="116"/>
  <c r="K23" i="116" s="1"/>
  <c r="E23" i="116"/>
  <c r="I23" i="116"/>
  <c r="F23" i="116"/>
  <c r="D120" i="115"/>
  <c r="H120" i="115"/>
  <c r="E120" i="115"/>
  <c r="I120" i="115"/>
  <c r="F120" i="115"/>
  <c r="D22" i="114"/>
  <c r="H22" i="114"/>
  <c r="E22" i="114"/>
  <c r="I22" i="114"/>
  <c r="F22" i="114"/>
  <c r="H26" i="113"/>
  <c r="E26" i="113"/>
  <c r="D24" i="112"/>
  <c r="H24" i="112"/>
  <c r="E24" i="112"/>
  <c r="I24" i="112"/>
  <c r="F24" i="112"/>
  <c r="D24" i="111"/>
  <c r="H24" i="111"/>
  <c r="E24" i="111"/>
  <c r="I24" i="111"/>
  <c r="F24" i="111"/>
  <c r="D22" i="110"/>
  <c r="H22" i="110"/>
  <c r="E22" i="110"/>
  <c r="I22" i="110"/>
  <c r="F22" i="110"/>
  <c r="G32" i="109"/>
  <c r="D32" i="109"/>
  <c r="I32" i="109"/>
  <c r="K23" i="155" l="1"/>
  <c r="I24" i="154"/>
  <c r="K24" i="154" s="1"/>
  <c r="K25" i="153"/>
  <c r="K23" i="151"/>
  <c r="K24" i="150"/>
  <c r="K22" i="149"/>
  <c r="K22" i="148"/>
  <c r="J22" i="147"/>
  <c r="K23" i="146"/>
  <c r="E25" i="145"/>
  <c r="H25" i="145"/>
  <c r="K25" i="145" s="1"/>
  <c r="G25" i="145"/>
  <c r="K120" i="142"/>
  <c r="K22" i="141"/>
  <c r="K120" i="140"/>
  <c r="K120" i="138"/>
  <c r="J120" i="137"/>
  <c r="J120" i="134"/>
  <c r="K25" i="133"/>
  <c r="K24" i="130"/>
  <c r="K22" i="129"/>
  <c r="K23" i="127"/>
  <c r="I26" i="126"/>
  <c r="E26" i="126"/>
  <c r="K26" i="126"/>
  <c r="I45" i="125"/>
  <c r="H45" i="125"/>
  <c r="K45" i="125" s="1"/>
  <c r="F45" i="125"/>
  <c r="J45" i="125" s="1"/>
  <c r="D45" i="125"/>
  <c r="K23" i="124"/>
  <c r="K26" i="123"/>
  <c r="K23" i="122"/>
  <c r="N15" i="121"/>
  <c r="K24" i="121"/>
  <c r="K22" i="120"/>
  <c r="K27" i="118"/>
  <c r="K22" i="117"/>
  <c r="K120" i="115"/>
  <c r="G26" i="113"/>
  <c r="F26" i="113"/>
  <c r="J26" i="113" s="1"/>
  <c r="I26" i="113"/>
  <c r="K26" i="113" s="1"/>
  <c r="D26" i="113"/>
  <c r="K24" i="112"/>
  <c r="K24" i="111"/>
  <c r="K22" i="110"/>
  <c r="F32" i="109"/>
  <c r="J32" i="109" s="1"/>
  <c r="E32" i="109"/>
  <c r="H32" i="109"/>
  <c r="K32" i="109" s="1"/>
  <c r="J23" i="157"/>
  <c r="K23" i="157"/>
  <c r="J25" i="156"/>
  <c r="J23" i="155"/>
  <c r="J25" i="153"/>
  <c r="J22" i="152"/>
  <c r="J23" i="151"/>
  <c r="J24" i="150"/>
  <c r="J22" i="149"/>
  <c r="J22" i="148"/>
  <c r="K22" i="147"/>
  <c r="J23" i="146"/>
  <c r="J25" i="145"/>
  <c r="J22" i="144"/>
  <c r="J120" i="143"/>
  <c r="J120" i="142"/>
  <c r="J22" i="141"/>
  <c r="J120" i="140"/>
  <c r="J22" i="139"/>
  <c r="J120" i="138"/>
  <c r="J120" i="136"/>
  <c r="K120" i="136"/>
  <c r="J120" i="135"/>
  <c r="J25" i="133"/>
  <c r="J120" i="132"/>
  <c r="J23" i="131"/>
  <c r="J24" i="130"/>
  <c r="J22" i="129"/>
  <c r="J120" i="128"/>
  <c r="J23" i="127"/>
  <c r="J26" i="126"/>
  <c r="J23" i="124"/>
  <c r="J26" i="123"/>
  <c r="J23" i="122"/>
  <c r="J24" i="121"/>
  <c r="J22" i="120"/>
  <c r="J22" i="119"/>
  <c r="J27" i="118"/>
  <c r="J22" i="117"/>
  <c r="J23" i="116"/>
  <c r="J120" i="115"/>
  <c r="K22" i="114"/>
  <c r="J22" i="114"/>
  <c r="J24" i="112"/>
  <c r="J24" i="111"/>
  <c r="J22" i="110"/>
  <c r="J24" i="154" l="1"/>
  <c r="B15" i="7" l="1"/>
  <c r="B113" i="7" l="1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L15" i="7" l="1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<sst xmlns="http://schemas.openxmlformats.org/spreadsheetml/2006/main" count="12458" uniqueCount="1927">
  <si>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</si>
  <si>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</si>
  <si>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</si>
  <si>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</si>
  <si>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</si>
  <si>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</si>
  <si>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</si>
  <si>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</si>
  <si>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</si>
  <si>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</si>
  <si>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</si>
  <si>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</si>
  <si>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</si>
  <si>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</si>
  <si>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</si>
  <si>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</si>
  <si>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</si>
  <si>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</si>
  <si>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</si>
  <si>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</si>
  <si>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</si>
  <si>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</si>
  <si>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</si>
  <si>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</si>
  <si>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</si>
  <si>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</si>
  <si>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</si>
  <si>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</si>
  <si>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</si>
  <si>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</si>
  <si>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</si>
  <si>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</si>
  <si>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</si>
  <si>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</si>
  <si>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</si>
  <si>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</si>
  <si>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</si>
  <si>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</si>
  <si>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</si>
  <si>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</si>
  <si>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</si>
  <si>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</si>
  <si>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</si>
  <si>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</si>
  <si>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</si>
  <si>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</si>
  <si>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</si>
  <si>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</si>
  <si>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</si>
  <si>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</si>
  <si>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</si>
  <si>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</si>
  <si>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</si>
  <si>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</si>
  <si>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</si>
  <si>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</si>
  <si>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</si>
  <si>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</si>
  <si>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</si>
  <si>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</si>
  <si>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</si>
  <si>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</si>
  <si>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</si>
  <si>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</si>
  <si>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</si>
  <si>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</si>
  <si>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</si>
  <si>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</si>
  <si>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</si>
  <si>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</si>
  <si>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</si>
  <si>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</si>
  <si>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</si>
  <si>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</si>
  <si>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</si>
  <si>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</si>
  <si>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</si>
  <si>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</si>
  <si>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</si>
  <si>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</si>
  <si>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</si>
  <si>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</si>
  <si>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</si>
  <si>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</si>
  <si>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</si>
  <si>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</si>
  <si>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</si>
  <si>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</si>
  <si>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</si>
  <si>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</si>
  <si>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</si>
  <si>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</si>
  <si>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</si>
  <si>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</si>
  <si>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</si>
  <si>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</si>
  <si>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</si>
  <si>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</si>
  <si>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</si>
  <si>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</si>
  <si>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</si>
  <si>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</si>
  <si>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</si>
  <si>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</si>
  <si>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</si>
  <si>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</si>
  <si>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</si>
  <si>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</si>
  <si>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</si>
  <si>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</si>
  <si>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</si>
  <si>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</si>
  <si>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</si>
  <si>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</si>
  <si>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</si>
  <si>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</si>
  <si>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</si>
  <si>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</si>
  <si>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</si>
  <si>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</si>
  <si>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</si>
  <si>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</si>
  <si>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</si>
  <si>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</si>
  <si>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</si>
  <si>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</si>
  <si>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</si>
  <si>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</si>
  <si>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</si>
  <si>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</si>
  <si>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</si>
  <si>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</si>
  <si>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</si>
  <si>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</si>
  <si>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</si>
  <si>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</si>
  <si>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</si>
  <si>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</si>
  <si>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</si>
  <si>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</si>
  <si>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</si>
  <si>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</si>
  <si>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</si>
  <si>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</si>
  <si>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</si>
  <si>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</si>
  <si>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</si>
  <si>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</si>
  <si>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</si>
  <si>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</si>
  <si>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</si>
  <si>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</si>
  <si>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</si>
  <si>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</si>
  <si>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</si>
  <si>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</si>
  <si>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</si>
  <si>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</si>
  <si>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</si>
  <si>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</si>
  <si>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</si>
  <si>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</si>
  <si>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</si>
  <si>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</si>
  <si>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</si>
  <si>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</si>
  <si>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</si>
  <si>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</si>
  <si>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</si>
  <si>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</si>
  <si>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</si>
  <si>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</si>
  <si>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</si>
  <si>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</si>
  <si>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</si>
  <si>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</si>
  <si>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</si>
  <si>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</si>
  <si>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</si>
  <si>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</si>
  <si>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</si>
  <si>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</si>
  <si>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</si>
  <si>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</si>
  <si>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</si>
  <si>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</si>
  <si>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</si>
  <si>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</si>
  <si>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</si>
  <si>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</si>
  <si>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</si>
  <si>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</si>
  <si>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</si>
  <si>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</si>
  <si>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</si>
  <si>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</si>
  <si>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</si>
  <si>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</si>
  <si>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</si>
  <si>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</si>
  <si>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</si>
  <si>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</si>
  <si>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</si>
  <si>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</si>
  <si>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</si>
  <si>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</si>
  <si>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</si>
  <si>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</si>
  <si>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</si>
  <si>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</si>
  <si>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</si>
  <si>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</si>
  <si>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</si>
  <si>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</si>
  <si>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</si>
  <si>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</si>
  <si>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</si>
  <si>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</si>
  <si>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</si>
  <si>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</si>
  <si>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</si>
  <si>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</si>
  <si>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</si>
  <si>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</si>
  <si>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</si>
  <si>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</si>
  <si>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</si>
  <si>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</si>
  <si>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</si>
  <si>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</si>
  <si>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</si>
  <si>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</si>
  <si>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</si>
  <si>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</si>
  <si>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</si>
  <si>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</si>
  <si>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</si>
  <si>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</si>
  <si>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</si>
  <si>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</si>
  <si>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</si>
  <si>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</si>
  <si>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</si>
  <si>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</si>
  <si>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</si>
  <si>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</si>
  <si>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</si>
  <si>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</si>
  <si>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</si>
  <si>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</si>
  <si>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</si>
  <si>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</si>
  <si>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</si>
  <si>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</si>
  <si>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</si>
  <si>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</si>
  <si>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</si>
  <si>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</si>
  <si>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</si>
  <si>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</si>
  <si>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</si>
  <si>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</si>
  <si>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</si>
  <si>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</si>
  <si>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</si>
  <si>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</si>
  <si>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</si>
  <si>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</si>
  <si>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</si>
  <si>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</si>
  <si>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</si>
  <si>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</si>
  <si>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</si>
  <si>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</si>
  <si>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</si>
  <si>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</si>
  <si>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</si>
  <si>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</si>
  <si>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</si>
  <si>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</si>
  <si>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</si>
  <si>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</si>
  <si>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</si>
  <si>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</si>
  <si>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</si>
  <si>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</si>
  <si>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</si>
  <si>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</si>
  <si>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</si>
  <si>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</si>
  <si>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</si>
  <si>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</si>
  <si>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</si>
  <si>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</si>
  <si>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</si>
  <si>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</si>
  <si>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</si>
  <si>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</si>
  <si>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</si>
  <si>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</si>
  <si>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</si>
  <si>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</si>
  <si>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</si>
  <si>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</si>
  <si>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</si>
  <si>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</si>
  <si>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</si>
  <si>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</si>
  <si>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</si>
  <si>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</si>
  <si>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</si>
  <si>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</si>
  <si>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</si>
  <si>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</si>
  <si>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</si>
  <si>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</si>
  <si>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</si>
  <si>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</si>
  <si>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</si>
  <si>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</si>
  <si>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</si>
  <si>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</si>
  <si>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</si>
  <si>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</si>
  <si>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</si>
  <si>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</si>
  <si>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</si>
  <si>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</si>
  <si>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</si>
  <si>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</si>
  <si>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</si>
  <si>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</si>
  <si>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</si>
  <si>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</si>
  <si>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</si>
  <si>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</si>
  <si>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</si>
  <si>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</si>
  <si>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</si>
  <si>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</si>
  <si>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</si>
  <si>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</si>
  <si>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</si>
  <si>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</si>
  <si>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</si>
  <si>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</si>
  <si>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</si>
  <si>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</si>
  <si>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</si>
  <si>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</si>
  <si>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</si>
  <si>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</si>
  <si>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</si>
  <si>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</si>
  <si>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</si>
  <si>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</si>
  <si>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</si>
  <si>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</si>
  <si>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</si>
  <si>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</si>
  <si>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</si>
  <si>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</si>
  <si>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</si>
  <si>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</si>
  <si>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</si>
  <si>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</si>
  <si>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</si>
  <si>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</si>
  <si>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</si>
  <si>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</si>
  <si>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</si>
  <si>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</si>
  <si>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</si>
  <si>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</si>
  <si>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</si>
  <si>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</si>
  <si>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</si>
  <si>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</si>
  <si>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</si>
  <si>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</si>
  <si>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</si>
  <si>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</si>
  <si>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</si>
  <si>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</si>
  <si>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</si>
  <si>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</si>
  <si>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</si>
  <si>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</si>
  <si>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</si>
  <si>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</si>
  <si>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</si>
  <si>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</si>
  <si>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</si>
  <si>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</si>
  <si>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</si>
  <si>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</si>
  <si>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</si>
  <si>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</si>
  <si>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</si>
  <si>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</si>
  <si>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</si>
  <si>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</si>
  <si>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</si>
  <si>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</si>
  <si>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</si>
  <si>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</si>
  <si>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</si>
  <si>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</si>
  <si>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</si>
  <si>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</si>
  <si>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</si>
  <si>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</si>
  <si>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</si>
  <si>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</si>
  <si>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</si>
  <si>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</si>
  <si>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</si>
  <si>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</si>
  <si>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</si>
  <si>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</si>
  <si>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</si>
  <si>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</si>
  <si>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</si>
  <si>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</si>
  <si>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</si>
  <si>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</si>
  <si>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</si>
  <si>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</si>
  <si>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</si>
  <si>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</si>
  <si>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</si>
  <si>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</si>
  <si>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</si>
  <si>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</si>
  <si>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</si>
  <si>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</si>
  <si>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</si>
  <si>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</si>
  <si>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</si>
  <si>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</si>
  <si>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</si>
  <si>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</si>
  <si>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</si>
  <si>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</si>
  <si>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</si>
  <si>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</si>
  <si>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</si>
  <si>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</si>
  <si>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</si>
  <si>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</si>
  <si>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</si>
  <si>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</si>
  <si>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</si>
  <si>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</si>
  <si>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</si>
  <si>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</si>
  <si>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</si>
  <si>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</si>
  <si>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</si>
  <si>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</si>
  <si>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</si>
  <si>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</si>
  <si>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</si>
  <si>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</si>
  <si>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</si>
  <si>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</si>
  <si>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</si>
  <si>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</si>
  <si>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</si>
  <si>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</si>
  <si>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</si>
  <si>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</si>
  <si>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</si>
  <si>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</si>
  <si>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</si>
  <si>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</si>
  <si>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</si>
  <si>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</si>
  <si>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</si>
  <si>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</si>
  <si>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</si>
  <si>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</si>
  <si>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</si>
  <si>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</si>
  <si>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</si>
  <si>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</si>
  <si>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</si>
  <si>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</si>
  <si>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</si>
  <si>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</si>
  <si>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</si>
  <si>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</si>
  <si>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</si>
  <si>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</si>
  <si>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</si>
  <si>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</si>
  <si>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</si>
  <si>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</si>
  <si>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</si>
  <si>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</si>
  <si>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</si>
  <si>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</si>
  <si>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</si>
  <si>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</si>
  <si>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</si>
  <si>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</si>
  <si>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</si>
  <si>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</si>
  <si>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</si>
  <si>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</si>
  <si>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</si>
  <si>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</si>
  <si>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</si>
  <si>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</si>
  <si>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</si>
  <si>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</si>
  <si>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</si>
  <si>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</si>
  <si>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</si>
  <si>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</si>
  <si>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</si>
  <si>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</si>
  <si>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</si>
  <si>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</si>
  <si>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</si>
  <si>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</si>
  <si>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</si>
  <si>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</si>
  <si>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</si>
  <si>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</si>
  <si>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</si>
  <si>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</si>
  <si>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</si>
  <si>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</si>
  <si>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</si>
  <si>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</si>
  <si>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</si>
  <si>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</si>
  <si>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</si>
  <si>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</si>
  <si>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</si>
  <si>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</si>
  <si>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</si>
  <si>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</si>
  <si>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</si>
  <si>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</si>
  <si>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</si>
  <si>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</si>
  <si>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</si>
  <si>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</si>
  <si>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</si>
  <si>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</si>
  <si>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</si>
  <si>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</si>
  <si>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</si>
  <si>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</si>
  <si>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</si>
  <si>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</si>
  <si>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</si>
  <si>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</si>
  <si>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</si>
  <si>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</si>
  <si>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</si>
  <si>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</si>
  <si>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</si>
  <si>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</si>
  <si>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</si>
  <si>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</si>
  <si>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</si>
  <si>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</si>
  <si>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</si>
  <si>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</si>
  <si>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</si>
  <si>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</si>
  <si>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</si>
  <si>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</si>
  <si>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</si>
  <si>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</si>
  <si>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</si>
  <si>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</si>
  <si>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</si>
  <si>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</si>
  <si>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</si>
  <si>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</si>
  <si>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</si>
  <si>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</si>
  <si>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</si>
  <si>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</si>
  <si>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</si>
  <si>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</si>
  <si>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</si>
  <si>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</si>
  <si>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</si>
  <si>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</si>
  <si>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</si>
  <si>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</si>
  <si>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</si>
  <si>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</si>
  <si>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</si>
  <si>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</si>
  <si>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</si>
  <si>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</si>
  <si>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</si>
  <si>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</si>
  <si>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</si>
  <si>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</si>
  <si>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</si>
  <si>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</si>
  <si>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</si>
  <si>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</si>
  <si>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</si>
  <si>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</si>
  <si>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</si>
  <si>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</si>
  <si>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</si>
  <si>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</si>
  <si>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</si>
  <si>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</si>
  <si>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</si>
  <si>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</si>
  <si>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</si>
  <si>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</si>
  <si>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</si>
  <si>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</si>
  <si>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</si>
  <si>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</si>
  <si>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</si>
  <si>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</si>
  <si>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</si>
  <si>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</si>
  <si>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</si>
  <si>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</si>
  <si>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</si>
  <si>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</si>
  <si>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</si>
  <si>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</si>
  <si>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</si>
  <si>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</si>
  <si>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</si>
  <si>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</si>
  <si>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</si>
  <si>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</si>
  <si>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</si>
  <si>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</si>
  <si>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</si>
  <si>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</si>
  <si>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</si>
  <si>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</si>
  <si>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</si>
  <si>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</si>
  <si>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</si>
  <si>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</si>
  <si>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</si>
  <si>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</si>
  <si>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</si>
  <si>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</si>
  <si>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</si>
  <si>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</si>
  <si>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</si>
  <si>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</si>
  <si>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</si>
  <si>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</si>
  <si>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</si>
  <si>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</si>
  <si>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</si>
  <si>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</si>
  <si>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</si>
  <si>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</si>
  <si>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</si>
  <si>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</si>
  <si>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</si>
  <si>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</si>
  <si>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</si>
  <si>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</si>
  <si>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</si>
  <si>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</si>
  <si>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</si>
  <si>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</si>
  <si>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</si>
  <si>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</si>
  <si>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</si>
  <si>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</si>
  <si>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</si>
  <si>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</si>
  <si>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</si>
  <si>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</si>
  <si>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</si>
  <si>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</si>
  <si>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</si>
  <si>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</si>
  <si>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</si>
  <si>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</si>
  <si>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</si>
  <si>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</si>
  <si>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</si>
  <si>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</si>
  <si>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</si>
  <si>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</si>
  <si>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</si>
  <si>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</si>
  <si>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</si>
  <si>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</si>
  <si>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</si>
  <si>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</si>
  <si>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</si>
  <si>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</si>
  <si>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</si>
  <si>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</si>
  <si>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</si>
  <si>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</si>
  <si>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</si>
  <si>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</si>
  <si>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</si>
  <si>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</si>
  <si>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</si>
  <si>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</si>
  <si>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</si>
  <si>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</si>
  <si>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</si>
  <si>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</si>
  <si>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</si>
  <si>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</si>
  <si>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</si>
  <si>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</si>
  <si>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</si>
  <si>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</si>
  <si>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</si>
  <si>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</si>
  <si>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</si>
  <si>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</si>
  <si>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</si>
  <si>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</si>
  <si>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</si>
  <si>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</si>
  <si>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</si>
  <si>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</si>
  <si>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</si>
  <si>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</si>
  <si>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</si>
  <si>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</si>
  <si>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</si>
  <si>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</si>
  <si>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</si>
  <si>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</si>
  <si>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</si>
  <si>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</si>
  <si>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</si>
  <si>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</si>
  <si>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</si>
  <si>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</si>
  <si>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</si>
  <si>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</si>
  <si>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</si>
  <si>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</si>
  <si>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</si>
  <si>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</si>
  <si>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</si>
  <si>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</si>
  <si>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</si>
  <si>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</si>
  <si>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</si>
  <si>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</si>
  <si>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</si>
  <si>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</si>
  <si>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</si>
  <si>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</si>
  <si>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</si>
  <si>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</si>
  <si>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</si>
  <si>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</si>
  <si>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</si>
  <si>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</si>
  <si>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</si>
  <si>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</si>
  <si>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</si>
  <si>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</si>
  <si>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</si>
  <si>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</si>
  <si>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</si>
  <si>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</si>
  <si>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</si>
  <si>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</si>
  <si>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</si>
  <si>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</si>
  <si>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</si>
  <si>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</si>
  <si>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</si>
  <si>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</si>
  <si>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</si>
  <si>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</si>
  <si>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</si>
  <si>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</si>
  <si>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</si>
  <si>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</si>
  <si>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</si>
  <si>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</si>
  <si>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</si>
  <si>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</si>
  <si>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</si>
  <si>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</si>
  <si>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</si>
  <si>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</si>
  <si>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</si>
  <si>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</si>
  <si>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</si>
  <si>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</si>
  <si>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</si>
  <si>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</si>
  <si>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</si>
  <si>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</si>
  <si>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</si>
  <si>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</si>
  <si>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</si>
  <si>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</si>
  <si>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</si>
  <si>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</si>
  <si>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</si>
  <si>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</si>
  <si>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</si>
  <si>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</si>
  <si>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</si>
  <si>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</si>
  <si>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</si>
  <si>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</si>
  <si>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</si>
  <si>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</si>
  <si>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</si>
  <si>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</si>
  <si>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</si>
  <si>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</si>
  <si>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</si>
  <si>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</si>
  <si>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</si>
  <si>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</si>
  <si>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</si>
  <si>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</si>
  <si>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</si>
  <si>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</si>
  <si>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</si>
  <si>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</si>
  <si>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</si>
  <si>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</si>
  <si>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</si>
  <si>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</si>
  <si>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</si>
  <si>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</si>
  <si>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</si>
  <si>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</si>
  <si>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</si>
  <si>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</si>
  <si>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</si>
  <si>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</si>
  <si>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</si>
  <si>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</si>
  <si>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</si>
  <si>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</si>
  <si>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</si>
  <si>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</si>
  <si>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</si>
  <si>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</si>
  <si>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</si>
  <si>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</si>
  <si>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</si>
  <si>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</si>
  <si>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</si>
  <si>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</si>
  <si>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</si>
  <si>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</si>
  <si>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</si>
  <si>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</si>
  <si>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</si>
  <si>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</si>
  <si>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</si>
  <si>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</si>
  <si>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</si>
  <si>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</si>
  <si>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</si>
  <si>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</si>
  <si>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</si>
  <si>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</si>
  <si>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</si>
  <si>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</si>
  <si>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</si>
  <si>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</si>
  <si>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</si>
  <si>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</si>
  <si>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</si>
  <si>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</si>
  <si>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</si>
  <si>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</si>
  <si>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</si>
  <si>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</si>
  <si>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</si>
  <si>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</si>
  <si>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</si>
  <si>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</si>
  <si>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</si>
  <si>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</si>
  <si>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</si>
  <si>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</si>
  <si>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</si>
  <si>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</si>
  <si>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</si>
  <si>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</si>
  <si>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</si>
  <si>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</si>
  <si>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</si>
  <si>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</si>
  <si>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</si>
  <si>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</si>
  <si>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</si>
  <si>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</si>
  <si>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</si>
  <si>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</si>
  <si>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</si>
  <si>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</si>
  <si>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</si>
  <si>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</si>
  <si>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</si>
  <si>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</si>
  <si>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</si>
  <si>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</si>
  <si>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</si>
  <si>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</si>
  <si>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</si>
  <si>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</si>
  <si>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</si>
  <si>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</si>
  <si>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</si>
  <si>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</si>
  <si>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</si>
  <si>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</si>
  <si>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</si>
  <si>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</si>
  <si>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</si>
  <si>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</si>
  <si>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</si>
  <si>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</si>
  <si>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</si>
  <si>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</si>
  <si>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</si>
  <si>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</si>
  <si>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</si>
  <si>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</si>
  <si>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</si>
  <si>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</si>
  <si>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</si>
  <si>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</si>
  <si>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</si>
  <si>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</si>
  <si>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</si>
  <si>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</si>
  <si>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</si>
  <si>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</si>
  <si>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</si>
  <si>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</si>
  <si>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</si>
  <si>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</si>
  <si>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</si>
  <si>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</si>
  <si>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</si>
  <si>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</si>
  <si>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</si>
  <si>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</si>
  <si>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</si>
  <si>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</si>
  <si>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</si>
  <si>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</si>
  <si>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</si>
  <si>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</si>
  <si>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</si>
  <si>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</si>
  <si>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</si>
  <si>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</si>
  <si>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</si>
  <si>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</si>
  <si>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</si>
  <si>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</si>
  <si>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</si>
  <si>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</si>
  <si>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</si>
  <si>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</si>
  <si>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</si>
  <si>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</si>
  <si>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</si>
  <si>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</si>
  <si>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</si>
  <si>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</si>
  <si>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</si>
  <si>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</si>
  <si>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</si>
  <si>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</si>
  <si>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</si>
  <si>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</si>
  <si>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</si>
  <si>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</si>
  <si>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</si>
  <si>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</si>
  <si>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</si>
  <si>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</si>
  <si>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</si>
  <si>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</si>
  <si>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</si>
  <si>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</si>
  <si>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</si>
  <si>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</si>
  <si>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</si>
  <si>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</si>
  <si>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</si>
  <si>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</si>
  <si>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</si>
  <si>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</si>
  <si>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</si>
  <si>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</si>
  <si>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</si>
  <si>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</si>
  <si>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</si>
  <si>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</si>
  <si>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</si>
  <si>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</si>
  <si>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</si>
  <si>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</si>
  <si>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</si>
  <si>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</si>
  <si>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</si>
  <si>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</si>
  <si>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</si>
  <si>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</si>
  <si>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</si>
  <si>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</si>
  <si>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</si>
  <si>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</si>
  <si>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</si>
  <si>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</si>
  <si>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</si>
  <si>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</si>
  <si>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</si>
  <si>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</si>
  <si>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</si>
  <si>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</si>
  <si>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</si>
  <si>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</si>
  <si>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</si>
  <si>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</si>
  <si>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</si>
  <si>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</si>
  <si>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</si>
  <si>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</si>
  <si>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</si>
  <si>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</si>
  <si>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</si>
  <si>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</si>
  <si>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</si>
  <si>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</si>
  <si>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</si>
  <si>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</si>
  <si>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</si>
  <si>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</si>
  <si>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</si>
  <si>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</si>
  <si>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</si>
  <si>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</si>
  <si>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</si>
  <si>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</si>
  <si>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</si>
  <si>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</si>
  <si>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</si>
  <si>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</si>
  <si>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</si>
  <si>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</si>
  <si>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</si>
  <si>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</si>
  <si>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</si>
  <si>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</si>
  <si>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</si>
  <si>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</si>
  <si>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</si>
  <si>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</si>
  <si>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</si>
  <si>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</si>
  <si>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</si>
  <si>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</si>
  <si>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</si>
  <si>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</si>
  <si>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</si>
  <si>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</si>
  <si>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</si>
  <si>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</si>
  <si>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</si>
  <si>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</si>
  <si>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</si>
  <si>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</si>
  <si>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</si>
  <si>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</si>
  <si>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</si>
  <si>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</si>
  <si>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</si>
  <si>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</si>
  <si>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</si>
  <si>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</si>
  <si>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</si>
  <si>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</si>
  <si>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</si>
  <si>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</si>
  <si>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</si>
  <si>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</si>
  <si>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</si>
  <si>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</si>
  <si>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</si>
  <si>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</si>
  <si>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</si>
  <si>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</si>
  <si>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</si>
  <si>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</si>
  <si>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</si>
  <si>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</si>
  <si>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</si>
  <si>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</si>
  <si>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</si>
  <si>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</si>
  <si>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</si>
  <si>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</si>
  <si>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</si>
  <si>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</si>
  <si>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</si>
  <si>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</si>
  <si>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</si>
  <si>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</si>
  <si>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</si>
  <si>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</si>
  <si>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</si>
  <si>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</si>
  <si>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</si>
  <si>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</si>
  <si>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</si>
  <si>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</si>
  <si>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</si>
  <si>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</si>
  <si>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</si>
  <si>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</si>
  <si>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</si>
  <si>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</si>
  <si>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</si>
  <si>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</si>
  <si>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</si>
  <si>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</si>
  <si>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</si>
  <si>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</si>
  <si>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</si>
  <si>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</si>
  <si>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</si>
  <si>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</si>
  <si>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</si>
  <si>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</si>
  <si>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</si>
  <si>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</si>
  <si>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</si>
  <si>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</si>
  <si>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</si>
  <si>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</si>
  <si>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</si>
  <si>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</si>
  <si>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</si>
  <si>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</si>
  <si>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</si>
  <si>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</si>
  <si>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</si>
  <si>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</si>
  <si>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</si>
  <si>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</si>
  <si>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</si>
  <si>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</si>
  <si>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</si>
  <si>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</si>
  <si>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</si>
  <si>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</si>
  <si>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</si>
  <si>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</si>
  <si>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</si>
  <si>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</si>
  <si>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</si>
  <si>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</si>
  <si>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</si>
  <si>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</si>
  <si>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</si>
  <si>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</si>
  <si>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</si>
  <si>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</si>
  <si>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</si>
  <si>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</si>
  <si>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</si>
  <si>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</si>
  <si>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</si>
  <si>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</si>
  <si>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</si>
  <si>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</si>
  <si>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</si>
  <si>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</si>
  <si>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</si>
  <si>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</si>
  <si>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</si>
  <si>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</si>
  <si>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</si>
  <si>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</si>
  <si>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</si>
  <si>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</si>
  <si>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</si>
  <si>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</si>
  <si>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</si>
  <si>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</si>
  <si>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</si>
  <si>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</si>
  <si>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</si>
  <si>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</si>
  <si>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</si>
  <si>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</si>
  <si>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</si>
  <si>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</si>
  <si>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</si>
  <si>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</si>
  <si>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</si>
  <si>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</si>
  <si>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</si>
  <si>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</si>
  <si>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</si>
  <si>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</si>
  <si>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</si>
  <si>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</si>
  <si>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</si>
  <si>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</si>
  <si>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</si>
  <si>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</si>
  <si>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</si>
  <si>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</si>
  <si>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</si>
  <si>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</si>
  <si>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</si>
  <si>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</si>
  <si>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</si>
  <si>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</si>
  <si>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</si>
  <si>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</si>
  <si>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</si>
  <si>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</si>
  <si>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</si>
  <si>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</si>
  <si>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</si>
  <si>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</si>
  <si>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</si>
  <si>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</si>
  <si>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</si>
  <si>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</si>
  <si>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</si>
  <si>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</si>
  <si>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</si>
  <si>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</si>
  <si>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</si>
  <si>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</si>
  <si>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</si>
  <si>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</si>
  <si>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</si>
  <si>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</si>
  <si>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</si>
  <si>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</si>
  <si>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</si>
  <si>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</si>
  <si>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</si>
  <si>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</si>
  <si>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</si>
  <si>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</si>
  <si>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</si>
  <si>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</si>
  <si>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</si>
  <si>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</si>
  <si>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</si>
  <si>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</si>
  <si>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</si>
  <si>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</si>
  <si>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</si>
  <si>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</si>
  <si>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</si>
  <si>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</si>
  <si>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</si>
  <si>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</si>
  <si>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</si>
  <si>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</si>
  <si>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</si>
  <si>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</si>
  <si>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</si>
  <si>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</si>
  <si>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</si>
  <si>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</si>
  <si>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</si>
  <si>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</si>
  <si>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</si>
  <si>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</si>
  <si>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</si>
  <si>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</si>
  <si>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</si>
  <si>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</si>
  <si>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</si>
  <si>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</si>
  <si>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</si>
  <si>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</si>
  <si>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</si>
  <si>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</si>
  <si>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</si>
  <si>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</si>
  <si>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</si>
  <si>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</si>
  <si>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</si>
  <si>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</si>
  <si>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</si>
  <si>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</si>
  <si>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</si>
  <si>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</si>
  <si>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</si>
  <si>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</si>
  <si>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</si>
  <si>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</si>
  <si>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</si>
  <si>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</si>
  <si>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</si>
  <si>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</si>
  <si>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</si>
  <si>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</si>
  <si>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</si>
  <si>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</si>
  <si>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</si>
  <si>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</si>
  <si>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</si>
  <si>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</si>
  <si>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</si>
  <si>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</si>
  <si>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</si>
  <si>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</si>
  <si>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</si>
  <si>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</si>
  <si>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</si>
  <si>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</si>
  <si>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</si>
  <si>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</si>
  <si>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</si>
  <si>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</si>
  <si>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</si>
  <si>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</si>
  <si>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</si>
  <si>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</si>
  <si>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</si>
  <si>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</si>
  <si>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</si>
  <si>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</si>
  <si>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</si>
  <si>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</si>
  <si>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</si>
  <si>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</si>
  <si>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</si>
  <si>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</si>
  <si>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</si>
  <si>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</si>
  <si>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</si>
  <si>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</si>
  <si>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</si>
  <si>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</si>
  <si>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</si>
  <si>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</si>
  <si>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</si>
  <si>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</si>
  <si>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</si>
  <si>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</si>
  <si>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</si>
  <si>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</si>
  <si>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</si>
  <si>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</si>
  <si>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</si>
  <si>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</si>
  <si>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</si>
  <si>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</si>
  <si>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</si>
  <si>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</si>
  <si>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</si>
  <si>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</si>
  <si>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</si>
  <si>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</si>
  <si>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</si>
  <si>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</si>
  <si>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</si>
  <si>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</si>
  <si>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</si>
  <si>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</si>
  <si>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</si>
  <si>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</si>
  <si>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</si>
  <si>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</si>
  <si>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</si>
  <si>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</si>
  <si>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</si>
  <si>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</si>
  <si>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</si>
  <si>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</si>
  <si>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</si>
  <si>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</si>
  <si>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</si>
  <si>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</si>
  <si>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</si>
  <si>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</si>
  <si>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</si>
  <si>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</si>
  <si>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</si>
  <si>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</si>
  <si>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</si>
  <si>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</si>
  <si>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</si>
  <si>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</si>
  <si>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</si>
  <si>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</si>
  <si>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</si>
  <si>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</si>
  <si>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</si>
  <si>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</si>
  <si>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</si>
  <si>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</si>
  <si>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</si>
  <si>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</si>
  <si>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</si>
  <si>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</si>
  <si>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</si>
  <si>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</si>
  <si>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</si>
  <si>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</si>
  <si>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</si>
  <si>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</si>
  <si>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</si>
  <si>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</si>
  <si>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</si>
  <si>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</si>
  <si>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</si>
  <si>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</si>
  <si>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</si>
  <si>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</si>
  <si>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</si>
  <si>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</si>
  <si>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</si>
  <si>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</si>
  <si>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</si>
  <si>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</si>
  <si>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</si>
  <si>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</si>
  <si>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</si>
  <si>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</si>
  <si>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</si>
  <si>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</si>
  <si>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</si>
  <si>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</si>
  <si>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</si>
  <si>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</si>
  <si>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</si>
  <si>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</si>
  <si>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</si>
  <si>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</si>
  <si>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</si>
  <si>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</si>
  <si>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</si>
  <si>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</si>
  <si>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</si>
  <si>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</si>
  <si>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</si>
  <si>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</si>
  <si>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</si>
  <si>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</si>
  <si>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</si>
  <si>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</si>
  <si>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</si>
  <si>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</si>
  <si>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</si>
  <si>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</si>
  <si>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</si>
  <si>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</si>
  <si>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</si>
  <si>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</si>
  <si>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</si>
  <si>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</si>
  <si>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</si>
  <si>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</si>
  <si>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</si>
  <si>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</si>
  <si>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</si>
  <si>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</si>
  <si>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</si>
  <si>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</si>
  <si>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</si>
  <si>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</si>
  <si>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</si>
  <si>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</si>
  <si>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</si>
  <si>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</si>
  <si>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</si>
  <si>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</si>
  <si>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</si>
  <si>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</si>
  <si>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</si>
  <si>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</si>
  <si>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</si>
  <si>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</si>
  <si>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</si>
  <si>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</si>
  <si>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</si>
  <si>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</si>
  <si>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</si>
  <si>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</si>
  <si>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</si>
  <si>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</si>
  <si>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</si>
  <si>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</si>
  <si>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</si>
  <si>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</si>
  <si>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</si>
  <si>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</si>
  <si>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</si>
  <si>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</si>
  <si>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</si>
  <si>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</si>
  <si>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</si>
  <si>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</si>
  <si>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</si>
  <si>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</si>
  <si>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</si>
  <si>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</si>
  <si>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</si>
  <si>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</si>
  <si>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</si>
  <si>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</si>
  <si>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</si>
  <si>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</si>
  <si>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</si>
  <si>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</si>
  <si>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</si>
  <si>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</si>
  <si>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</si>
  <si>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</si>
  <si>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</si>
  <si>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</si>
  <si>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</si>
  <si>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</si>
  <si>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</si>
  <si>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</si>
  <si>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</si>
  <si>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</si>
  <si>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</si>
  <si>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</si>
  <si>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</si>
  <si>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</si>
  <si>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</si>
  <si>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</si>
  <si>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</si>
  <si>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</si>
  <si>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</si>
  <si>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</si>
  <si>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</si>
  <si>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</si>
  <si>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</si>
  <si>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</si>
  <si>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</si>
  <si>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</si>
  <si>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</si>
  <si>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</si>
  <si>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</si>
  <si>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</si>
  <si>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</si>
  <si>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</si>
  <si>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</si>
  <si>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</si>
  <si>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</si>
  <si>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</si>
  <si>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</si>
  <si>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</si>
  <si>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</si>
  <si>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</si>
  <si>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</si>
  <si>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</si>
  <si>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</si>
  <si>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</si>
  <si>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</si>
  <si>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</si>
  <si>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</si>
  <si>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</si>
  <si>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</si>
  <si>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</si>
  <si>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</si>
  <si>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</si>
  <si>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</si>
  <si>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</si>
  <si>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</si>
  <si>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</si>
  <si>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</si>
  <si>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</si>
  <si>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</si>
  <si>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</si>
  <si>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</si>
  <si>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Cusomer_356423</t>
  </si>
  <si>
    <t>CITY_356423</t>
  </si>
  <si>
    <t>Cust Name: 356423</t>
  </si>
  <si>
    <t>Doctor: 356423</t>
  </si>
  <si>
    <t>Inv: DCT06555</t>
  </si>
  <si>
    <t>Inv: DCT06556</t>
  </si>
  <si>
    <t>Inv: DCT06649</t>
  </si>
  <si>
    <t>Inv: DCT07048</t>
  </si>
  <si>
    <t>Inv: DCT07145</t>
  </si>
  <si>
    <t>Inv: DCT07146</t>
  </si>
  <si>
    <t>Inv: DCT07236</t>
  </si>
  <si>
    <t>Inv: DCT07562</t>
  </si>
  <si>
    <t>Inv: DCT07666</t>
  </si>
  <si>
    <t>Inv: DCT08104</t>
  </si>
  <si>
    <t>Inv: DCT08558</t>
  </si>
  <si>
    <t>Cusomer_362302</t>
  </si>
  <si>
    <t>CITY_362302</t>
  </si>
  <si>
    <t>Cust Name: 362302</t>
  </si>
  <si>
    <t>Doctor: 362302</t>
  </si>
  <si>
    <t>Inv: 9008057300</t>
  </si>
  <si>
    <t>Cusomer_366061</t>
  </si>
  <si>
    <t>CITY_366061</t>
  </si>
  <si>
    <t>Cust Name: 366061</t>
  </si>
  <si>
    <t>Doctor: 366061</t>
  </si>
  <si>
    <t>Inv: 6000152344</t>
  </si>
  <si>
    <t>Inv: 6000152345</t>
  </si>
  <si>
    <t>Inv: 6000152346</t>
  </si>
  <si>
    <t>Cusomer_375336</t>
  </si>
  <si>
    <t>CITY_375336</t>
  </si>
  <si>
    <t>Cust Name: 375336</t>
  </si>
  <si>
    <t>Doctor: 375336</t>
  </si>
  <si>
    <t>Inv: 9007606609</t>
  </si>
  <si>
    <t>Inv: 9008270905</t>
  </si>
  <si>
    <t>Inv: 9008368865</t>
  </si>
  <si>
    <t>Cusomer_380945</t>
  </si>
  <si>
    <t>CITY_380945</t>
  </si>
  <si>
    <t>Cust Name: 380945</t>
  </si>
  <si>
    <t>Doctor: 380945</t>
  </si>
  <si>
    <t>Inv: 7000211597</t>
  </si>
  <si>
    <t>Inv: 9011623897</t>
  </si>
  <si>
    <t>Inv: 9011693203</t>
  </si>
  <si>
    <t>Inv: 9012154007</t>
  </si>
  <si>
    <t>Inv: 9012353204</t>
  </si>
  <si>
    <t>Cusomer_387516</t>
  </si>
  <si>
    <t>CITY_387516</t>
  </si>
  <si>
    <t>Cust Name: 387516</t>
  </si>
  <si>
    <t>Doctor: 387516</t>
  </si>
  <si>
    <t>Inv: 9005556341</t>
  </si>
  <si>
    <t>Cusomer_391220</t>
  </si>
  <si>
    <t>CITY_391220</t>
  </si>
  <si>
    <t>Cust Name: 391220</t>
  </si>
  <si>
    <t>Doctor: 391220</t>
  </si>
  <si>
    <t>Inv: 100005631</t>
  </si>
  <si>
    <t>Cusomer_399157</t>
  </si>
  <si>
    <t>CITY_399157</t>
  </si>
  <si>
    <t>Cust Name: 399157</t>
  </si>
  <si>
    <t>Doctor: 399157</t>
  </si>
  <si>
    <t>Inv: 9006291364</t>
  </si>
  <si>
    <t>Inv: 9006291365</t>
  </si>
  <si>
    <t>Cusomer_400634</t>
  </si>
  <si>
    <t>CITY_400634</t>
  </si>
  <si>
    <t>Cust Name: 400634</t>
  </si>
  <si>
    <t>Doctor: 400634</t>
  </si>
  <si>
    <t>Inv: 9008270933</t>
  </si>
  <si>
    <t>Cusomer_401828</t>
  </si>
  <si>
    <t>CITY_401828</t>
  </si>
  <si>
    <t>Cust Name: 401828</t>
  </si>
  <si>
    <t>Doctor: 401828</t>
  </si>
  <si>
    <t>Inv: 9008270941</t>
  </si>
  <si>
    <t>Inv: 9009391370</t>
  </si>
  <si>
    <t>Inv: 7000188285</t>
  </si>
  <si>
    <t>Inv: 7000188286</t>
  </si>
  <si>
    <t>Inv: 7000218963</t>
  </si>
  <si>
    <t>Inv: 7000242919</t>
  </si>
  <si>
    <t>Cusomer_424053</t>
  </si>
  <si>
    <t>CITY_424053</t>
  </si>
  <si>
    <t>Cust Name: 424053</t>
  </si>
  <si>
    <t>Doctor: 424053</t>
  </si>
  <si>
    <t>Inv: 9008057376</t>
  </si>
  <si>
    <t>Cusomer_427329</t>
  </si>
  <si>
    <t>CITY_427329</t>
  </si>
  <si>
    <t>Cust Name: 427329</t>
  </si>
  <si>
    <t>Doctor: 427329</t>
  </si>
  <si>
    <t>Inv: 7000188715</t>
  </si>
  <si>
    <t>Cusomer_427840</t>
  </si>
  <si>
    <t>CITY_427840</t>
  </si>
  <si>
    <t>Cust Name: 427840</t>
  </si>
  <si>
    <t>Doctor: 427840</t>
  </si>
  <si>
    <t>Inv: 9007717855</t>
  </si>
  <si>
    <t>Inv: 7000206197</t>
  </si>
  <si>
    <t>Inv: 9012154012</t>
  </si>
  <si>
    <t>Cusomer_450000</t>
  </si>
  <si>
    <t>CITY_450000</t>
  </si>
  <si>
    <t>Cust Name: 450000</t>
  </si>
  <si>
    <t>Doctor: 450000</t>
  </si>
  <si>
    <t>Inv: 9006203199</t>
  </si>
  <si>
    <t>Inv: 9010955463</t>
  </si>
  <si>
    <t>Cusomer_450082</t>
  </si>
  <si>
    <t>CITY_450082</t>
  </si>
  <si>
    <t>Cust Name: 450082</t>
  </si>
  <si>
    <t>Doctor: 450082</t>
  </si>
  <si>
    <t>Inv: DCT08607</t>
  </si>
  <si>
    <t>Inv: DCT08608</t>
  </si>
  <si>
    <t>Inv: 9004581711</t>
  </si>
  <si>
    <t>Inv: 9006114948</t>
  </si>
  <si>
    <t>Inv: 9006535515</t>
  </si>
  <si>
    <t>Cusomer_476544</t>
  </si>
  <si>
    <t>CITY_476544</t>
  </si>
  <si>
    <t>Cust Name: 476544</t>
  </si>
  <si>
    <t>Doctor: 476544</t>
  </si>
  <si>
    <t>Inv: 7000161851</t>
  </si>
  <si>
    <t>Inv: 7000188308</t>
  </si>
  <si>
    <t>Cusomer_482734</t>
  </si>
  <si>
    <t>CITY_482734</t>
  </si>
  <si>
    <t>Cust Name: 482734</t>
  </si>
  <si>
    <t>Doctor: 482734</t>
  </si>
  <si>
    <t>Inv: 9005351232</t>
  </si>
  <si>
    <t>Inv: 9005351229</t>
  </si>
  <si>
    <t>Inv: 9005456894</t>
  </si>
  <si>
    <t>Inv: 9005456895</t>
  </si>
  <si>
    <t>Inv: 9005456896</t>
  </si>
  <si>
    <t>Inv: 7000097689</t>
  </si>
  <si>
    <t>Inv: 9005556395</t>
  </si>
  <si>
    <t>Inv: 9005556397</t>
  </si>
  <si>
    <t>Inv: 9005556398</t>
  </si>
  <si>
    <t>Inv: 9005556399</t>
  </si>
  <si>
    <t>Inv: 9005644575</t>
  </si>
  <si>
    <t>Inv: 9005732663</t>
  </si>
  <si>
    <t>Inv: 9006291430</t>
  </si>
  <si>
    <t>Inv: 9006291431</t>
  </si>
  <si>
    <t>Inv: 9006291432</t>
  </si>
  <si>
    <t>Inv: 9006535530</t>
  </si>
  <si>
    <t>Inv: 9006550841</t>
  </si>
  <si>
    <t>Inv: 9006653002</t>
  </si>
  <si>
    <t>Inv: 9006864523</t>
  </si>
  <si>
    <t>Inv: 9007055483</t>
  </si>
  <si>
    <t>Inv: 7000149517</t>
  </si>
  <si>
    <t>Inv: 9008603418</t>
  </si>
  <si>
    <t>Inv: 7000206634</t>
  </si>
  <si>
    <t>Inv: 9010354984</t>
  </si>
  <si>
    <t>Cusomer_498783</t>
  </si>
  <si>
    <t>CITY_498783</t>
  </si>
  <si>
    <t>Cust Name: 498783</t>
  </si>
  <si>
    <t>Doctor: 498783</t>
  </si>
  <si>
    <t>Inv: 9008270986</t>
  </si>
  <si>
    <t>Inv: 9009279549</t>
  </si>
  <si>
    <t>Inv: 9009391439</t>
  </si>
  <si>
    <t>Inv: 7000199088</t>
  </si>
  <si>
    <t>Inv: 7000199089</t>
  </si>
  <si>
    <t>Cusomer_498798</t>
  </si>
  <si>
    <t>CITY_498798</t>
  </si>
  <si>
    <t>Cust Name: 498798</t>
  </si>
  <si>
    <t>Doctor: 498798</t>
  </si>
  <si>
    <t>Inv: 6000126940</t>
  </si>
  <si>
    <t>Inv: 6000126941</t>
  </si>
  <si>
    <t>Cusomer_499098</t>
  </si>
  <si>
    <t>CITY_499098</t>
  </si>
  <si>
    <t>Cust Name: 499098</t>
  </si>
  <si>
    <t>Doctor: 499098</t>
  </si>
  <si>
    <t>Inv: 100007919</t>
  </si>
  <si>
    <t>Cusomer_506038</t>
  </si>
  <si>
    <t>CITY_506038</t>
  </si>
  <si>
    <t>Cust Name: 506038</t>
  </si>
  <si>
    <t>Doctor: 506038</t>
  </si>
  <si>
    <t>Inv: 6000126947</t>
  </si>
  <si>
    <t>Cusomer_518178</t>
  </si>
  <si>
    <t>CITY_518178</t>
  </si>
  <si>
    <t>Cust Name: 518178</t>
  </si>
  <si>
    <t>Doctor: 518178</t>
  </si>
  <si>
    <t>Inv: 9006114980</t>
  </si>
  <si>
    <t>Inv: 9006773906</t>
  </si>
  <si>
    <t>Inv: 9007198169</t>
  </si>
  <si>
    <t>Cusomer_518226</t>
  </si>
  <si>
    <t>CITY_518226</t>
  </si>
  <si>
    <t>Cust Name: 518226</t>
  </si>
  <si>
    <t>Doctor: 518226</t>
  </si>
  <si>
    <t>Inv: 9007055518</t>
  </si>
  <si>
    <t>Inv: 9007487111</t>
  </si>
  <si>
    <t>Cusomer_886014</t>
  </si>
  <si>
    <t>CITY_886014</t>
  </si>
  <si>
    <t>Cust Name: 886014</t>
  </si>
  <si>
    <t>Doctor: 886014</t>
  </si>
  <si>
    <t>Inv: 100005630</t>
  </si>
  <si>
    <t>Cusomer_897863</t>
  </si>
  <si>
    <t>CITY_897863</t>
  </si>
  <si>
    <t>Cust Name: 897863</t>
  </si>
  <si>
    <t>Doctor: 897863</t>
  </si>
  <si>
    <t>Inv: 9003582483</t>
  </si>
  <si>
    <t>Inv: 7000172555</t>
  </si>
  <si>
    <t>Inv: 7000172554</t>
  </si>
  <si>
    <t>Inv: 7000172556</t>
  </si>
  <si>
    <t>Cusomer_916414</t>
  </si>
  <si>
    <t>CITY_916414</t>
  </si>
  <si>
    <t>Cust Name: 916414</t>
  </si>
  <si>
    <t>Doctor: 916414</t>
  </si>
  <si>
    <t>Inv: 100000018</t>
  </si>
  <si>
    <t>Cusomer_916417</t>
  </si>
  <si>
    <t>CITY_916417</t>
  </si>
  <si>
    <t>Cust Name: 916417</t>
  </si>
  <si>
    <t>Doctor: 916417</t>
  </si>
  <si>
    <t>Inv: 100000019</t>
  </si>
  <si>
    <t>Cusomer_916703</t>
  </si>
  <si>
    <t>CITY_916703</t>
  </si>
  <si>
    <t>Cust Name: 916703</t>
  </si>
  <si>
    <t>Doctor: 916703</t>
  </si>
  <si>
    <t>Inv: 100000020</t>
  </si>
  <si>
    <t>Cusomer_916775</t>
  </si>
  <si>
    <t>CITY_916775</t>
  </si>
  <si>
    <t>Cust Name: 916775</t>
  </si>
  <si>
    <t>Doctor: 916775</t>
  </si>
  <si>
    <t>Inv: 100005695</t>
  </si>
  <si>
    <t>Cusomer_917021</t>
  </si>
  <si>
    <t>CITY_917021</t>
  </si>
  <si>
    <t>Cust Name: 917021</t>
  </si>
  <si>
    <t>Doctor: 917021</t>
  </si>
  <si>
    <t>Inv: 100000021</t>
  </si>
  <si>
    <t>Cusomer_918536</t>
  </si>
  <si>
    <t>CITY_918536</t>
  </si>
  <si>
    <t>Cust Name: 918536</t>
  </si>
  <si>
    <t>Doctor: 918536</t>
  </si>
  <si>
    <t>Inv: 7000043420</t>
  </si>
  <si>
    <t>Cusomer_918725</t>
  </si>
  <si>
    <t>CITY_918725</t>
  </si>
  <si>
    <t>Cust Name: 918725</t>
  </si>
  <si>
    <t>Doctor: 918725</t>
  </si>
  <si>
    <t>Inv: 100000028</t>
  </si>
  <si>
    <t>Cusomer_919099</t>
  </si>
  <si>
    <t>CITY_919099</t>
  </si>
  <si>
    <t>Cust Name: 919099</t>
  </si>
  <si>
    <t>Doctor: 919099</t>
  </si>
  <si>
    <t>Inv: 9007487142</t>
  </si>
  <si>
    <t>Cusomer_919718</t>
  </si>
  <si>
    <t>CITY_919718</t>
  </si>
  <si>
    <t>Cust Name: 919718</t>
  </si>
  <si>
    <t>Doctor: 919718</t>
  </si>
  <si>
    <t>Inv: 100000031</t>
  </si>
  <si>
    <t>Cusomer_919737</t>
  </si>
  <si>
    <t>CITY_919737</t>
  </si>
  <si>
    <t>Cust Name: 919737</t>
  </si>
  <si>
    <t>Doctor: 919737</t>
  </si>
  <si>
    <t>Inv: 100000032</t>
  </si>
  <si>
    <t>Cusomer_920907</t>
  </si>
  <si>
    <t>CITY_920907</t>
  </si>
  <si>
    <t>Cust Name: 920907</t>
  </si>
  <si>
    <t>Doctor: 920907</t>
  </si>
  <si>
    <t>Inv: 7000097970</t>
  </si>
  <si>
    <t>Cusomer_921178</t>
  </si>
  <si>
    <t>CITY_921178</t>
  </si>
  <si>
    <t>Cust Name: 921178</t>
  </si>
  <si>
    <t>Doctor: 921178</t>
  </si>
  <si>
    <t>Inv: 7000049260</t>
  </si>
  <si>
    <t>Inv: 9006025151</t>
  </si>
  <si>
    <t>Inv: 9006025152</t>
  </si>
  <si>
    <t>Inv: 9006203304</t>
  </si>
  <si>
    <t>Cusomer_939476</t>
  </si>
  <si>
    <t>CITY_939476</t>
  </si>
  <si>
    <t>Cust Name: 939476</t>
  </si>
  <si>
    <t>Doctor: 939476</t>
  </si>
  <si>
    <t>Inv: 9007487149</t>
  </si>
  <si>
    <t>Inv: 7000156449</t>
  </si>
  <si>
    <t>Cusomer_949817</t>
  </si>
  <si>
    <t>CITY_949817</t>
  </si>
  <si>
    <t>Cust Name: 949817</t>
  </si>
  <si>
    <t>Doctor: 949817</t>
  </si>
  <si>
    <t>Inv: 9006291535</t>
  </si>
  <si>
    <t>Cusomer_956513</t>
  </si>
  <si>
    <t>CITY_956513</t>
  </si>
  <si>
    <t>Cust Name: 956513</t>
  </si>
  <si>
    <t>Doctor: 956513</t>
  </si>
  <si>
    <t>Inv: 7000113742</t>
  </si>
  <si>
    <t>Cusomer_959523</t>
  </si>
  <si>
    <t>CITY_959523</t>
  </si>
  <si>
    <t>Cust Name: 959523</t>
  </si>
  <si>
    <t>Doctor: 959523</t>
  </si>
  <si>
    <t>Inv: 9007824069</t>
  </si>
  <si>
    <t>Cusomer_961130</t>
  </si>
  <si>
    <t>CITY_961130</t>
  </si>
  <si>
    <t>Cust Name: 961130</t>
  </si>
  <si>
    <t>Doctor: 961130</t>
  </si>
  <si>
    <t>Inv: 7000113774</t>
  </si>
  <si>
    <t>Inv: 9010236144</t>
  </si>
  <si>
    <t>Inv: 9011319263</t>
  </si>
  <si>
    <t>Cusomer_964857</t>
  </si>
  <si>
    <t>CITY_964857</t>
  </si>
  <si>
    <t>Cust Name: 964857</t>
  </si>
  <si>
    <t>Doctor: 964857</t>
  </si>
  <si>
    <t>Inv: 6000112094</t>
  </si>
  <si>
    <t>Inv: 7000206660</t>
  </si>
  <si>
    <t>Cusomer_965810</t>
  </si>
  <si>
    <t>CITY_965810</t>
  </si>
  <si>
    <t>Cust Name: 965810</t>
  </si>
  <si>
    <t>Doctor: 965810</t>
  </si>
  <si>
    <t>Inv: 7000118664</t>
  </si>
  <si>
    <t>Cusomer_967924</t>
  </si>
  <si>
    <t>CITY_967924</t>
  </si>
  <si>
    <t>Cust Name: 967924</t>
  </si>
  <si>
    <t>Doctor: 967924</t>
  </si>
  <si>
    <t>Inv: 7000122499</t>
  </si>
  <si>
    <t>Inv: 9008271053</t>
  </si>
  <si>
    <t>Inv: 9008271054</t>
  </si>
  <si>
    <t>Inv: 9008369020</t>
  </si>
  <si>
    <t>Cusomer_970215</t>
  </si>
  <si>
    <t>CITY_970215</t>
  </si>
  <si>
    <t>Cust Name: 970215</t>
  </si>
  <si>
    <t>Doctor: 970215</t>
  </si>
  <si>
    <t>Inv: 9008714634</t>
  </si>
  <si>
    <t>Inv: 9011881611</t>
  </si>
  <si>
    <t>Inv: 9012180736</t>
  </si>
  <si>
    <t>Cusomer_971904</t>
  </si>
  <si>
    <t>CITY_971904</t>
  </si>
  <si>
    <t>Cust Name: 971904</t>
  </si>
  <si>
    <t>Doctor: 971904</t>
  </si>
  <si>
    <t>Inv: 7000128654</t>
  </si>
  <si>
    <t>Inv: 7000199419</t>
  </si>
  <si>
    <t>Cusomer_972380</t>
  </si>
  <si>
    <t>CITY_972380</t>
  </si>
  <si>
    <t>Cust Name: 972380</t>
  </si>
  <si>
    <t>Doctor: 972380</t>
  </si>
  <si>
    <t>Inv: 7000162185</t>
  </si>
  <si>
    <t>Inv: 6000152510</t>
  </si>
  <si>
    <t>Inv: 6000152511</t>
  </si>
  <si>
    <t>Inv: 6000152512</t>
  </si>
  <si>
    <t>Cusomer_973625</t>
  </si>
  <si>
    <t>CITY_973625</t>
  </si>
  <si>
    <t>Cust Name: 973625</t>
  </si>
  <si>
    <t>Doctor: 973625</t>
  </si>
  <si>
    <t>Inv: 7000138292</t>
  </si>
  <si>
    <t>Inv: 7000211856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</si>
</sst>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7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800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799" tableBorderDxfId="798">
  <tableColumns count="13">
    <tableColumn id="1" name="Val. No" dataDxfId="785"/>
    <tableColumn id="2" name="Account" dataDxfId="797"/>
    <tableColumn id="3" name="Customer " dataDxfId="796"/>
    <tableColumn id="4" name="Dr's Name " dataDxfId="795"/>
    <tableColumn id="5" name="Invoice reference" dataDxfId="794"/>
    <tableColumn id="6" name="Document Number" dataDxfId="793"/>
    <tableColumn id="7" name="Reference" dataDxfId="792"/>
    <tableColumn id="8" name="Amount SAR " dataDxfId="791"/>
    <tableColumn id="9" name="Document Date" dataDxfId="790"/>
    <tableColumn id="10" name="Net due date" dataDxfId="789"/>
    <tableColumn id="11" name="CT " dataDxfId="788">
      <calculatedColumnFormula>IF(Table1[[#This Row],[Account]]&lt;&gt;"",$N$8,"")</calculatedColumnFormula>
    </tableColumn>
    <tableColumn id="12" name="Aging " dataDxfId="787">
      <calculatedColumnFormula>IF(Table1[[#This Row],[Account]]&lt;&gt;"",J15+L15-$N$7,"")</calculatedColumnFormula>
    </tableColumn>
    <tableColumn id="13" name="Status " dataDxfId="786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48" name="Table1149" displayName="Table1149" ref="B14:N16" totalsRowShown="0" headerRowDxfId="64" tableBorderDxfId="63">
  <tableColumns count="13">
    <tableColumn id="1" name="Val. No" dataDxfId="62"/>
    <tableColumn id="2" name="Account" dataDxfId="61"/>
    <tableColumn id="3" name="Customer " dataDxfId="60"/>
    <tableColumn id="4" name="Dr's Name " dataDxfId="59"/>
    <tableColumn id="5" name="Invoice reference" dataDxfId="58"/>
    <tableColumn id="6" name="Document Number" dataDxfId="57"/>
    <tableColumn id="7" name="Reference" dataDxfId="56"/>
    <tableColumn id="8" name="Amount SAR " dataDxfId="55"/>
    <tableColumn id="9" name="Document Date" dataDxfId="54"/>
    <tableColumn id="10" name="Net due date" dataDxfId="53"/>
    <tableColumn id="11" name="CT " dataDxfId="52">
      <calculatedColumnFormula>IF(Table1149[[#This Row],[Account]]&lt;&gt;"",$N$8,"")</calculatedColumnFormula>
    </tableColumn>
    <tableColumn id="12" name="Aging " dataDxfId="51">
      <calculatedColumnFormula>IF(Table1149[[#This Row],[Account]]&lt;&gt;"",J15+L15-$N$7,"")</calculatedColumnFormula>
    </tableColumn>
    <tableColumn id="13" name="Status " dataDxfId="50">
      <calculatedColumnFormula>IF(Table1149[[#This Row],[Account]]&lt;&gt;"",IF(Table1149[[#This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147" name="Table1148" displayName="Table1148" ref="B14:N18" totalsRowShown="0" headerRowDxfId="79" tableBorderDxfId="78">
  <tableColumns count="13">
    <tableColumn id="1" name="Val. No" dataDxfId="77"/>
    <tableColumn id="2" name="Account" dataDxfId="76"/>
    <tableColumn id="3" name="Customer " dataDxfId="75"/>
    <tableColumn id="4" name="Dr's Name " dataDxfId="74"/>
    <tableColumn id="5" name="Invoice reference" dataDxfId="73"/>
    <tableColumn id="6" name="Document Number" dataDxfId="72"/>
    <tableColumn id="7" name="Reference" dataDxfId="71"/>
    <tableColumn id="8" name="Amount SAR " dataDxfId="70"/>
    <tableColumn id="9" name="Document Date" dataDxfId="69"/>
    <tableColumn id="10" name="Net due date" dataDxfId="68"/>
    <tableColumn id="11" name="CT " dataDxfId="67">
      <calculatedColumnFormula>IF(Table1148[[#This Row],[Account]]&lt;&gt;"",$N$8,"")</calculatedColumnFormula>
    </tableColumn>
    <tableColumn id="12" name="Aging " dataDxfId="66">
      <calculatedColumnFormula>IF(Table1148[[#This Row],[Account]]&lt;&gt;"",J15+L15-$N$7,"")</calculatedColumnFormula>
    </tableColumn>
    <tableColumn id="13" name="Status " dataDxfId="65">
      <calculatedColumnFormula>IF(Table1148[[#This Row],[Account]]&lt;&gt;"",IF(Table1148[[#This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146" name="Table1147" displayName="Table1147" ref="B14:N16" totalsRowShown="0" headerRowDxfId="94" tableBorderDxfId="93">
  <tableColumns count="13">
    <tableColumn id="1" name="Val. No" dataDxfId="92"/>
    <tableColumn id="2" name="Account" dataDxfId="91"/>
    <tableColumn id="3" name="Customer " dataDxfId="90"/>
    <tableColumn id="4" name="Dr's Name " dataDxfId="89"/>
    <tableColumn id="5" name="Invoice reference" dataDxfId="88"/>
    <tableColumn id="6" name="Document Number" dataDxfId="87"/>
    <tableColumn id="7" name="Reference" dataDxfId="86"/>
    <tableColumn id="8" name="Amount SAR " dataDxfId="85"/>
    <tableColumn id="9" name="Document Date" dataDxfId="84"/>
    <tableColumn id="10" name="Net due date" dataDxfId="83"/>
    <tableColumn id="11" name="CT " dataDxfId="82">
      <calculatedColumnFormula>IF(Table1147[[#This Row],[Account]]&lt;&gt;"",$N$8,"")</calculatedColumnFormula>
    </tableColumn>
    <tableColumn id="12" name="Aging " dataDxfId="81">
      <calculatedColumnFormula>IF(Table1147[[#This Row],[Account]]&lt;&gt;"",J15+L15-$N$7,"")</calculatedColumnFormula>
    </tableColumn>
    <tableColumn id="13" name="Status " dataDxfId="80">
      <calculatedColumnFormula>IF(Table1147[[#This Row],[Account]]&lt;&gt;"",IF(Table1147[[#This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145" name="Table1146" displayName="Table1146" ref="B14:N17" totalsRowShown="0" headerRowDxfId="109" tableBorderDxfId="108">
  <tableColumns count="13">
    <tableColumn id="1" name="Val. No" dataDxfId="107"/>
    <tableColumn id="2" name="Account" dataDxfId="106"/>
    <tableColumn id="3" name="Customer " dataDxfId="105"/>
    <tableColumn id="4" name="Dr's Name " dataDxfId="104"/>
    <tableColumn id="5" name="Invoice reference" dataDxfId="103"/>
    <tableColumn id="6" name="Document Number" dataDxfId="102"/>
    <tableColumn id="7" name="Reference" dataDxfId="101"/>
    <tableColumn id="8" name="Amount SAR " dataDxfId="100"/>
    <tableColumn id="9" name="Document Date" dataDxfId="99"/>
    <tableColumn id="10" name="Net due date" dataDxfId="98"/>
    <tableColumn id="11" name="CT " dataDxfId="97">
      <calculatedColumnFormula>IF(Table1146[[#This Row],[Account]]&lt;&gt;"",$N$8,"")</calculatedColumnFormula>
    </tableColumn>
    <tableColumn id="12" name="Aging " dataDxfId="96">
      <calculatedColumnFormula>IF(Table1146[[#This Row],[Account]]&lt;&gt;"",J15+L15-$N$7,"")</calculatedColumnFormula>
    </tableColumn>
    <tableColumn id="13" name="Status " dataDxfId="95">
      <calculatedColumnFormula>IF(Table1146[[#This Row],[Account]]&lt;&gt;"",IF(Table1146[[#This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144" name="Table1145" displayName="Table1145" ref="B14:N18" totalsRowShown="0" headerRowDxfId="124" tableBorderDxfId="123">
  <tableColumns count="13">
    <tableColumn id="1" name="Val. No" dataDxfId="122"/>
    <tableColumn id="2" name="Account" dataDxfId="121"/>
    <tableColumn id="3" name="Customer " dataDxfId="120"/>
    <tableColumn id="4" name="Dr's Name " dataDxfId="119"/>
    <tableColumn id="5" name="Invoice reference" dataDxfId="118"/>
    <tableColumn id="6" name="Document Number" dataDxfId="117"/>
    <tableColumn id="7" name="Reference" dataDxfId="116"/>
    <tableColumn id="8" name="Amount SAR " dataDxfId="115"/>
    <tableColumn id="9" name="Document Date" dataDxfId="114"/>
    <tableColumn id="10" name="Net due date" dataDxfId="113"/>
    <tableColumn id="11" name="CT " dataDxfId="112">
      <calculatedColumnFormula>IF(Table1145[[#This Row],[Account]]&lt;&gt;"",$N$8,"")</calculatedColumnFormula>
    </tableColumn>
    <tableColumn id="12" name="Aging " dataDxfId="111">
      <calculatedColumnFormula>IF(Table1145[[#This Row],[Account]]&lt;&gt;"",J15+L15-$N$7,"")</calculatedColumnFormula>
    </tableColumn>
    <tableColumn id="13" name="Status " dataDxfId="110">
      <calculatedColumnFormula>IF(Table1145[[#This Row],[Account]]&lt;&gt;"",IF(Table1145[[#This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143" name="Table1144" displayName="Table1144" ref="B14:N15" totalsRowShown="0" headerRowDxfId="139" tableBorderDxfId="138">
  <tableColumns count="13">
    <tableColumn id="1" name="Val. No" dataDxfId="137"/>
    <tableColumn id="2" name="Account" dataDxfId="136"/>
    <tableColumn id="3" name="Customer " dataDxfId="135"/>
    <tableColumn id="4" name="Dr's Name " dataDxfId="134"/>
    <tableColumn id="5" name="Invoice reference" dataDxfId="133"/>
    <tableColumn id="6" name="Document Number" dataDxfId="132"/>
    <tableColumn id="7" name="Reference" dataDxfId="131"/>
    <tableColumn id="8" name="Amount SAR " dataDxfId="130"/>
    <tableColumn id="9" name="Document Date" dataDxfId="129"/>
    <tableColumn id="10" name="Net due date" dataDxfId="128"/>
    <tableColumn id="11" name="CT " dataDxfId="127">
      <calculatedColumnFormula>IF(Table1144[[#This Row],[Account]]&lt;&gt;"",$N$8,"")</calculatedColumnFormula>
    </tableColumn>
    <tableColumn id="12" name="Aging " dataDxfId="126">
      <calculatedColumnFormula>IF(Table1144[[#This Row],[Account]]&lt;&gt;"",J15+L15-$N$7,"")</calculatedColumnFormula>
    </tableColumn>
    <tableColumn id="13" name="Status " dataDxfId="125">
      <calculatedColumnFormula>IF(Table1144[[#This Row],[Account]]&lt;&gt;"",IF(Table1144[[#This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142" name="Table1143" displayName="Table1143" ref="B14:N16" totalsRowShown="0" headerRowDxfId="154" tableBorderDxfId="153">
  <tableColumns count="13">
    <tableColumn id="1" name="Val. No" dataDxfId="152"/>
    <tableColumn id="2" name="Account" dataDxfId="151"/>
    <tableColumn id="3" name="Customer " dataDxfId="150"/>
    <tableColumn id="4" name="Dr's Name " dataDxfId="149"/>
    <tableColumn id="5" name="Invoice reference" dataDxfId="148"/>
    <tableColumn id="6" name="Document Number" dataDxfId="147"/>
    <tableColumn id="7" name="Reference" dataDxfId="146"/>
    <tableColumn id="8" name="Amount SAR " dataDxfId="145"/>
    <tableColumn id="9" name="Document Date" dataDxfId="144"/>
    <tableColumn id="10" name="Net due date" dataDxfId="143"/>
    <tableColumn id="11" name="CT " dataDxfId="142">
      <calculatedColumnFormula>IF(Table1143[[#This Row],[Account]]&lt;&gt;"",$N$8,"")</calculatedColumnFormula>
    </tableColumn>
    <tableColumn id="12" name="Aging " dataDxfId="141">
      <calculatedColumnFormula>IF(Table1143[[#This Row],[Account]]&lt;&gt;"",J15+L15-$N$7,"")</calculatedColumnFormula>
    </tableColumn>
    <tableColumn id="13" name="Status " dataDxfId="140">
      <calculatedColumnFormula>IF(Table1143[[#This Row],[Account]]&lt;&gt;"",IF(Table1143[[#This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141" name="Table1142" displayName="Table1142" ref="B14:N17" totalsRowShown="0" headerRowDxfId="169" tableBorderDxfId="168">
  <tableColumns count="13">
    <tableColumn id="1" name="Val. No" dataDxfId="167"/>
    <tableColumn id="2" name="Account" dataDxfId="166"/>
    <tableColumn id="3" name="Customer " dataDxfId="165"/>
    <tableColumn id="4" name="Dr's Name " dataDxfId="164"/>
    <tableColumn id="5" name="Invoice reference" dataDxfId="163"/>
    <tableColumn id="6" name="Document Number" dataDxfId="162"/>
    <tableColumn id="7" name="Reference" dataDxfId="161"/>
    <tableColumn id="8" name="Amount SAR " dataDxfId="160"/>
    <tableColumn id="9" name="Document Date" dataDxfId="159"/>
    <tableColumn id="10" name="Net due date" dataDxfId="158"/>
    <tableColumn id="11" name="CT " dataDxfId="157">
      <calculatedColumnFormula>IF(Table1142[[#This Row],[Account]]&lt;&gt;"",$N$8,"")</calculatedColumnFormula>
    </tableColumn>
    <tableColumn id="12" name="Aging " dataDxfId="156">
      <calculatedColumnFormula>IF(Table1142[[#This Row],[Account]]&lt;&gt;"",J15+L15-$N$7,"")</calculatedColumnFormula>
    </tableColumn>
    <tableColumn id="13" name="Status " dataDxfId="155">
      <calculatedColumnFormula>IF(Table1142[[#This Row],[Account]]&lt;&gt;"",IF(Table1142[[#This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140" name="Table1141" displayName="Table1141" ref="B14:N15" totalsRowShown="0" headerRowDxfId="184" tableBorderDxfId="183">
  <tableColumns count="13">
    <tableColumn id="1" name="Val. No" dataDxfId="182"/>
    <tableColumn id="2" name="Account" dataDxfId="181"/>
    <tableColumn id="3" name="Customer " dataDxfId="180"/>
    <tableColumn id="4" name="Dr's Name " dataDxfId="179"/>
    <tableColumn id="5" name="Invoice reference" dataDxfId="178"/>
    <tableColumn id="6" name="Document Number" dataDxfId="177"/>
    <tableColumn id="7" name="Reference" dataDxfId="176"/>
    <tableColumn id="8" name="Amount SAR " dataDxfId="175"/>
    <tableColumn id="9" name="Document Date" dataDxfId="174"/>
    <tableColumn id="10" name="Net due date" dataDxfId="173"/>
    <tableColumn id="11" name="CT " dataDxfId="172">
      <calculatedColumnFormula>IF(Table1141[[#This Row],[Account]]&lt;&gt;"",$N$8,"")</calculatedColumnFormula>
    </tableColumn>
    <tableColumn id="12" name="Aging " dataDxfId="171">
      <calculatedColumnFormula>IF(Table1141[[#This Row],[Account]]&lt;&gt;"",J15+L15-$N$7,"")</calculatedColumnFormula>
    </tableColumn>
    <tableColumn id="13" name="Status " dataDxfId="170">
      <calculatedColumnFormula>IF(Table1141[[#This Row],[Account]]&lt;&gt;"",IF(Table1141[[#This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139" name="Table1140" displayName="Table1140" ref="B14:N15" totalsRowShown="0" headerRowDxfId="199" tableBorderDxfId="198">
  <tableColumns count="13">
    <tableColumn id="1" name="Val. No" dataDxfId="197"/>
    <tableColumn id="2" name="Account" dataDxfId="196"/>
    <tableColumn id="3" name="Customer " dataDxfId="195"/>
    <tableColumn id="4" name="Dr's Name " dataDxfId="194"/>
    <tableColumn id="5" name="Invoice reference" dataDxfId="193"/>
    <tableColumn id="6" name="Document Number" dataDxfId="192"/>
    <tableColumn id="7" name="Reference" dataDxfId="191"/>
    <tableColumn id="8" name="Amount SAR " dataDxfId="190"/>
    <tableColumn id="9" name="Document Date" dataDxfId="189"/>
    <tableColumn id="10" name="Net due date" dataDxfId="188"/>
    <tableColumn id="11" name="CT " dataDxfId="187">
      <calculatedColumnFormula>IF(Table1140[[#This Row],[Account]]&lt;&gt;"",$N$8,"")</calculatedColumnFormula>
    </tableColumn>
    <tableColumn id="12" name="Aging " dataDxfId="186">
      <calculatedColumnFormula>IF(Table1140[[#This Row],[Account]]&lt;&gt;"",J15+L15-$N$7,"")</calculatedColumnFormula>
    </tableColumn>
    <tableColumn id="13" name="Status " dataDxfId="185">
      <calculatedColumnFormula>IF(Table1140[[#This Row],[Account]]&lt;&gt;"",IF(Table1140[[#This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138" name="Table1139" displayName="Table1139" ref="B14:N15" totalsRowShown="0" headerRowDxfId="214" tableBorderDxfId="213">
  <tableColumns count="13">
    <tableColumn id="1" name="Val. No" dataDxfId="212"/>
    <tableColumn id="2" name="Account" dataDxfId="211"/>
    <tableColumn id="3" name="Customer " dataDxfId="210"/>
    <tableColumn id="4" name="Dr's Name " dataDxfId="209"/>
    <tableColumn id="5" name="Invoice reference" dataDxfId="208"/>
    <tableColumn id="6" name="Document Number" dataDxfId="207"/>
    <tableColumn id="7" name="Reference" dataDxfId="206"/>
    <tableColumn id="8" name="Amount SAR " dataDxfId="205"/>
    <tableColumn id="9" name="Document Date" dataDxfId="204"/>
    <tableColumn id="10" name="Net due date" dataDxfId="203"/>
    <tableColumn id="11" name="CT " dataDxfId="202">
      <calculatedColumnFormula>IF(Table1139[[#This Row],[Account]]&lt;&gt;"",$N$8,"")</calculatedColumnFormula>
    </tableColumn>
    <tableColumn id="12" name="Aging " dataDxfId="201">
      <calculatedColumnFormula>IF(Table1139[[#This Row],[Account]]&lt;&gt;"",J15+L15-$N$7,"")</calculatedColumnFormula>
    </tableColumn>
    <tableColumn id="13" name="Status " dataDxfId="200">
      <calculatedColumnFormula>IF(Table1139[[#This Row],[Account]]&lt;&gt;"",IF(Table1139[[#This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137" name="Table1138" displayName="Table1138" ref="B14:N16" totalsRowShown="0" headerRowDxfId="229" tableBorderDxfId="228">
  <tableColumns count="13">
    <tableColumn id="1" name="Val. No" dataDxfId="227"/>
    <tableColumn id="2" name="Account" dataDxfId="226"/>
    <tableColumn id="3" name="Customer " dataDxfId="225"/>
    <tableColumn id="4" name="Dr's Name " dataDxfId="224"/>
    <tableColumn id="5" name="Invoice reference" dataDxfId="223"/>
    <tableColumn id="6" name="Document Number" dataDxfId="222"/>
    <tableColumn id="7" name="Reference" dataDxfId="221"/>
    <tableColumn id="8" name="Amount SAR " dataDxfId="220"/>
    <tableColumn id="9" name="Document Date" dataDxfId="219"/>
    <tableColumn id="10" name="Net due date" dataDxfId="218"/>
    <tableColumn id="11" name="CT " dataDxfId="217">
      <calculatedColumnFormula>IF(Table1138[[#This Row],[Account]]&lt;&gt;"",$N$8,"")</calculatedColumnFormula>
    </tableColumn>
    <tableColumn id="12" name="Aging " dataDxfId="216">
      <calculatedColumnFormula>IF(Table1138[[#This Row],[Account]]&lt;&gt;"",J15+L15-$N$7,"")</calculatedColumnFormula>
    </tableColumn>
    <tableColumn id="13" name="Status " dataDxfId="215">
      <calculatedColumnFormula>IF(Table1138[[#This Row],[Account]]&lt;&gt;"",IF(Table1138[[#This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id="136" name="Table1137" displayName="Table1137" ref="B14:N18" totalsRowShown="0" headerRowDxfId="244" tableBorderDxfId="243">
  <tableColumns count="13">
    <tableColumn id="1" name="Val. No" dataDxfId="242"/>
    <tableColumn id="2" name="Account" dataDxfId="241"/>
    <tableColumn id="3" name="Customer " dataDxfId="240"/>
    <tableColumn id="4" name="Dr's Name " dataDxfId="239"/>
    <tableColumn id="5" name="Invoice reference" dataDxfId="238"/>
    <tableColumn id="6" name="Document Number" dataDxfId="237"/>
    <tableColumn id="7" name="Reference" dataDxfId="236"/>
    <tableColumn id="8" name="Amount SAR " dataDxfId="235"/>
    <tableColumn id="9" name="Document Date" dataDxfId="234"/>
    <tableColumn id="10" name="Net due date" dataDxfId="233"/>
    <tableColumn id="11" name="CT " dataDxfId="232">
      <calculatedColumnFormula>IF(Table1137[[#This Row],[Account]]&lt;&gt;"",$N$8,"")</calculatedColumnFormula>
    </tableColumn>
    <tableColumn id="12" name="Aging " dataDxfId="231">
      <calculatedColumnFormula>IF(Table1137[[#This Row],[Account]]&lt;&gt;"",J15+L15-$N$7,"")</calculatedColumnFormula>
    </tableColumn>
    <tableColumn id="13" name="Status " dataDxfId="230">
      <calculatedColumnFormula>IF(Table1137[[#This Row],[Account]]&lt;&gt;"",IF(Table1137[[#This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id="135" name="Table1136" displayName="Table1136" ref="B14:N15" totalsRowShown="0" headerRowDxfId="259" tableBorderDxfId="258">
  <tableColumns count="13">
    <tableColumn id="1" name="Val. No" dataDxfId="257"/>
    <tableColumn id="2" name="Account" dataDxfId="256"/>
    <tableColumn id="3" name="Customer " dataDxfId="255"/>
    <tableColumn id="4" name="Dr's Name " dataDxfId="254"/>
    <tableColumn id="5" name="Invoice reference" dataDxfId="253"/>
    <tableColumn id="6" name="Document Number" dataDxfId="252"/>
    <tableColumn id="7" name="Reference" dataDxfId="251"/>
    <tableColumn id="8" name="Amount SAR " dataDxfId="250"/>
    <tableColumn id="9" name="Document Date" dataDxfId="249"/>
    <tableColumn id="10" name="Net due date" dataDxfId="248"/>
    <tableColumn id="11" name="CT " dataDxfId="247">
      <calculatedColumnFormula>IF(Table1136[[#This Row],[Account]]&lt;&gt;"",$N$8,"")</calculatedColumnFormula>
    </tableColumn>
    <tableColumn id="12" name="Aging " dataDxfId="246">
      <calculatedColumnFormula>IF(Table1136[[#This Row],[Account]]&lt;&gt;"",J15+L15-$N$7,"")</calculatedColumnFormula>
    </tableColumn>
    <tableColumn id="13" name="Status " dataDxfId="245">
      <calculatedColumnFormula>IF(Table1136[[#This Row],[Account]]&lt;&gt;"",IF(Table1136[[#This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id="134" name="Table1135" displayName="Table1135" ref="B14:N113" totalsRowShown="0" headerRowDxfId="274" tableBorderDxfId="273">
  <tableColumns count="13">
    <tableColumn id="1" name="Val. No" dataDxfId="272"/>
    <tableColumn id="2" name="Account" dataDxfId="271"/>
    <tableColumn id="3" name="Customer " dataDxfId="270"/>
    <tableColumn id="4" name="Dr's Name " dataDxfId="269"/>
    <tableColumn id="5" name="Invoice reference" dataDxfId="268"/>
    <tableColumn id="6" name="Document Number" dataDxfId="267"/>
    <tableColumn id="7" name="Reference" dataDxfId="266"/>
    <tableColumn id="8" name="Amount SAR " dataDxfId="265"/>
    <tableColumn id="9" name="Document Date" dataDxfId="264"/>
    <tableColumn id="10" name="Net due date" dataDxfId="263"/>
    <tableColumn id="11" name="CT " dataDxfId="262">
      <calculatedColumnFormula>IF(Table1135[[#This Row],[Account]]&lt;&gt;"",$N$8,"")</calculatedColumnFormula>
    </tableColumn>
    <tableColumn id="12" name="Aging " dataDxfId="261">
      <calculatedColumnFormula>IF(Table1135[[#This Row],[Account]]&lt;&gt;"",J15+L15-$N$7,"")</calculatedColumnFormula>
    </tableColumn>
    <tableColumn id="13" name="Status " dataDxfId="260">
      <calculatedColumnFormula>IF(Table1135[[#This Row],[Account]]&lt;&gt;"",IF(Table1135[[#This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id="133" name="Table1134" displayName="Table1134" ref="B14:N113" totalsRowShown="0" headerRowDxfId="289" tableBorderDxfId="288">
  <tableColumns count="13">
    <tableColumn id="1" name="Val. No" dataDxfId="287"/>
    <tableColumn id="2" name="Account" dataDxfId="286"/>
    <tableColumn id="3" name="Customer " dataDxfId="285"/>
    <tableColumn id="4" name="Dr's Name " dataDxfId="284"/>
    <tableColumn id="5" name="Invoice reference" dataDxfId="283"/>
    <tableColumn id="6" name="Document Number" dataDxfId="282"/>
    <tableColumn id="7" name="Reference" dataDxfId="281"/>
    <tableColumn id="8" name="Amount SAR " dataDxfId="280"/>
    <tableColumn id="9" name="Document Date" dataDxfId="279"/>
    <tableColumn id="10" name="Net due date" dataDxfId="278"/>
    <tableColumn id="11" name="CT " dataDxfId="277">
      <calculatedColumnFormula>IF(Table1134[[#This Row],[Account]]&lt;&gt;"",$N$8,"")</calculatedColumnFormula>
    </tableColumn>
    <tableColumn id="12" name="Aging " dataDxfId="276">
      <calculatedColumnFormula>IF(Table1134[[#This Row],[Account]]&lt;&gt;"",J15+L15-$N$7,"")</calculatedColumnFormula>
    </tableColumn>
    <tableColumn id="13" name="Status " dataDxfId="275">
      <calculatedColumnFormula>IF(Table1134[[#This Row],[Account]]&lt;&gt;"",IF(Table1134[[#This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8.xml><?xml version="1.0" encoding="utf-8"?>
<table xmlns="http://schemas.openxmlformats.org/spreadsheetml/2006/main" id="132" name="Table1133" displayName="Table1133" ref="B14:N15" totalsRowShown="0" headerRowDxfId="304" tableBorderDxfId="303">
  <tableColumns count="13">
    <tableColumn id="1" name="Val. No" dataDxfId="302"/>
    <tableColumn id="2" name="Account" dataDxfId="301"/>
    <tableColumn id="3" name="Customer " dataDxfId="300"/>
    <tableColumn id="4" name="Dr's Name " dataDxfId="299"/>
    <tableColumn id="5" name="Invoice reference" dataDxfId="298"/>
    <tableColumn id="6" name="Document Number" dataDxfId="297"/>
    <tableColumn id="7" name="Reference" dataDxfId="296"/>
    <tableColumn id="8" name="Amount SAR " dataDxfId="295"/>
    <tableColumn id="9" name="Document Date" dataDxfId="294"/>
    <tableColumn id="10" name="Net due date" dataDxfId="293"/>
    <tableColumn id="11" name="CT " dataDxfId="292">
      <calculatedColumnFormula>IF(Table1133[[#This Row],[Account]]&lt;&gt;"",$N$8,"")</calculatedColumnFormula>
    </tableColumn>
    <tableColumn id="12" name="Aging " dataDxfId="291">
      <calculatedColumnFormula>IF(Table1133[[#This Row],[Account]]&lt;&gt;"",J15+L15-$N$7,"")</calculatedColumnFormula>
    </tableColumn>
    <tableColumn id="13" name="Status " dataDxfId="290">
      <calculatedColumnFormula>IF(Table1133[[#This Row],[Account]]&lt;&gt;"",IF(Table1133[[#This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9.xml><?xml version="1.0" encoding="utf-8"?>
<table xmlns="http://schemas.openxmlformats.org/spreadsheetml/2006/main" id="131" name="Table1132" displayName="Table1132" ref="B14:N113" totalsRowShown="0" headerRowDxfId="319" tableBorderDxfId="318">
  <tableColumns count="13">
    <tableColumn id="1" name="Val. No" dataDxfId="317"/>
    <tableColumn id="2" name="Account" dataDxfId="316"/>
    <tableColumn id="3" name="Customer " dataDxfId="315"/>
    <tableColumn id="4" name="Dr's Name " dataDxfId="314"/>
    <tableColumn id="5" name="Invoice reference" dataDxfId="313"/>
    <tableColumn id="6" name="Document Number" dataDxfId="312"/>
    <tableColumn id="7" name="Reference" dataDxfId="311"/>
    <tableColumn id="8" name="Amount SAR " dataDxfId="310"/>
    <tableColumn id="9" name="Document Date" dataDxfId="309"/>
    <tableColumn id="10" name="Net due date" dataDxfId="308"/>
    <tableColumn id="11" name="CT " dataDxfId="307">
      <calculatedColumnFormula>IF(Table1132[[#This Row],[Account]]&lt;&gt;"",$N$8,"")</calculatedColumnFormula>
    </tableColumn>
    <tableColumn id="12" name="Aging " dataDxfId="306">
      <calculatedColumnFormula>IF(Table1132[[#This Row],[Account]]&lt;&gt;"",J15+L15-$N$7,"")</calculatedColumnFormula>
    </tableColumn>
    <tableColumn id="13" name="Status " dataDxfId="305">
      <calculatedColumnFormula>IF(Table1132[[#This Row],[Account]]&lt;&gt;"",IF(Table1132[[#This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id="130" name="Table1131" displayName="Table1131" ref="B14:N15" totalsRowShown="0" headerRowDxfId="334" tableBorderDxfId="333">
  <tableColumns count="13">
    <tableColumn id="1" name="Val. No" dataDxfId="332"/>
    <tableColumn id="2" name="Account" dataDxfId="331"/>
    <tableColumn id="3" name="Customer " dataDxfId="330"/>
    <tableColumn id="4" name="Dr's Name " dataDxfId="329"/>
    <tableColumn id="5" name="Invoice reference" dataDxfId="328"/>
    <tableColumn id="6" name="Document Number" dataDxfId="327"/>
    <tableColumn id="7" name="Reference" dataDxfId="326"/>
    <tableColumn id="8" name="Amount SAR " dataDxfId="325"/>
    <tableColumn id="9" name="Document Date" dataDxfId="324"/>
    <tableColumn id="10" name="Net due date" dataDxfId="323"/>
    <tableColumn id="11" name="CT " dataDxfId="322">
      <calculatedColumnFormula>IF(Table1131[[#This Row],[Account]]&lt;&gt;"",$N$8,"")</calculatedColumnFormula>
    </tableColumn>
    <tableColumn id="12" name="Aging " dataDxfId="321">
      <calculatedColumnFormula>IF(Table1131[[#This Row],[Account]]&lt;&gt;"",J15+L15-$N$7,"")</calculatedColumnFormula>
    </tableColumn>
    <tableColumn id="13" name="Status " dataDxfId="320">
      <calculatedColumnFormula>IF(Table1131[[#This Row],[Account]]&lt;&gt;"",IF(Table1131[[#This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id="129" name="Table1130" displayName="Table1130" ref="B14:N113" totalsRowShown="0" headerRowDxfId="349" tableBorderDxfId="348">
  <tableColumns count="13">
    <tableColumn id="1" name="Val. No" dataDxfId="347"/>
    <tableColumn id="2" name="Account" dataDxfId="346"/>
    <tableColumn id="3" name="Customer " dataDxfId="345"/>
    <tableColumn id="4" name="Dr's Name " dataDxfId="344"/>
    <tableColumn id="5" name="Invoice reference" dataDxfId="343"/>
    <tableColumn id="6" name="Document Number" dataDxfId="342"/>
    <tableColumn id="7" name="Reference" dataDxfId="341"/>
    <tableColumn id="8" name="Amount SAR " dataDxfId="340"/>
    <tableColumn id="9" name="Document Date" dataDxfId="339"/>
    <tableColumn id="10" name="Net due date" dataDxfId="338"/>
    <tableColumn id="11" name="CT " dataDxfId="337">
      <calculatedColumnFormula>IF(Table1130[[#This Row],[Account]]&lt;&gt;"",$N$8,"")</calculatedColumnFormula>
    </tableColumn>
    <tableColumn id="12" name="Aging " dataDxfId="336">
      <calculatedColumnFormula>IF(Table1130[[#This Row],[Account]]&lt;&gt;"",J15+L15-$N$7,"")</calculatedColumnFormula>
    </tableColumn>
    <tableColumn id="13" name="Status " dataDxfId="335">
      <calculatedColumnFormula>IF(Table1130[[#This Row],[Account]]&lt;&gt;"",IF(Table1130[[#This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2.xml><?xml version="1.0" encoding="utf-8"?>
<table xmlns="http://schemas.openxmlformats.org/spreadsheetml/2006/main" id="128" name="Table1129" displayName="Table1129" ref="B14:N113" totalsRowShown="0" headerRowDxfId="364" tableBorderDxfId="363">
  <tableColumns count="13">
    <tableColumn id="1" name="Val. No" dataDxfId="362"/>
    <tableColumn id="2" name="Account" dataDxfId="361"/>
    <tableColumn id="3" name="Customer " dataDxfId="360"/>
    <tableColumn id="4" name="Dr's Name " dataDxfId="359"/>
    <tableColumn id="5" name="Invoice reference" dataDxfId="358"/>
    <tableColumn id="6" name="Document Number" dataDxfId="357"/>
    <tableColumn id="7" name="Reference" dataDxfId="356"/>
    <tableColumn id="8" name="Amount SAR " dataDxfId="355"/>
    <tableColumn id="9" name="Document Date" dataDxfId="354"/>
    <tableColumn id="10" name="Net due date" dataDxfId="353"/>
    <tableColumn id="11" name="CT " dataDxfId="352">
      <calculatedColumnFormula>IF(Table1129[[#This Row],[Account]]&lt;&gt;"",$N$8,"")</calculatedColumnFormula>
    </tableColumn>
    <tableColumn id="12" name="Aging " dataDxfId="351">
      <calculatedColumnFormula>IF(Table1129[[#This Row],[Account]]&lt;&gt;"",J15+L15-$N$7,"")</calculatedColumnFormula>
    </tableColumn>
    <tableColumn id="13" name="Status " dataDxfId="350">
      <calculatedColumnFormula>IF(Table1129[[#This Row],[Account]]&lt;&gt;"",IF(Table1129[[#This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id="127" name="Table1128" displayName="Table1128" ref="B14:N113" totalsRowShown="0" headerRowDxfId="379" tableBorderDxfId="378">
  <tableColumns count="13">
    <tableColumn id="1" name="Val. No" dataDxfId="377"/>
    <tableColumn id="2" name="Account" dataDxfId="376"/>
    <tableColumn id="3" name="Customer " dataDxfId="375"/>
    <tableColumn id="4" name="Dr's Name " dataDxfId="374"/>
    <tableColumn id="5" name="Invoice reference" dataDxfId="373"/>
    <tableColumn id="6" name="Document Number" dataDxfId="372"/>
    <tableColumn id="7" name="Reference" dataDxfId="371"/>
    <tableColumn id="8" name="Amount SAR " dataDxfId="370"/>
    <tableColumn id="9" name="Document Date" dataDxfId="369"/>
    <tableColumn id="10" name="Net due date" dataDxfId="368"/>
    <tableColumn id="11" name="CT " dataDxfId="367">
      <calculatedColumnFormula>IF(Table1128[[#This Row],[Account]]&lt;&gt;"",$N$8,"")</calculatedColumnFormula>
    </tableColumn>
    <tableColumn id="12" name="Aging " dataDxfId="366">
      <calculatedColumnFormula>IF(Table1128[[#This Row],[Account]]&lt;&gt;"",J15+L15-$N$7,"")</calculatedColumnFormula>
    </tableColumn>
    <tableColumn id="13" name="Status " dataDxfId="365">
      <calculatedColumnFormula>IF(Table1128[[#This Row],[Account]]&lt;&gt;"",IF(Table1128[[#This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4.xml><?xml version="1.0" encoding="utf-8"?>
<table xmlns="http://schemas.openxmlformats.org/spreadsheetml/2006/main" id="126" name="Table1127" displayName="Table1127" ref="B14:N113" totalsRowShown="0" headerRowDxfId="394" tableBorderDxfId="393">
  <tableColumns count="13">
    <tableColumn id="1" name="Val. No" dataDxfId="392"/>
    <tableColumn id="2" name="Account" dataDxfId="391"/>
    <tableColumn id="3" name="Customer " dataDxfId="390"/>
    <tableColumn id="4" name="Dr's Name " dataDxfId="389"/>
    <tableColumn id="5" name="Invoice reference" dataDxfId="388"/>
    <tableColumn id="6" name="Document Number" dataDxfId="387"/>
    <tableColumn id="7" name="Reference" dataDxfId="386"/>
    <tableColumn id="8" name="Amount SAR " dataDxfId="385"/>
    <tableColumn id="9" name="Document Date" dataDxfId="384"/>
    <tableColumn id="10" name="Net due date" dataDxfId="383"/>
    <tableColumn id="11" name="CT " dataDxfId="382">
      <calculatedColumnFormula>IF(Table1127[[#This Row],[Account]]&lt;&gt;"",$N$8,"")</calculatedColumnFormula>
    </tableColumn>
    <tableColumn id="12" name="Aging " dataDxfId="381">
      <calculatedColumnFormula>IF(Table1127[[#This Row],[Account]]&lt;&gt;"",J15+L15-$N$7,"")</calculatedColumnFormula>
    </tableColumn>
    <tableColumn id="13" name="Status " dataDxfId="380">
      <calculatedColumnFormula>IF(Table1127[[#This Row],[Account]]&lt;&gt;"",IF(Table1127[[#This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5.xml><?xml version="1.0" encoding="utf-8"?>
<table xmlns="http://schemas.openxmlformats.org/spreadsheetml/2006/main" id="125" name="Table1126" displayName="Table1126" ref="B14:N113" totalsRowShown="0" headerRowDxfId="409" tableBorderDxfId="408">
  <tableColumns count="13">
    <tableColumn id="1" name="Val. No" dataDxfId="407"/>
    <tableColumn id="2" name="Account" dataDxfId="406"/>
    <tableColumn id="3" name="Customer " dataDxfId="405"/>
    <tableColumn id="4" name="Dr's Name " dataDxfId="404"/>
    <tableColumn id="5" name="Invoice reference" dataDxfId="403"/>
    <tableColumn id="6" name="Document Number" dataDxfId="402"/>
    <tableColumn id="7" name="Reference" dataDxfId="401"/>
    <tableColumn id="8" name="Amount SAR " dataDxfId="400"/>
    <tableColumn id="9" name="Document Date" dataDxfId="399"/>
    <tableColumn id="10" name="Net due date" dataDxfId="398"/>
    <tableColumn id="11" name="CT " dataDxfId="397">
      <calculatedColumnFormula>IF(Table1126[[#This Row],[Account]]&lt;&gt;"",$N$8,"")</calculatedColumnFormula>
    </tableColumn>
    <tableColumn id="12" name="Aging " dataDxfId="396">
      <calculatedColumnFormula>IF(Table1126[[#This Row],[Account]]&lt;&gt;"",J15+L15-$N$7,"")</calculatedColumnFormula>
    </tableColumn>
    <tableColumn id="13" name="Status " dataDxfId="395">
      <calculatedColumnFormula>IF(Table1126[[#This Row],[Account]]&lt;&gt;"",IF(Table1126[[#This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6.xml><?xml version="1.0" encoding="utf-8"?>
<table xmlns="http://schemas.openxmlformats.org/spreadsheetml/2006/main" id="124" name="Table1125" displayName="Table1125" ref="B14:N18" totalsRowShown="0" headerRowDxfId="424" tableBorderDxfId="423">
  <tableColumns count="13">
    <tableColumn id="1" name="Val. No" dataDxfId="422"/>
    <tableColumn id="2" name="Account" dataDxfId="421"/>
    <tableColumn id="3" name="Customer " dataDxfId="420"/>
    <tableColumn id="4" name="Dr's Name " dataDxfId="419"/>
    <tableColumn id="5" name="Invoice reference" dataDxfId="418"/>
    <tableColumn id="6" name="Document Number" dataDxfId="417"/>
    <tableColumn id="7" name="Reference" dataDxfId="416"/>
    <tableColumn id="8" name="Amount SAR " dataDxfId="415"/>
    <tableColumn id="9" name="Document Date" dataDxfId="414"/>
    <tableColumn id="10" name="Net due date" dataDxfId="413"/>
    <tableColumn id="11" name="CT " dataDxfId="412">
      <calculatedColumnFormula>IF(Table1125[[#This Row],[Account]]&lt;&gt;"",$N$8,"")</calculatedColumnFormula>
    </tableColumn>
    <tableColumn id="12" name="Aging " dataDxfId="411">
      <calculatedColumnFormula>IF(Table1125[[#This Row],[Account]]&lt;&gt;"",J15+L15-$N$7,"")</calculatedColumnFormula>
    </tableColumn>
    <tableColumn id="13" name="Status " dataDxfId="410">
      <calculatedColumnFormula>IF(Table1125[[#This Row],[Account]]&lt;&gt;"",IF(Table1125[[#This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7.xml><?xml version="1.0" encoding="utf-8"?>
<table xmlns="http://schemas.openxmlformats.org/spreadsheetml/2006/main" id="123" name="Table1124" displayName="Table1124" ref="B14:N113" totalsRowShown="0" headerRowDxfId="439" tableBorderDxfId="438">
  <tableColumns count="13">
    <tableColumn id="1" name="Val. No" dataDxfId="437"/>
    <tableColumn id="2" name="Account" dataDxfId="436"/>
    <tableColumn id="3" name="Customer " dataDxfId="435"/>
    <tableColumn id="4" name="Dr's Name " dataDxfId="434"/>
    <tableColumn id="5" name="Invoice reference" dataDxfId="433"/>
    <tableColumn id="6" name="Document Number" dataDxfId="432"/>
    <tableColumn id="7" name="Reference" dataDxfId="431"/>
    <tableColumn id="8" name="Amount SAR " dataDxfId="430"/>
    <tableColumn id="9" name="Document Date" dataDxfId="429"/>
    <tableColumn id="10" name="Net due date" dataDxfId="428"/>
    <tableColumn id="11" name="CT " dataDxfId="427">
      <calculatedColumnFormula>IF(Table1124[[#This Row],[Account]]&lt;&gt;"",$N$8,"")</calculatedColumnFormula>
    </tableColumn>
    <tableColumn id="12" name="Aging " dataDxfId="426">
      <calculatedColumnFormula>IF(Table1124[[#This Row],[Account]]&lt;&gt;"",J15+L15-$N$7,"")</calculatedColumnFormula>
    </tableColumn>
    <tableColumn id="13" name="Status " dataDxfId="425">
      <calculatedColumnFormula>IF(Table1124[[#This Row],[Account]]&lt;&gt;"",IF(Table1124[[#This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8.xml><?xml version="1.0" encoding="utf-8"?>
<table xmlns="http://schemas.openxmlformats.org/spreadsheetml/2006/main" id="122" name="Table1123" displayName="Table1123" ref="B14:N16" totalsRowShown="0" headerRowDxfId="454" tableBorderDxfId="453">
  <tableColumns count="13">
    <tableColumn id="1" name="Val. No" dataDxfId="452"/>
    <tableColumn id="2" name="Account" dataDxfId="451"/>
    <tableColumn id="3" name="Customer " dataDxfId="450"/>
    <tableColumn id="4" name="Dr's Name " dataDxfId="449"/>
    <tableColumn id="5" name="Invoice reference" dataDxfId="448"/>
    <tableColumn id="6" name="Document Number" dataDxfId="447"/>
    <tableColumn id="7" name="Reference" dataDxfId="446"/>
    <tableColumn id="8" name="Amount SAR " dataDxfId="445"/>
    <tableColumn id="9" name="Document Date" dataDxfId="444"/>
    <tableColumn id="10" name="Net due date" dataDxfId="443"/>
    <tableColumn id="11" name="CT " dataDxfId="442">
      <calculatedColumnFormula>IF(Table1123[[#This Row],[Account]]&lt;&gt;"",$N$8,"")</calculatedColumnFormula>
    </tableColumn>
    <tableColumn id="12" name="Aging " dataDxfId="441">
      <calculatedColumnFormula>IF(Table1123[[#This Row],[Account]]&lt;&gt;"",J15+L15-$N$7,"")</calculatedColumnFormula>
    </tableColumn>
    <tableColumn id="13" name="Status " dataDxfId="440">
      <calculatedColumnFormula>IF(Table1123[[#This Row],[Account]]&lt;&gt;"",IF(Table1123[[#This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9.xml><?xml version="1.0" encoding="utf-8"?>
<table xmlns="http://schemas.openxmlformats.org/spreadsheetml/2006/main" id="121" name="Table1122" displayName="Table1122" ref="B14:N17" totalsRowShown="0" headerRowDxfId="469" tableBorderDxfId="468">
  <tableColumns count="13">
    <tableColumn id="1" name="Val. No" dataDxfId="467"/>
    <tableColumn id="2" name="Account" dataDxfId="466"/>
    <tableColumn id="3" name="Customer " dataDxfId="465"/>
    <tableColumn id="4" name="Dr's Name " dataDxfId="464"/>
    <tableColumn id="5" name="Invoice reference" dataDxfId="463"/>
    <tableColumn id="6" name="Document Number" dataDxfId="462"/>
    <tableColumn id="7" name="Reference" dataDxfId="461"/>
    <tableColumn id="8" name="Amount SAR " dataDxfId="460"/>
    <tableColumn id="9" name="Document Date" dataDxfId="459"/>
    <tableColumn id="10" name="Net due date" dataDxfId="458"/>
    <tableColumn id="11" name="CT " dataDxfId="457">
      <calculatedColumnFormula>IF(Table1122[[#This Row],[Account]]&lt;&gt;"",$N$8,"")</calculatedColumnFormula>
    </tableColumn>
    <tableColumn id="12" name="Aging " dataDxfId="456">
      <calculatedColumnFormula>IF(Table1122[[#This Row],[Account]]&lt;&gt;"",J15+L15-$N$7,"")</calculatedColumnFormula>
    </tableColumn>
    <tableColumn id="13" name="Status " dataDxfId="455">
      <calculatedColumnFormula>IF(Table1122[[#This Row],[Account]]&lt;&gt;"",IF(Table1122[[#This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0.xml><?xml version="1.0" encoding="utf-8"?>
<table xmlns="http://schemas.openxmlformats.org/spreadsheetml/2006/main" id="120" name="Table1121" displayName="Table1121" ref="B14:N15" totalsRowShown="0" headerRowDxfId="484" tableBorderDxfId="483">
  <tableColumns count="13">
    <tableColumn id="1" name="Val. No" dataDxfId="482"/>
    <tableColumn id="2" name="Account" dataDxfId="481"/>
    <tableColumn id="3" name="Customer " dataDxfId="480"/>
    <tableColumn id="4" name="Dr's Name " dataDxfId="479"/>
    <tableColumn id="5" name="Invoice reference" dataDxfId="478"/>
    <tableColumn id="6" name="Document Number" dataDxfId="477"/>
    <tableColumn id="7" name="Reference" dataDxfId="476"/>
    <tableColumn id="8" name="Amount SAR " dataDxfId="475"/>
    <tableColumn id="9" name="Document Date" dataDxfId="474"/>
    <tableColumn id="10" name="Net due date" dataDxfId="473"/>
    <tableColumn id="11" name="CT " dataDxfId="472">
      <calculatedColumnFormula>IF(Table1121[[#This Row],[Account]]&lt;&gt;"",$N$8,"")</calculatedColumnFormula>
    </tableColumn>
    <tableColumn id="12" name="Aging " dataDxfId="471">
      <calculatedColumnFormula>IF(Table1121[[#This Row],[Account]]&lt;&gt;"",J15+L15-$N$7,"")</calculatedColumnFormula>
    </tableColumn>
    <tableColumn id="13" name="Status " dataDxfId="470">
      <calculatedColumnFormula>IF(Table1121[[#This Row],[Account]]&lt;&gt;"",IF(Table1121[[#This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1.xml><?xml version="1.0" encoding="utf-8"?>
<table xmlns="http://schemas.openxmlformats.org/spreadsheetml/2006/main" id="119" name="Table1120" displayName="Table1120" ref="B14:N113" totalsRowShown="0" headerRowDxfId="499" tableBorderDxfId="498">
  <tableColumns count="13">
    <tableColumn id="1" name="Val. No" dataDxfId="497"/>
    <tableColumn id="2" name="Account" dataDxfId="496"/>
    <tableColumn id="3" name="Customer " dataDxfId="495"/>
    <tableColumn id="4" name="Dr's Name " dataDxfId="494"/>
    <tableColumn id="5" name="Invoice reference" dataDxfId="493"/>
    <tableColumn id="6" name="Document Number" dataDxfId="492"/>
    <tableColumn id="7" name="Reference" dataDxfId="491"/>
    <tableColumn id="8" name="Amount SAR " dataDxfId="490"/>
    <tableColumn id="9" name="Document Date" dataDxfId="489"/>
    <tableColumn id="10" name="Net due date" dataDxfId="488"/>
    <tableColumn id="11" name="CT " dataDxfId="487">
      <calculatedColumnFormula>IF(Table1120[[#This Row],[Account]]&lt;&gt;"",$N$8,"")</calculatedColumnFormula>
    </tableColumn>
    <tableColumn id="12" name="Aging " dataDxfId="486">
      <calculatedColumnFormula>IF(Table1120[[#This Row],[Account]]&lt;&gt;"",J15+L15-$N$7,"")</calculatedColumnFormula>
    </tableColumn>
    <tableColumn id="13" name="Status " dataDxfId="485">
      <calculatedColumnFormula>IF(Table1120[[#This Row],[Account]]&lt;&gt;"",IF(Table1120[[#This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2.xml><?xml version="1.0" encoding="utf-8"?>
<table xmlns="http://schemas.openxmlformats.org/spreadsheetml/2006/main" id="118" name="Table1119" displayName="Table1119" ref="B14:N16" totalsRowShown="0" headerRowDxfId="514" tableBorderDxfId="513">
  <tableColumns count="13">
    <tableColumn id="1" name="Val. No" dataDxfId="512"/>
    <tableColumn id="2" name="Account" dataDxfId="511"/>
    <tableColumn id="3" name="Customer " dataDxfId="510"/>
    <tableColumn id="4" name="Dr's Name " dataDxfId="509"/>
    <tableColumn id="5" name="Invoice reference" dataDxfId="508"/>
    <tableColumn id="6" name="Document Number" dataDxfId="507"/>
    <tableColumn id="7" name="Reference" dataDxfId="506"/>
    <tableColumn id="8" name="Amount SAR " dataDxfId="505"/>
    <tableColumn id="9" name="Document Date" dataDxfId="504"/>
    <tableColumn id="10" name="Net due date" dataDxfId="503"/>
    <tableColumn id="11" name="CT " dataDxfId="502">
      <calculatedColumnFormula>IF(Table1119[[#This Row],[Account]]&lt;&gt;"",$N$8,"")</calculatedColumnFormula>
    </tableColumn>
    <tableColumn id="12" name="Aging " dataDxfId="501">
      <calculatedColumnFormula>IF(Table1119[[#This Row],[Account]]&lt;&gt;"",J15+L15-$N$7,"")</calculatedColumnFormula>
    </tableColumn>
    <tableColumn id="13" name="Status " dataDxfId="500">
      <calculatedColumnFormula>IF(Table1119[[#This Row],[Account]]&lt;&gt;"",IF(Table1119[[#This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3.xml><?xml version="1.0" encoding="utf-8"?>
<table xmlns="http://schemas.openxmlformats.org/spreadsheetml/2006/main" id="117" name="Table1118" displayName="Table1118" ref="B14:N19" totalsRowShown="0" headerRowDxfId="529" tableBorderDxfId="528">
  <tableColumns count="13">
    <tableColumn id="1" name="Val. No" dataDxfId="527"/>
    <tableColumn id="2" name="Account" dataDxfId="526"/>
    <tableColumn id="3" name="Customer " dataDxfId="525"/>
    <tableColumn id="4" name="Dr's Name " dataDxfId="524"/>
    <tableColumn id="5" name="Invoice reference" dataDxfId="523"/>
    <tableColumn id="6" name="Document Number" dataDxfId="522"/>
    <tableColumn id="7" name="Reference" dataDxfId="521"/>
    <tableColumn id="8" name="Amount SAR " dataDxfId="520"/>
    <tableColumn id="9" name="Document Date" dataDxfId="519"/>
    <tableColumn id="10" name="Net due date" dataDxfId="518"/>
    <tableColumn id="11" name="CT " dataDxfId="517">
      <calculatedColumnFormula>IF(Table1118[[#This Row],[Account]]&lt;&gt;"",$N$8,"")</calculatedColumnFormula>
    </tableColumn>
    <tableColumn id="12" name="Aging " dataDxfId="516">
      <calculatedColumnFormula>IF(Table1118[[#This Row],[Account]]&lt;&gt;"",J15+L15-$N$7,"")</calculatedColumnFormula>
    </tableColumn>
    <tableColumn id="13" name="Status " dataDxfId="515">
      <calculatedColumnFormula>IF(Table1118[[#This Row],[Account]]&lt;&gt;"",IF(Table1118[[#This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4.xml><?xml version="1.0" encoding="utf-8"?>
<table xmlns="http://schemas.openxmlformats.org/spreadsheetml/2006/main" id="116" name="Table1117" displayName="Table1117" ref="B14:N38" totalsRowShown="0" headerRowDxfId="544" tableBorderDxfId="543">
  <tableColumns count="13">
    <tableColumn id="1" name="Val. No" dataDxfId="542"/>
    <tableColumn id="2" name="Account" dataDxfId="541"/>
    <tableColumn id="3" name="Customer " dataDxfId="540"/>
    <tableColumn id="4" name="Dr's Name " dataDxfId="539"/>
    <tableColumn id="5" name="Invoice reference" dataDxfId="538"/>
    <tableColumn id="6" name="Document Number" dataDxfId="537"/>
    <tableColumn id="7" name="Reference" dataDxfId="536"/>
    <tableColumn id="8" name="Amount SAR " dataDxfId="535"/>
    <tableColumn id="9" name="Document Date" dataDxfId="534"/>
    <tableColumn id="10" name="Net due date" dataDxfId="533"/>
    <tableColumn id="11" name="CT " dataDxfId="532">
      <calculatedColumnFormula>IF(Table1117[[#This Row],[Account]]&lt;&gt;"",$N$8,"")</calculatedColumnFormula>
    </tableColumn>
    <tableColumn id="12" name="Aging " dataDxfId="531">
      <calculatedColumnFormula>IF(Table1117[[#This Row],[Account]]&lt;&gt;"",J15+L15-$N$7,"")</calculatedColumnFormula>
    </tableColumn>
    <tableColumn id="13" name="Status " dataDxfId="530">
      <calculatedColumnFormula>IF(Table1117[[#This Row],[Account]]&lt;&gt;"",IF(Table1117[[#This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5.xml><?xml version="1.0" encoding="utf-8"?>
<table xmlns="http://schemas.openxmlformats.org/spreadsheetml/2006/main" id="115" name="Table1116" displayName="Table1116" ref="B14:N16" totalsRowShown="0" headerRowDxfId="559" tableBorderDxfId="558">
  <tableColumns count="13">
    <tableColumn id="1" name="Val. No" dataDxfId="557"/>
    <tableColumn id="2" name="Account" dataDxfId="556"/>
    <tableColumn id="3" name="Customer " dataDxfId="555"/>
    <tableColumn id="4" name="Dr's Name " dataDxfId="554"/>
    <tableColumn id="5" name="Invoice reference" dataDxfId="553"/>
    <tableColumn id="6" name="Document Number" dataDxfId="552"/>
    <tableColumn id="7" name="Reference" dataDxfId="551"/>
    <tableColumn id="8" name="Amount SAR " dataDxfId="550"/>
    <tableColumn id="9" name="Document Date" dataDxfId="549"/>
    <tableColumn id="10" name="Net due date" dataDxfId="548"/>
    <tableColumn id="11" name="CT " dataDxfId="547">
      <calculatedColumnFormula>IF(Table1116[[#This Row],[Account]]&lt;&gt;"",$N$8,"")</calculatedColumnFormula>
    </tableColumn>
    <tableColumn id="12" name="Aging " dataDxfId="546">
      <calculatedColumnFormula>IF(Table1116[[#This Row],[Account]]&lt;&gt;"",J15+L15-$N$7,"")</calculatedColumnFormula>
    </tableColumn>
    <tableColumn id="13" name="Status " dataDxfId="545">
      <calculatedColumnFormula>IF(Table1116[[#This Row],[Account]]&lt;&gt;"",IF(Table1116[[#This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6.xml><?xml version="1.0" encoding="utf-8"?>
<table xmlns="http://schemas.openxmlformats.org/spreadsheetml/2006/main" id="114" name="Table1115" displayName="Table1115" ref="B14:N19" totalsRowShown="0" headerRowDxfId="574" tableBorderDxfId="573">
  <tableColumns count="13">
    <tableColumn id="1" name="Val. No" dataDxfId="572"/>
    <tableColumn id="2" name="Account" dataDxfId="571"/>
    <tableColumn id="3" name="Customer " dataDxfId="570"/>
    <tableColumn id="4" name="Dr's Name " dataDxfId="569"/>
    <tableColumn id="5" name="Invoice reference" dataDxfId="568"/>
    <tableColumn id="6" name="Document Number" dataDxfId="567"/>
    <tableColumn id="7" name="Reference" dataDxfId="566"/>
    <tableColumn id="8" name="Amount SAR " dataDxfId="565"/>
    <tableColumn id="9" name="Document Date" dataDxfId="564"/>
    <tableColumn id="10" name="Net due date" dataDxfId="563"/>
    <tableColumn id="11" name="CT " dataDxfId="562">
      <calculatedColumnFormula>IF(Table1115[[#This Row],[Account]]&lt;&gt;"",$N$8,"")</calculatedColumnFormula>
    </tableColumn>
    <tableColumn id="12" name="Aging " dataDxfId="561">
      <calculatedColumnFormula>IF(Table1115[[#This Row],[Account]]&lt;&gt;"",J15+L15-$N$7,"")</calculatedColumnFormula>
    </tableColumn>
    <tableColumn id="13" name="Status " dataDxfId="560">
      <calculatedColumnFormula>IF(Table1115[[#This Row],[Account]]&lt;&gt;"",IF(Table1115[[#This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7.xml><?xml version="1.0" encoding="utf-8"?>
<table xmlns="http://schemas.openxmlformats.org/spreadsheetml/2006/main" id="113" name="Table1114" displayName="Table1114" ref="B14:N16" totalsRowShown="0" headerRowDxfId="589" tableBorderDxfId="588">
  <tableColumns count="13">
    <tableColumn id="1" name="Val. No" dataDxfId="587"/>
    <tableColumn id="2" name="Account" dataDxfId="586"/>
    <tableColumn id="3" name="Customer " dataDxfId="585"/>
    <tableColumn id="4" name="Dr's Name " dataDxfId="584"/>
    <tableColumn id="5" name="Invoice reference" dataDxfId="583"/>
    <tableColumn id="6" name="Document Number" dataDxfId="582"/>
    <tableColumn id="7" name="Reference" dataDxfId="581"/>
    <tableColumn id="8" name="Amount SAR " dataDxfId="580"/>
    <tableColumn id="9" name="Document Date" dataDxfId="579"/>
    <tableColumn id="10" name="Net due date" dataDxfId="578"/>
    <tableColumn id="11" name="CT " dataDxfId="577">
      <calculatedColumnFormula>IF(Table1114[[#This Row],[Account]]&lt;&gt;"",$N$8,"")</calculatedColumnFormula>
    </tableColumn>
    <tableColumn id="12" name="Aging " dataDxfId="576">
      <calculatedColumnFormula>IF(Table1114[[#This Row],[Account]]&lt;&gt;"",J15+L15-$N$7,"")</calculatedColumnFormula>
    </tableColumn>
    <tableColumn id="13" name="Status " dataDxfId="575">
      <calculatedColumnFormula>IF(Table1114[[#This Row],[Account]]&lt;&gt;"",IF(Table1114[[#This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8.xml><?xml version="1.0" encoding="utf-8"?>
<table xmlns="http://schemas.openxmlformats.org/spreadsheetml/2006/main" id="112" name="Table1113" displayName="Table1113" ref="B14:N17" totalsRowShown="0" headerRowDxfId="604" tableBorderDxfId="603">
  <tableColumns count="13">
    <tableColumn id="1" name="Val. No" dataDxfId="602"/>
    <tableColumn id="2" name="Account" dataDxfId="601"/>
    <tableColumn id="3" name="Customer " dataDxfId="600"/>
    <tableColumn id="4" name="Dr's Name " dataDxfId="599"/>
    <tableColumn id="5" name="Invoice reference" dataDxfId="598"/>
    <tableColumn id="6" name="Document Number" dataDxfId="597"/>
    <tableColumn id="7" name="Reference" dataDxfId="596"/>
    <tableColumn id="8" name="Amount SAR " dataDxfId="595"/>
    <tableColumn id="9" name="Document Date" dataDxfId="594"/>
    <tableColumn id="10" name="Net due date" dataDxfId="593"/>
    <tableColumn id="11" name="CT " dataDxfId="592">
      <calculatedColumnFormula>IF(Table1113[[#This Row],[Account]]&lt;&gt;"",$N$8,"")</calculatedColumnFormula>
    </tableColumn>
    <tableColumn id="12" name="Aging " dataDxfId="591">
      <calculatedColumnFormula>IF(Table1113[[#This Row],[Account]]&lt;&gt;"",J15+L15-$N$7,"")</calculatedColumnFormula>
    </tableColumn>
    <tableColumn id="13" name="Status " dataDxfId="590">
      <calculatedColumnFormula>IF(Table1113[[#This Row],[Account]]&lt;&gt;"",IF(Table1113[[#This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9.xml><?xml version="1.0" encoding="utf-8"?>
<table xmlns="http://schemas.openxmlformats.org/spreadsheetml/2006/main" id="111" name="Table1112" displayName="Table1112" ref="B14:N15" totalsRowShown="0" headerRowDxfId="619" tableBorderDxfId="618">
  <tableColumns count="13">
    <tableColumn id="1" name="Val. No" dataDxfId="617"/>
    <tableColumn id="2" name="Account" dataDxfId="616"/>
    <tableColumn id="3" name="Customer " dataDxfId="615"/>
    <tableColumn id="4" name="Dr's Name " dataDxfId="614"/>
    <tableColumn id="5" name="Invoice reference" dataDxfId="613"/>
    <tableColumn id="6" name="Document Number" dataDxfId="612"/>
    <tableColumn id="7" name="Reference" dataDxfId="611"/>
    <tableColumn id="8" name="Amount SAR " dataDxfId="610"/>
    <tableColumn id="9" name="Document Date" dataDxfId="609"/>
    <tableColumn id="10" name="Net due date" dataDxfId="608"/>
    <tableColumn id="11" name="CT " dataDxfId="607">
      <calculatedColumnFormula>IF(Table1112[[#This Row],[Account]]&lt;&gt;"",$N$8,"")</calculatedColumnFormula>
    </tableColumn>
    <tableColumn id="12" name="Aging " dataDxfId="606">
      <calculatedColumnFormula>IF(Table1112[[#This Row],[Account]]&lt;&gt;"",J15+L15-$N$7,"")</calculatedColumnFormula>
    </tableColumn>
    <tableColumn id="13" name="Status " dataDxfId="605">
      <calculatedColumnFormula>IF(Table1112[[#This Row],[Account]]&lt;&gt;"",IF(Table1112[[#This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0.xml><?xml version="1.0" encoding="utf-8"?>
<table xmlns="http://schemas.openxmlformats.org/spreadsheetml/2006/main" id="110" name="Table1111" displayName="Table1111" ref="B14:N15" totalsRowShown="0" headerRowDxfId="634" tableBorderDxfId="633">
  <tableColumns count="13">
    <tableColumn id="1" name="Val. No" dataDxfId="632"/>
    <tableColumn id="2" name="Account" dataDxfId="631"/>
    <tableColumn id="3" name="Customer " dataDxfId="630"/>
    <tableColumn id="4" name="Dr's Name " dataDxfId="629"/>
    <tableColumn id="5" name="Invoice reference" dataDxfId="628"/>
    <tableColumn id="6" name="Document Number" dataDxfId="627"/>
    <tableColumn id="7" name="Reference" dataDxfId="626"/>
    <tableColumn id="8" name="Amount SAR " dataDxfId="625"/>
    <tableColumn id="9" name="Document Date" dataDxfId="624"/>
    <tableColumn id="10" name="Net due date" dataDxfId="623"/>
    <tableColumn id="11" name="CT " dataDxfId="622">
      <calculatedColumnFormula>IF(Table1111[[#This Row],[Account]]&lt;&gt;"",$N$8,"")</calculatedColumnFormula>
    </tableColumn>
    <tableColumn id="12" name="Aging " dataDxfId="621">
      <calculatedColumnFormula>IF(Table1111[[#This Row],[Account]]&lt;&gt;"",J15+L15-$N$7,"")</calculatedColumnFormula>
    </tableColumn>
    <tableColumn id="13" name="Status " dataDxfId="620">
      <calculatedColumnFormula>IF(Table1111[[#This Row],[Account]]&lt;&gt;"",IF(Table1111[[#This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1.xml><?xml version="1.0" encoding="utf-8"?>
<table xmlns="http://schemas.openxmlformats.org/spreadsheetml/2006/main" id="109" name="Table1110" displayName="Table1110" ref="B14:N20" totalsRowShown="0" headerRowDxfId="649" tableBorderDxfId="648">
  <tableColumns count="13">
    <tableColumn id="1" name="Val. No" dataDxfId="647"/>
    <tableColumn id="2" name="Account" dataDxfId="646"/>
    <tableColumn id="3" name="Customer " dataDxfId="645"/>
    <tableColumn id="4" name="Dr's Name " dataDxfId="644"/>
    <tableColumn id="5" name="Invoice reference" dataDxfId="643"/>
    <tableColumn id="6" name="Document Number" dataDxfId="642"/>
    <tableColumn id="7" name="Reference" dataDxfId="641"/>
    <tableColumn id="8" name="Amount SAR " dataDxfId="640"/>
    <tableColumn id="9" name="Document Date" dataDxfId="639"/>
    <tableColumn id="10" name="Net due date" dataDxfId="638"/>
    <tableColumn id="11" name="CT " dataDxfId="637">
      <calculatedColumnFormula>IF(Table1110[[#This Row],[Account]]&lt;&gt;"",$N$8,"")</calculatedColumnFormula>
    </tableColumn>
    <tableColumn id="12" name="Aging " dataDxfId="636">
      <calculatedColumnFormula>IF(Table1110[[#This Row],[Account]]&lt;&gt;"",J15+L15-$N$7,"")</calculatedColumnFormula>
    </tableColumn>
    <tableColumn id="13" name="Status " dataDxfId="635">
      <calculatedColumnFormula>IF(Table1110[[#This Row],[Account]]&lt;&gt;"",IF(Table1110[[#This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2.xml><?xml version="1.0" encoding="utf-8"?>
<table xmlns="http://schemas.openxmlformats.org/spreadsheetml/2006/main" id="108" name="Table1109" displayName="Table1109" ref="B14:N15" totalsRowShown="0" headerRowDxfId="664" tableBorderDxfId="663">
  <tableColumns count="13">
    <tableColumn id="1" name="Val. No" dataDxfId="662"/>
    <tableColumn id="2" name="Account" dataDxfId="661"/>
    <tableColumn id="3" name="Customer " dataDxfId="660"/>
    <tableColumn id="4" name="Dr's Name " dataDxfId="659"/>
    <tableColumn id="5" name="Invoice reference" dataDxfId="658"/>
    <tableColumn id="6" name="Document Number" dataDxfId="657"/>
    <tableColumn id="7" name="Reference" dataDxfId="656"/>
    <tableColumn id="8" name="Amount SAR " dataDxfId="655"/>
    <tableColumn id="9" name="Document Date" dataDxfId="654"/>
    <tableColumn id="10" name="Net due date" dataDxfId="653"/>
    <tableColumn id="11" name="CT " dataDxfId="652">
      <calculatedColumnFormula>IF(Table1109[[#This Row],[Account]]&lt;&gt;"",$N$8,"")</calculatedColumnFormula>
    </tableColumn>
    <tableColumn id="12" name="Aging " dataDxfId="651">
      <calculatedColumnFormula>IF(Table1109[[#This Row],[Account]]&lt;&gt;"",J15+L15-$N$7,"")</calculatedColumnFormula>
    </tableColumn>
    <tableColumn id="13" name="Status " dataDxfId="650">
      <calculatedColumnFormula>IF(Table1109[[#This Row],[Account]]&lt;&gt;"",IF(Table1109[[#This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3.xml><?xml version="1.0" encoding="utf-8"?>
<table xmlns="http://schemas.openxmlformats.org/spreadsheetml/2006/main" id="107" name="Table1108" displayName="Table1108" ref="B14:N16" totalsRowShown="0" headerRowDxfId="679" tableBorderDxfId="678">
  <tableColumns count="13">
    <tableColumn id="1" name="Val. No" dataDxfId="677"/>
    <tableColumn id="2" name="Account" dataDxfId="676"/>
    <tableColumn id="3" name="Customer " dataDxfId="675"/>
    <tableColumn id="4" name="Dr's Name " dataDxfId="674"/>
    <tableColumn id="5" name="Invoice reference" dataDxfId="673"/>
    <tableColumn id="6" name="Document Number" dataDxfId="672"/>
    <tableColumn id="7" name="Reference" dataDxfId="671"/>
    <tableColumn id="8" name="Amount SAR " dataDxfId="670"/>
    <tableColumn id="9" name="Document Date" dataDxfId="669"/>
    <tableColumn id="10" name="Net due date" dataDxfId="668"/>
    <tableColumn id="11" name="CT " dataDxfId="667">
      <calculatedColumnFormula>IF(Table1108[[#This Row],[Account]]&lt;&gt;"",$N$8,"")</calculatedColumnFormula>
    </tableColumn>
    <tableColumn id="12" name="Aging " dataDxfId="666">
      <calculatedColumnFormula>IF(Table1108[[#This Row],[Account]]&lt;&gt;"",J15+L15-$N$7,"")</calculatedColumnFormula>
    </tableColumn>
    <tableColumn id="13" name="Status " dataDxfId="665">
      <calculatedColumnFormula>IF(Table1108[[#This Row],[Account]]&lt;&gt;"",IF(Table1108[[#This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4.xml><?xml version="1.0" encoding="utf-8"?>
<table xmlns="http://schemas.openxmlformats.org/spreadsheetml/2006/main" id="106" name="Table1107" displayName="Table1107" ref="B14:N113" totalsRowShown="0" headerRowDxfId="694" tableBorderDxfId="693">
  <tableColumns count="13">
    <tableColumn id="1" name="Val. No" dataDxfId="692"/>
    <tableColumn id="2" name="Account" dataDxfId="691"/>
    <tableColumn id="3" name="Customer " dataDxfId="690"/>
    <tableColumn id="4" name="Dr's Name " dataDxfId="689"/>
    <tableColumn id="5" name="Invoice reference" dataDxfId="688"/>
    <tableColumn id="6" name="Document Number" dataDxfId="687"/>
    <tableColumn id="7" name="Reference" dataDxfId="686"/>
    <tableColumn id="8" name="Amount SAR " dataDxfId="685"/>
    <tableColumn id="9" name="Document Date" dataDxfId="684"/>
    <tableColumn id="10" name="Net due date" dataDxfId="683"/>
    <tableColumn id="11" name="CT " dataDxfId="682">
      <calculatedColumnFormula>IF(Table1107[[#This Row],[Account]]&lt;&gt;"",$N$8,"")</calculatedColumnFormula>
    </tableColumn>
    <tableColumn id="12" name="Aging " dataDxfId="681">
      <calculatedColumnFormula>IF(Table1107[[#This Row],[Account]]&lt;&gt;"",J15+L15-$N$7,"")</calculatedColumnFormula>
    </tableColumn>
    <tableColumn id="13" name="Status " dataDxfId="680">
      <calculatedColumnFormula>IF(Table1107[[#This Row],[Account]]&lt;&gt;"",IF(Table1107[[#This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5.xml><?xml version="1.0" encoding="utf-8"?>
<table xmlns="http://schemas.openxmlformats.org/spreadsheetml/2006/main" id="105" name="Table1106" displayName="Table1106" ref="B14:N15" totalsRowShown="0" headerRowDxfId="709" tableBorderDxfId="708">
  <tableColumns count="13">
    <tableColumn id="1" name="Val. No" dataDxfId="707"/>
    <tableColumn id="2" name="Account" dataDxfId="706"/>
    <tableColumn id="3" name="Customer " dataDxfId="705"/>
    <tableColumn id="4" name="Dr's Name " dataDxfId="704"/>
    <tableColumn id="5" name="Invoice reference" dataDxfId="703"/>
    <tableColumn id="6" name="Document Number" dataDxfId="702"/>
    <tableColumn id="7" name="Reference" dataDxfId="701"/>
    <tableColumn id="8" name="Amount SAR " dataDxfId="700"/>
    <tableColumn id="9" name="Document Date" dataDxfId="699"/>
    <tableColumn id="10" name="Net due date" dataDxfId="698"/>
    <tableColumn id="11" name="CT " dataDxfId="697">
      <calculatedColumnFormula>IF(Table1106[[#This Row],[Account]]&lt;&gt;"",$N$8,"")</calculatedColumnFormula>
    </tableColumn>
    <tableColumn id="12" name="Aging " dataDxfId="696">
      <calculatedColumnFormula>IF(Table1106[[#This Row],[Account]]&lt;&gt;"",J15+L15-$N$7,"")</calculatedColumnFormula>
    </tableColumn>
    <tableColumn id="13" name="Status " dataDxfId="695">
      <calculatedColumnFormula>IF(Table1106[[#This Row],[Account]]&lt;&gt;"",IF(Table1106[[#This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6.xml><?xml version="1.0" encoding="utf-8"?>
<table xmlns="http://schemas.openxmlformats.org/spreadsheetml/2006/main" id="104" name="Table1105" displayName="Table1105" ref="B14:N19" totalsRowShown="0" headerRowDxfId="724" tableBorderDxfId="723">
  <tableColumns count="13">
    <tableColumn id="1" name="Val. No" dataDxfId="722"/>
    <tableColumn id="2" name="Account" dataDxfId="721"/>
    <tableColumn id="3" name="Customer " dataDxfId="720"/>
    <tableColumn id="4" name="Dr's Name " dataDxfId="719"/>
    <tableColumn id="5" name="Invoice reference" dataDxfId="718"/>
    <tableColumn id="6" name="Document Number" dataDxfId="717"/>
    <tableColumn id="7" name="Reference" dataDxfId="716"/>
    <tableColumn id="8" name="Amount SAR " dataDxfId="715"/>
    <tableColumn id="9" name="Document Date" dataDxfId="714"/>
    <tableColumn id="10" name="Net due date" dataDxfId="713"/>
    <tableColumn id="11" name="CT " dataDxfId="712">
      <calculatedColumnFormula>IF(Table1105[[#This Row],[Account]]&lt;&gt;"",$N$8,"")</calculatedColumnFormula>
    </tableColumn>
    <tableColumn id="12" name="Aging " dataDxfId="711">
      <calculatedColumnFormula>IF(Table1105[[#This Row],[Account]]&lt;&gt;"",J15+L15-$N$7,"")</calculatedColumnFormula>
    </tableColumn>
    <tableColumn id="13" name="Status " dataDxfId="710">
      <calculatedColumnFormula>IF(Table1105[[#This Row],[Account]]&lt;&gt;"",IF(Table1105[[#This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7.xml><?xml version="1.0" encoding="utf-8"?>
<table xmlns="http://schemas.openxmlformats.org/spreadsheetml/2006/main" id="103" name="Table1104" displayName="Table1104" ref="B14:N17" totalsRowShown="0" headerRowDxfId="739" tableBorderDxfId="738">
  <tableColumns count="13">
    <tableColumn id="1" name="Val. No" dataDxfId="737"/>
    <tableColumn id="2" name="Account" dataDxfId="736"/>
    <tableColumn id="3" name="Customer " dataDxfId="735"/>
    <tableColumn id="4" name="Dr's Name " dataDxfId="734"/>
    <tableColumn id="5" name="Invoice reference" dataDxfId="733"/>
    <tableColumn id="6" name="Document Number" dataDxfId="732"/>
    <tableColumn id="7" name="Reference" dataDxfId="731"/>
    <tableColumn id="8" name="Amount SAR " dataDxfId="730"/>
    <tableColumn id="9" name="Document Date" dataDxfId="729"/>
    <tableColumn id="10" name="Net due date" dataDxfId="728"/>
    <tableColumn id="11" name="CT " dataDxfId="727">
      <calculatedColumnFormula>IF(Table1104[[#This Row],[Account]]&lt;&gt;"",$N$8,"")</calculatedColumnFormula>
    </tableColumn>
    <tableColumn id="12" name="Aging " dataDxfId="726">
      <calculatedColumnFormula>IF(Table1104[[#This Row],[Account]]&lt;&gt;"",J15+L15-$N$7,"")</calculatedColumnFormula>
    </tableColumn>
    <tableColumn id="13" name="Status " dataDxfId="725">
      <calculatedColumnFormula>IF(Table1104[[#This Row],[Account]]&lt;&gt;"",IF(Table1104[[#This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8.xml><?xml version="1.0" encoding="utf-8"?>
<table xmlns="http://schemas.openxmlformats.org/spreadsheetml/2006/main" id="102" name="Table1103" displayName="Table1103" ref="B14:N17" totalsRowShown="0" headerRowDxfId="754" tableBorderDxfId="753">
  <tableColumns count="13">
    <tableColumn id="1" name="Val. No" dataDxfId="752"/>
    <tableColumn id="2" name="Account" dataDxfId="751"/>
    <tableColumn id="3" name="Customer " dataDxfId="750"/>
    <tableColumn id="4" name="Dr's Name " dataDxfId="749"/>
    <tableColumn id="5" name="Invoice reference" dataDxfId="748"/>
    <tableColumn id="6" name="Document Number" dataDxfId="747"/>
    <tableColumn id="7" name="Reference" dataDxfId="746"/>
    <tableColumn id="8" name="Amount SAR " dataDxfId="745"/>
    <tableColumn id="9" name="Document Date" dataDxfId="744"/>
    <tableColumn id="10" name="Net due date" dataDxfId="743"/>
    <tableColumn id="11" name="CT " dataDxfId="742">
      <calculatedColumnFormula>IF(Table1103[[#This Row],[Account]]&lt;&gt;"",$N$8,"")</calculatedColumnFormula>
    </tableColumn>
    <tableColumn id="12" name="Aging " dataDxfId="741">
      <calculatedColumnFormula>IF(Table1103[[#This Row],[Account]]&lt;&gt;"",J15+L15-$N$7,"")</calculatedColumnFormula>
    </tableColumn>
    <tableColumn id="13" name="Status " dataDxfId="740">
      <calculatedColumnFormula>IF(Table1103[[#This Row],[Account]]&lt;&gt;"",IF(Table1103[[#This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9.xml><?xml version="1.0" encoding="utf-8"?>
<table xmlns="http://schemas.openxmlformats.org/spreadsheetml/2006/main" id="101" name="Table1102" displayName="Table1102" ref="B14:N15" totalsRowShown="0" headerRowDxfId="769" tableBorderDxfId="768">
  <tableColumns count="13">
    <tableColumn id="1" name="Val. No" dataDxfId="767"/>
    <tableColumn id="2" name="Account" dataDxfId="766"/>
    <tableColumn id="3" name="Customer " dataDxfId="765"/>
    <tableColumn id="4" name="Dr's Name " dataDxfId="764"/>
    <tableColumn id="5" name="Invoice reference" dataDxfId="763"/>
    <tableColumn id="6" name="Document Number" dataDxfId="762"/>
    <tableColumn id="7" name="Reference" dataDxfId="761"/>
    <tableColumn id="8" name="Amount SAR " dataDxfId="760"/>
    <tableColumn id="9" name="Document Date" dataDxfId="759"/>
    <tableColumn id="10" name="Net due date" dataDxfId="758"/>
    <tableColumn id="11" name="CT " dataDxfId="757">
      <calculatedColumnFormula>IF(Table1102[[#This Row],[Account]]&lt;&gt;"",$N$8,"")</calculatedColumnFormula>
    </tableColumn>
    <tableColumn id="12" name="Aging " dataDxfId="756">
      <calculatedColumnFormula>IF(Table1102[[#This Row],[Account]]&lt;&gt;"",J15+L15-$N$7,"")</calculatedColumnFormula>
    </tableColumn>
    <tableColumn id="13" name="Status " dataDxfId="755">
      <calculatedColumnFormula>IF(Table1102[[#This Row],[Account]]&lt;&gt;"",IF(Table1102[[#This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0.xml><?xml version="1.0" encoding="utf-8"?>
<table xmlns="http://schemas.openxmlformats.org/spreadsheetml/2006/main" id="100" name="Table1101" displayName="Table1101" ref="B14:N25" totalsRowShown="0" headerRowDxfId="784" tableBorderDxfId="783">
  <tableColumns count="13">
    <tableColumn id="1" name="Val. No" dataDxfId="782"/>
    <tableColumn id="2" name="Account" dataDxfId="781"/>
    <tableColumn id="3" name="Customer " dataDxfId="780"/>
    <tableColumn id="4" name="Dr's Name " dataDxfId="779"/>
    <tableColumn id="5" name="Invoice reference" dataDxfId="778"/>
    <tableColumn id="6" name="Document Number" dataDxfId="777"/>
    <tableColumn id="7" name="Reference" dataDxfId="776"/>
    <tableColumn id="8" name="Amount SAR " dataDxfId="775"/>
    <tableColumn id="9" name="Document Date" dataDxfId="774"/>
    <tableColumn id="10" name="Net due date" dataDxfId="773"/>
    <tableColumn id="11" name="CT " dataDxfId="772">
      <calculatedColumnFormula>IF(Table1101[[#This Row],[Account]]&lt;&gt;"",$N$8,"")</calculatedColumnFormula>
    </tableColumn>
    <tableColumn id="12" name="Aging " dataDxfId="771">
      <calculatedColumnFormula>IF(Table1101[[#This Row],[Account]]&lt;&gt;"",J15+L15-$N$7,"")</calculatedColumnFormula>
    </tableColumn>
    <tableColumn id="13" name="Status " dataDxfId="770">
      <calculatedColumnFormula>IF(Table1101[[#This Row],[Account]]&lt;&gt;"",IF(Table1101[[#This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F6" sqref="F6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43536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s="45" t="s">
        <v>50</v>
      </c>
    </row>
    <row r="2" spans="1:1" x14ac:dyDescent="0.25">
      <c r="A2" s="45" t="s">
        <v>50</v>
      </c>
    </row>
    <row r="3" spans="1:1" x14ac:dyDescent="0.25">
      <c r="A3" s="45" t="s">
        <v>176</v>
      </c>
    </row>
    <row r="4" spans="1:1" x14ac:dyDescent="0.25">
      <c r="A4" s="45" t="s">
        <v>182</v>
      </c>
    </row>
    <row r="5" spans="1:1" x14ac:dyDescent="0.25">
      <c r="A5" s="45" t="s">
        <v>155</v>
      </c>
    </row>
    <row r="6" spans="1:1" x14ac:dyDescent="0.25">
      <c r="A6" s="45" t="s">
        <v>158</v>
      </c>
    </row>
    <row r="7" spans="1:1" x14ac:dyDescent="0.25">
      <c r="A7" s="45" t="s">
        <v>100</v>
      </c>
    </row>
    <row r="8" spans="1:1" x14ac:dyDescent="0.25">
      <c r="A8" s="45" t="s">
        <v>125</v>
      </c>
    </row>
    <row r="9" spans="1:1" x14ac:dyDescent="0.25">
      <c r="A9" s="45" t="s">
        <v>131</v>
      </c>
    </row>
    <row r="10" spans="1:1" x14ac:dyDescent="0.25">
      <c r="A10" s="45" t="s">
        <v>187</v>
      </c>
    </row>
    <row r="11" spans="1:1" x14ac:dyDescent="0.25">
      <c r="A11" s="45" t="s">
        <v>190</v>
      </c>
    </row>
    <row r="12" spans="1:1" x14ac:dyDescent="0.25">
      <c r="A12" s="45" t="s">
        <v>257</v>
      </c>
    </row>
    <row r="13" spans="1:1" x14ac:dyDescent="0.25">
      <c r="A13" s="45" t="s">
        <v>246</v>
      </c>
    </row>
    <row r="14" spans="1:1" x14ac:dyDescent="0.25">
      <c r="A14" s="45" t="s">
        <v>162</v>
      </c>
    </row>
    <row r="15" spans="1:1" x14ac:dyDescent="0.25">
      <c r="A15" s="45" t="s">
        <v>123</v>
      </c>
    </row>
    <row r="16" spans="1:1" x14ac:dyDescent="0.25">
      <c r="A16" s="45" t="s">
        <v>67</v>
      </c>
    </row>
    <row r="17" spans="1:1" x14ac:dyDescent="0.25">
      <c r="A17" s="45" t="s">
        <v>249</v>
      </c>
    </row>
    <row r="18" spans="1:1" x14ac:dyDescent="0.25">
      <c r="A18" s="45" t="s">
        <v>86</v>
      </c>
    </row>
    <row r="19" spans="1:1" x14ac:dyDescent="0.25">
      <c r="A19" s="45" t="s">
        <v>252</v>
      </c>
    </row>
    <row r="20" spans="1:1" x14ac:dyDescent="0.25">
      <c r="A20" s="45" t="s">
        <v>238</v>
      </c>
    </row>
    <row r="21" spans="1:1" x14ac:dyDescent="0.25">
      <c r="A21" s="45" t="s">
        <v>210</v>
      </c>
    </row>
    <row r="22" spans="1:1" x14ac:dyDescent="0.25">
      <c r="A22" s="45" t="s">
        <v>243</v>
      </c>
    </row>
    <row r="23" spans="1:1" x14ac:dyDescent="0.25">
      <c r="A23" s="45" t="s">
        <v>111</v>
      </c>
    </row>
    <row r="24" spans="1:1" x14ac:dyDescent="0.25">
      <c r="A24" s="45" t="s">
        <v>174</v>
      </c>
    </row>
    <row r="25" spans="1:1" x14ac:dyDescent="0.25">
      <c r="A25" s="45" t="s">
        <v>128</v>
      </c>
    </row>
    <row r="26" spans="1:1" x14ac:dyDescent="0.25">
      <c r="A26" s="45" t="s">
        <v>79</v>
      </c>
    </row>
    <row r="27" spans="1:1" x14ac:dyDescent="0.25">
      <c r="A27" s="45" t="s">
        <v>201</v>
      </c>
    </row>
    <row r="28" spans="1:1" x14ac:dyDescent="0.25">
      <c r="A28" s="45" t="s">
        <v>219</v>
      </c>
    </row>
    <row r="29" spans="1:1" x14ac:dyDescent="0.25">
      <c r="A29" s="45" t="s">
        <v>223</v>
      </c>
    </row>
    <row r="30" spans="1:1" x14ac:dyDescent="0.25">
      <c r="A30" s="45" t="s">
        <v>139</v>
      </c>
    </row>
    <row r="31" spans="1:1" x14ac:dyDescent="0.25">
      <c r="A31" s="45" t="s">
        <v>226</v>
      </c>
    </row>
    <row r="32" spans="1:1" x14ac:dyDescent="0.25">
      <c r="A32" s="45" t="s">
        <v>72</v>
      </c>
    </row>
    <row r="33" spans="1:1" x14ac:dyDescent="0.25">
      <c r="A33" s="45" t="s">
        <v>229</v>
      </c>
    </row>
    <row r="34" spans="1:1" x14ac:dyDescent="0.25">
      <c r="A34" s="45" t="s">
        <v>151</v>
      </c>
    </row>
    <row r="35" spans="1:1" x14ac:dyDescent="0.25">
      <c r="A35" s="45" t="s">
        <v>232</v>
      </c>
    </row>
    <row r="36" spans="1:1" x14ac:dyDescent="0.25">
      <c r="A36" s="45" t="s">
        <v>235</v>
      </c>
    </row>
    <row r="37" spans="1:1" x14ac:dyDescent="0.25">
      <c r="A37" s="45" t="s">
        <v>98</v>
      </c>
    </row>
    <row r="38" spans="1:1" x14ac:dyDescent="0.25">
      <c r="A38" s="45" t="s">
        <v>76</v>
      </c>
    </row>
    <row r="39" spans="1:1" x14ac:dyDescent="0.25">
      <c r="A39" s="45" t="s">
        <v>206</v>
      </c>
    </row>
    <row r="40" spans="1:1" x14ac:dyDescent="0.25">
      <c r="A40" s="45" t="s">
        <v>137</v>
      </c>
    </row>
    <row r="41" spans="1:1" x14ac:dyDescent="0.25">
      <c r="A41" s="45" t="s">
        <v>116</v>
      </c>
    </row>
    <row r="42" spans="1:1" x14ac:dyDescent="0.25">
      <c r="A42" s="45" t="s">
        <v>217</v>
      </c>
    </row>
    <row r="43" spans="1:1" x14ac:dyDescent="0.25">
      <c r="A43" s="45" t="s">
        <v>119</v>
      </c>
    </row>
    <row r="44" spans="1:1" x14ac:dyDescent="0.25">
      <c r="A44" s="45" t="s">
        <v>165</v>
      </c>
    </row>
    <row r="45" spans="1:1" x14ac:dyDescent="0.25">
      <c r="A45" s="45" t="s">
        <v>142</v>
      </c>
    </row>
    <row r="46" spans="1:1" x14ac:dyDescent="0.25">
      <c r="A46" s="45" t="s">
        <v>147</v>
      </c>
    </row>
    <row r="47" spans="1:1" x14ac:dyDescent="0.25">
      <c r="A47" s="45" t="s">
        <v>214</v>
      </c>
    </row>
    <row r="48" spans="1:1" x14ac:dyDescent="0.25">
      <c r="A48" s="45" t="s">
        <v>169</v>
      </c>
    </row>
    <row r="49" spans="1:1" x14ac:dyDescent="0.25">
      <c r="A49" s="45" t="s">
        <v>259</v>
      </c>
    </row>
    <row r="50" spans="1:1" x14ac:dyDescent="0.25">
      <c r="A50" s="45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A540" workbookViewId="0">
      <selection activeCell="B555" sqref="B555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45" t="s">
        <v>49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49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49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49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49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49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49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49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49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49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49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49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49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49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49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49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49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49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49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49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49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49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49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49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49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49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49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49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49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49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49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49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49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49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49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49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49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49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49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49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49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49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49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49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49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49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49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49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49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49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49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49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49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49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49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49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49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49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49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49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49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49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49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49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49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49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49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49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49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49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49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49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49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49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49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49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49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49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49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49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49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49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21" workbookViewId="0">
      <selection activeCell="E28" sqref="E28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0" t="s">
        <v>5</v>
      </c>
      <c r="C9" s="111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-10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-2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-2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12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12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26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67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75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89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89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116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118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2" t="s">
        <v>23</v>
      </c>
      <c r="C33" s="112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2"/>
      <c r="C34" s="113"/>
      <c r="D34" s="39">
        <f>SUMIFS(I15:I27,M15:M27,"&gt;="&amp;0)</f>
        <v>51714.6</v>
      </c>
      <c r="E34" s="40">
        <f>SUMIFS(I15:I27,M15:M27,"&gt;="&amp;-30,M15:M27,"&lt;="&amp;-1)</f>
        <v>12360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15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973625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1921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1922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973625</v>
      </c>
      <c r="D15" s="15" t="s">
        <v>1923</v>
      </c>
      <c r="E15" s="15" t="s">
        <v>1924</v>
      </c>
      <c r="F15" s="14" t="s">
        <v>1925</v>
      </c>
      <c r="G15" s="17">
        <v>43222</v>
      </c>
      <c r="H15" s="14">
        <v>7000138292</v>
      </c>
      <c r="I15" s="16">
        <v>6242.25</v>
      </c>
      <c r="J15" s="17">
        <v>43222</v>
      </c>
      <c r="K15" s="17">
        <v>43252</v>
      </c>
      <c r="L15" s="14">
        <f>IF(Table1149[[#This Row],[Account]]&lt;&gt;"",$N$8,"")</f>
        <v>0</v>
      </c>
      <c r="M15" s="105">
        <f>IF(Table1149[[#This Row],[Account]]&lt;&gt;"",J15+L15-$N$7,"")</f>
        <v>-314</v>
      </c>
      <c r="N15" s="74" t="str">
        <f>IF(Table1149[[#This Row],[Account]]&lt;&gt;"",IF(Table1149[[#This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973625</v>
      </c>
      <c r="D16" s="21" t="s">
        <v>1923</v>
      </c>
      <c r="E16" s="21" t="s">
        <v>1924</v>
      </c>
      <c r="F16" s="20" t="s">
        <v>1926</v>
      </c>
      <c r="G16" s="23">
        <v>43427</v>
      </c>
      <c r="H16" s="20">
        <v>7000211856</v>
      </c>
      <c r="I16" s="22">
        <v>1050</v>
      </c>
      <c r="J16" s="23">
        <v>43427</v>
      </c>
      <c r="K16" s="23">
        <v>43457</v>
      </c>
      <c r="L16" s="20">
        <f>IF(Table1149[[#This Row],[Account]]&lt;&gt;"",$N$8,"")</f>
        <v>0</v>
      </c>
      <c r="M16" s="24">
        <f>IF(Table1149[[#This Row],[Account]]&lt;&gt;"",J16+L16-$N$7,"")</f>
        <v>-109</v>
      </c>
      <c r="N16" s="25" t="str">
        <f>IF(Table1149[[#This Row],[Account]]&lt;&gt;"",IF(Table1149[[#This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7292.25</v>
      </c>
    </row>
    <row r="18" spans="2:17" ht="15.75" thickBot="1" x14ac:dyDescent="0.3">
      <c r="G18" s="30" t="s">
        <v>21</v>
      </c>
      <c r="H18" s="31"/>
      <c r="I18" s="32">
        <f>SUM(I15:I16)</f>
        <v>7292.25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1050</v>
      </c>
      <c r="I23" s="39">
        <f>SUMIFS(I15:I16,M15:M16,"&lt;="&amp;-121)</f>
        <v>6242.25</v>
      </c>
      <c r="J23" s="41">
        <f>SUM(D23:I23)</f>
        <v>7292.25</v>
      </c>
      <c r="K23" s="42">
        <f>SUM(H23:I23)</f>
        <v>7292.25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972380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1913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1914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972380</v>
      </c>
      <c r="D15" s="15" t="s">
        <v>1915</v>
      </c>
      <c r="E15" s="15" t="s">
        <v>1916</v>
      </c>
      <c r="F15" s="14" t="s">
        <v>1917</v>
      </c>
      <c r="G15" s="17">
        <v>43286</v>
      </c>
      <c r="H15" s="14">
        <v>9005263459</v>
      </c>
      <c r="I15" s="16">
        <v>4562.5</v>
      </c>
      <c r="J15" s="17">
        <v>43286</v>
      </c>
      <c r="K15" s="17">
        <v>43316</v>
      </c>
      <c r="L15" s="14">
        <f>IF(Table1148[[#This Row],[Account]]&lt;&gt;"",$N$8,"")</f>
        <v>0</v>
      </c>
      <c r="M15" s="105">
        <f>IF(Table1148[[#This Row],[Account]]&lt;&gt;"",J15+L15-$N$7,"")</f>
        <v>-250</v>
      </c>
      <c r="N15" s="74" t="str">
        <f>IF(Table1148[[#This Row],[Account]]&lt;&gt;"",IF(Table1148[[#This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972380</v>
      </c>
      <c r="D16" s="21" t="s">
        <v>1915</v>
      </c>
      <c r="E16" s="21" t="s">
        <v>1916</v>
      </c>
      <c r="F16" s="20" t="s">
        <v>1918</v>
      </c>
      <c r="G16" s="23">
        <v>43423</v>
      </c>
      <c r="H16" s="20">
        <v>9009644090</v>
      </c>
      <c r="I16" s="22">
        <v>-1251.5999999999999</v>
      </c>
      <c r="J16" s="23">
        <v>43423</v>
      </c>
      <c r="K16" s="23">
        <v>43423</v>
      </c>
      <c r="L16" s="20">
        <f>IF(Table1148[[#This Row],[Account]]&lt;&gt;"",$N$8,"")</f>
        <v>0</v>
      </c>
      <c r="M16" s="24">
        <f>IF(Table1148[[#This Row],[Account]]&lt;&gt;"",J16+L16-$N$7,"")</f>
        <v>-113</v>
      </c>
      <c r="N16" s="25" t="str">
        <f>IF(Table1148[[#This Row],[Account]]&lt;&gt;"",IF(Table1148[[#This Row],[Aging ]]&lt;0,"OVERDUE","OK"),"")</f>
        <v>OVERDUE</v>
      </c>
    </row>
    <row r="17" spans="2:17" ht="15.75" thickBot="1" x14ac:dyDescent="0.3">
      <c r="B17" s="114">
        <f t="shared" ref="B17:B18" ca="1" si="0">IF(C16&lt;&gt;"",B16+1,"")</f>
        <v>3</v>
      </c>
      <c r="C17" s="14">
        <v>972380</v>
      </c>
      <c r="D17" s="15" t="s">
        <v>1915</v>
      </c>
      <c r="E17" s="15" t="s">
        <v>1916</v>
      </c>
      <c r="F17" s="14" t="s">
        <v>1919</v>
      </c>
      <c r="G17" s="17">
        <v>43423</v>
      </c>
      <c r="H17" s="14">
        <v>9009882441</v>
      </c>
      <c r="I17" s="16">
        <v>-470.4</v>
      </c>
      <c r="J17" s="17">
        <v>43423</v>
      </c>
      <c r="K17" s="17">
        <v>43423</v>
      </c>
      <c r="L17" s="14">
        <f>IF(Table1148[[#This Row],[Account]]&lt;&gt;"",$N$8,"")</f>
        <v>0</v>
      </c>
      <c r="M17" s="18">
        <f>IF(Table1148[[#This Row],[Account]]&lt;&gt;"",J17+L17-$N$7,"")</f>
        <v>-113</v>
      </c>
      <c r="N17" s="19" t="str">
        <f>IF(Table1148[[#This Row],[Account]]&lt;&gt;"",IF(Table1148[[#This Row],[Aging ]]&lt;0,"OVERDUE","OK"),"")</f>
        <v>OVERDUE</v>
      </c>
    </row>
    <row r="18" spans="2:17" ht="15.75" thickBot="1" x14ac:dyDescent="0.3">
      <c r="B18" s="115">
        <f t="shared" ca="1" si="0"/>
        <v>4</v>
      </c>
      <c r="C18" s="20">
        <v>972380</v>
      </c>
      <c r="D18" s="21" t="s">
        <v>1915</v>
      </c>
      <c r="E18" s="21" t="s">
        <v>1916</v>
      </c>
      <c r="F18" s="20" t="s">
        <v>1920</v>
      </c>
      <c r="G18" s="23">
        <v>43423</v>
      </c>
      <c r="H18" s="20">
        <v>9009992055</v>
      </c>
      <c r="I18" s="22">
        <v>-672</v>
      </c>
      <c r="J18" s="23">
        <v>43423</v>
      </c>
      <c r="K18" s="23">
        <v>43423</v>
      </c>
      <c r="L18" s="20">
        <f>IF(Table1148[[#This Row],[Account]]&lt;&gt;"",$N$8,"")</f>
        <v>0</v>
      </c>
      <c r="M18" s="24">
        <f>IF(Table1148[[#This Row],[Account]]&lt;&gt;"",J18+L18-$N$7,"")</f>
        <v>-113</v>
      </c>
      <c r="N18" s="25" t="str">
        <f>IF(Table1148[[#This Row],[Account]]&lt;&gt;"",IF(Table1148[[#This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2168.5</v>
      </c>
    </row>
    <row r="20" spans="2:17" ht="15.75" thickBot="1" x14ac:dyDescent="0.3">
      <c r="G20" s="30" t="s">
        <v>21</v>
      </c>
      <c r="H20" s="31"/>
      <c r="I20" s="32">
        <f>SUM(I15:I18)</f>
        <v>2168.5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2" t="s">
        <v>23</v>
      </c>
      <c r="C24" s="112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2"/>
      <c r="C25" s="113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-2394</v>
      </c>
      <c r="I25" s="39">
        <f>SUMIFS(I15:I18,M15:M18,"&lt;="&amp;-121)</f>
        <v>4562.5</v>
      </c>
      <c r="J25" s="41">
        <f>SUM(D25:I25)</f>
        <v>2168.5</v>
      </c>
      <c r="K25" s="42">
        <f>SUM(H25:I25)</f>
        <v>2168.5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971904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1907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1908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971904</v>
      </c>
      <c r="D15" s="15" t="s">
        <v>1909</v>
      </c>
      <c r="E15" s="15" t="s">
        <v>1910</v>
      </c>
      <c r="F15" s="14" t="s">
        <v>1911</v>
      </c>
      <c r="G15" s="17">
        <v>43200</v>
      </c>
      <c r="H15" s="14">
        <v>7000128654</v>
      </c>
      <c r="I15" s="16">
        <v>6373.5</v>
      </c>
      <c r="J15" s="17">
        <v>43200</v>
      </c>
      <c r="K15" s="17">
        <v>43230</v>
      </c>
      <c r="L15" s="14">
        <f>IF(Table1147[[#This Row],[Account]]&lt;&gt;"",$N$8,"")</f>
        <v>0</v>
      </c>
      <c r="M15" s="105">
        <f>IF(Table1147[[#This Row],[Account]]&lt;&gt;"",J15+L15-$N$7,"")</f>
        <v>-336</v>
      </c>
      <c r="N15" s="74" t="str">
        <f>IF(Table1147[[#This Row],[Account]]&lt;&gt;"",IF(Table1147[[#This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971904</v>
      </c>
      <c r="D16" s="21" t="s">
        <v>1909</v>
      </c>
      <c r="E16" s="21" t="s">
        <v>1910</v>
      </c>
      <c r="F16" s="20" t="s">
        <v>1912</v>
      </c>
      <c r="G16" s="23">
        <v>43399</v>
      </c>
      <c r="H16" s="20">
        <v>7000199419</v>
      </c>
      <c r="I16" s="22">
        <v>1050</v>
      </c>
      <c r="J16" s="23">
        <v>43399</v>
      </c>
      <c r="K16" s="23">
        <v>43429</v>
      </c>
      <c r="L16" s="20">
        <f>IF(Table1147[[#This Row],[Account]]&lt;&gt;"",$N$8,"")</f>
        <v>0</v>
      </c>
      <c r="M16" s="24">
        <f>IF(Table1147[[#This Row],[Account]]&lt;&gt;"",J16+L16-$N$7,"")</f>
        <v>-137</v>
      </c>
      <c r="N16" s="25" t="str">
        <f>IF(Table1147[[#This Row],[Account]]&lt;&gt;"",IF(Table1147[[#This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7423.5</v>
      </c>
    </row>
    <row r="18" spans="2:17" ht="15.75" thickBot="1" x14ac:dyDescent="0.3">
      <c r="G18" s="30" t="s">
        <v>21</v>
      </c>
      <c r="H18" s="31"/>
      <c r="I18" s="32">
        <f>SUM(I15:I16)</f>
        <v>7423.5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7423.5</v>
      </c>
      <c r="J23" s="41">
        <f>SUM(D23:I23)</f>
        <v>7423.5</v>
      </c>
      <c r="K23" s="42">
        <f>SUM(H23:I23)</f>
        <v>7423.5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970215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1900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1901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970215</v>
      </c>
      <c r="D15" s="15" t="s">
        <v>1902</v>
      </c>
      <c r="E15" s="15" t="s">
        <v>1903</v>
      </c>
      <c r="F15" s="14" t="s">
        <v>1904</v>
      </c>
      <c r="G15" s="17">
        <v>43259</v>
      </c>
      <c r="H15" s="14">
        <v>9008714634</v>
      </c>
      <c r="I15" s="16">
        <v>9791.25</v>
      </c>
      <c r="J15" s="17">
        <v>43259</v>
      </c>
      <c r="K15" s="17">
        <v>43289</v>
      </c>
      <c r="L15" s="14">
        <f>IF(Table1146[[#This Row],[Account]]&lt;&gt;"",$N$8,"")</f>
        <v>0</v>
      </c>
      <c r="M15" s="105">
        <f>IF(Table1146[[#This Row],[Account]]&lt;&gt;"",J15+L15-$N$7,"")</f>
        <v>-277</v>
      </c>
      <c r="N15" s="74" t="str">
        <f>IF(Table1146[[#This Row],[Account]]&lt;&gt;"",IF(Table1146[[#This Row],[Aging ]]&lt;0,"OVERDUE","OK"),"")</f>
        <v>OVERDUE</v>
      </c>
    </row>
    <row r="16" spans="2:14" ht="15.75" thickBot="1" x14ac:dyDescent="0.3">
      <c r="B16" s="114" t="e">
        <f>IF(#REF!&lt;&gt;"",#REF!+1,"")</f>
        <v>#REF!</v>
      </c>
      <c r="C16" s="14">
        <v>970215</v>
      </c>
      <c r="D16" s="15" t="s">
        <v>1902</v>
      </c>
      <c r="E16" s="15" t="s">
        <v>1903</v>
      </c>
      <c r="F16" s="14" t="s">
        <v>1905</v>
      </c>
      <c r="G16" s="17">
        <v>43446</v>
      </c>
      <c r="H16" s="14">
        <v>9011881611</v>
      </c>
      <c r="I16" s="16">
        <v>3465</v>
      </c>
      <c r="J16" s="17">
        <v>43446</v>
      </c>
      <c r="K16" s="17">
        <v>43476</v>
      </c>
      <c r="L16" s="14">
        <f>IF(Table1146[[#This Row],[Account]]&lt;&gt;"",$N$8,"")</f>
        <v>0</v>
      </c>
      <c r="M16" s="18">
        <f>IF(Table1146[[#This Row],[Account]]&lt;&gt;"",J16+L16-$N$7,"")</f>
        <v>-90</v>
      </c>
      <c r="N16" s="19" t="str">
        <f>IF(Table1146[[#This Row],[Account]]&lt;&gt;"",IF(Table1146[[#This Row],[Aging ]]&lt;0,"OVERDUE","OK"),"")</f>
        <v>OVERDUE</v>
      </c>
    </row>
    <row r="17" spans="2:17" ht="15.75" thickBot="1" x14ac:dyDescent="0.3">
      <c r="B17" s="115" t="e">
        <f t="shared" ref="B17" si="0">IF(C16&lt;&gt;"",B16+1,"")</f>
        <v>#REF!</v>
      </c>
      <c r="C17" s="20">
        <v>970215</v>
      </c>
      <c r="D17" s="21" t="s">
        <v>1902</v>
      </c>
      <c r="E17" s="21" t="s">
        <v>1903</v>
      </c>
      <c r="F17" s="20" t="s">
        <v>1906</v>
      </c>
      <c r="G17" s="23">
        <v>43462</v>
      </c>
      <c r="H17" s="20">
        <v>9012180736</v>
      </c>
      <c r="I17" s="22">
        <v>6363</v>
      </c>
      <c r="J17" s="23">
        <v>43462</v>
      </c>
      <c r="K17" s="23">
        <v>43492</v>
      </c>
      <c r="L17" s="20">
        <f>IF(Table1146[[#This Row],[Account]]&lt;&gt;"",$N$8,"")</f>
        <v>0</v>
      </c>
      <c r="M17" s="24">
        <f>IF(Table1146[[#This Row],[Account]]&lt;&gt;"",J17+L17-$N$7,"")</f>
        <v>-74</v>
      </c>
      <c r="N17" s="25" t="str">
        <f>IF(Table1146[[#This Row],[Account]]&lt;&gt;"",IF(Table1146[[#This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19619.25</v>
      </c>
    </row>
    <row r="19" spans="2:17" ht="15.75" thickBot="1" x14ac:dyDescent="0.3">
      <c r="G19" s="30" t="s">
        <v>21</v>
      </c>
      <c r="H19" s="31"/>
      <c r="I19" s="32">
        <f>SUM(I15:I17)</f>
        <v>19619.25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2" t="s">
        <v>23</v>
      </c>
      <c r="C23" s="112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2"/>
      <c r="C24" s="113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9828</v>
      </c>
      <c r="H24" s="39">
        <f>SUMIFS(I15:I17,M15:M17,"&gt;="&amp;-120,M15:M17,"&lt;="&amp;-91)</f>
        <v>0</v>
      </c>
      <c r="I24" s="39">
        <f>SUMIFS(I15:I17,M15:M17,"&lt;="&amp;-121)</f>
        <v>9791.25</v>
      </c>
      <c r="J24" s="41">
        <f>SUM(D24:I24)</f>
        <v>19619.25</v>
      </c>
      <c r="K24" s="42">
        <f>SUM(H24:I24)</f>
        <v>9791.25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4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967924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1892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1893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967924</v>
      </c>
      <c r="D15" s="15" t="s">
        <v>1894</v>
      </c>
      <c r="E15" s="15" t="s">
        <v>1895</v>
      </c>
      <c r="F15" s="14" t="s">
        <v>1896</v>
      </c>
      <c r="G15" s="17">
        <v>43179</v>
      </c>
      <c r="H15" s="14">
        <v>7000122499</v>
      </c>
      <c r="I15" s="16">
        <v>5945</v>
      </c>
      <c r="J15" s="17">
        <v>43179</v>
      </c>
      <c r="K15" s="17">
        <v>43209</v>
      </c>
      <c r="L15" s="14">
        <f>IF(Table1145[[#This Row],[Account]]&lt;&gt;"",$N$8,"")</f>
        <v>0</v>
      </c>
      <c r="M15" s="105">
        <f>IF(Table1145[[#This Row],[Account]]&lt;&gt;"",J15+L15-$N$7,"")</f>
        <v>-357</v>
      </c>
      <c r="N15" s="74" t="str">
        <f>IF(Table1145[[#This Row],[Account]]&lt;&gt;"",IF(Table1145[[#This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967924</v>
      </c>
      <c r="D16" s="21" t="s">
        <v>1894</v>
      </c>
      <c r="E16" s="21" t="s">
        <v>1895</v>
      </c>
      <c r="F16" s="20" t="s">
        <v>1897</v>
      </c>
      <c r="G16" s="23">
        <v>43230</v>
      </c>
      <c r="H16" s="20">
        <v>9008271053</v>
      </c>
      <c r="I16" s="22">
        <v>2150</v>
      </c>
      <c r="J16" s="23">
        <v>43230</v>
      </c>
      <c r="K16" s="23">
        <v>43260</v>
      </c>
      <c r="L16" s="20">
        <f>IF(Table1145[[#This Row],[Account]]&lt;&gt;"",$N$8,"")</f>
        <v>0</v>
      </c>
      <c r="M16" s="24">
        <f>IF(Table1145[[#This Row],[Account]]&lt;&gt;"",J16+L16-$N$7,"")</f>
        <v>-306</v>
      </c>
      <c r="N16" s="25" t="str">
        <f>IF(Table1145[[#This Row],[Account]]&lt;&gt;"",IF(Table1145[[#This Row],[Aging ]]&lt;0,"OVERDUE","OK"),"")</f>
        <v>OVERDUE</v>
      </c>
    </row>
    <row r="17" spans="2:17" ht="15.75" thickBot="1" x14ac:dyDescent="0.3">
      <c r="B17" s="114">
        <f t="shared" ref="B17:B18" ca="1" si="0">IF(C16&lt;&gt;"",B16+1,"")</f>
        <v>3</v>
      </c>
      <c r="C17" s="14">
        <v>967924</v>
      </c>
      <c r="D17" s="15" t="s">
        <v>1894</v>
      </c>
      <c r="E17" s="15" t="s">
        <v>1895</v>
      </c>
      <c r="F17" s="14" t="s">
        <v>1898</v>
      </c>
      <c r="G17" s="17">
        <v>43230</v>
      </c>
      <c r="H17" s="14">
        <v>9008271054</v>
      </c>
      <c r="I17" s="16">
        <v>4562.5</v>
      </c>
      <c r="J17" s="17">
        <v>43230</v>
      </c>
      <c r="K17" s="17">
        <v>43260</v>
      </c>
      <c r="L17" s="14">
        <f>IF(Table1145[[#This Row],[Account]]&lt;&gt;"",$N$8,"")</f>
        <v>0</v>
      </c>
      <c r="M17" s="18">
        <f>IF(Table1145[[#This Row],[Account]]&lt;&gt;"",J17+L17-$N$7,"")</f>
        <v>-306</v>
      </c>
      <c r="N17" s="19" t="str">
        <f>IF(Table1145[[#This Row],[Account]]&lt;&gt;"",IF(Table1145[[#This Row],[Aging ]]&lt;0,"OVERDUE","OK"),"")</f>
        <v>OVERDUE</v>
      </c>
    </row>
    <row r="18" spans="2:17" ht="15.75" thickBot="1" x14ac:dyDescent="0.3">
      <c r="B18" s="115">
        <f t="shared" ca="1" si="0"/>
        <v>4</v>
      </c>
      <c r="C18" s="20">
        <v>967924</v>
      </c>
      <c r="D18" s="21" t="s">
        <v>1894</v>
      </c>
      <c r="E18" s="21" t="s">
        <v>1895</v>
      </c>
      <c r="F18" s="20" t="s">
        <v>1899</v>
      </c>
      <c r="G18" s="23">
        <v>43238</v>
      </c>
      <c r="H18" s="20">
        <v>9008369020</v>
      </c>
      <c r="I18" s="22">
        <v>2150</v>
      </c>
      <c r="J18" s="23">
        <v>43238</v>
      </c>
      <c r="K18" s="23">
        <v>43268</v>
      </c>
      <c r="L18" s="20">
        <f>IF(Table1145[[#This Row],[Account]]&lt;&gt;"",$N$8,"")</f>
        <v>0</v>
      </c>
      <c r="M18" s="24">
        <f>IF(Table1145[[#This Row],[Account]]&lt;&gt;"",J18+L18-$N$7,"")</f>
        <v>-298</v>
      </c>
      <c r="N18" s="25" t="str">
        <f>IF(Table1145[[#This Row],[Account]]&lt;&gt;"",IF(Table1145[[#This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14807.5</v>
      </c>
    </row>
    <row r="20" spans="2:17" ht="15.75" thickBot="1" x14ac:dyDescent="0.3">
      <c r="G20" s="30" t="s">
        <v>21</v>
      </c>
      <c r="H20" s="31"/>
      <c r="I20" s="32">
        <f>SUM(I15:I18)</f>
        <v>14807.5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2" t="s">
        <v>23</v>
      </c>
      <c r="C24" s="112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2"/>
      <c r="C25" s="113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14807.5</v>
      </c>
      <c r="J25" s="41">
        <f>SUM(D25:I25)</f>
        <v>14807.5</v>
      </c>
      <c r="K25" s="42">
        <f>SUM(H25:I25)</f>
        <v>14807.5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965810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1887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1888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965810</v>
      </c>
      <c r="D15" s="15" t="s">
        <v>1889</v>
      </c>
      <c r="E15" s="15" t="s">
        <v>1890</v>
      </c>
      <c r="F15" s="14" t="s">
        <v>1891</v>
      </c>
      <c r="G15" s="17">
        <v>43164</v>
      </c>
      <c r="H15" s="14">
        <v>7000118664</v>
      </c>
      <c r="I15" s="16">
        <v>6373.5</v>
      </c>
      <c r="J15" s="17">
        <v>43164</v>
      </c>
      <c r="K15" s="17">
        <v>43194</v>
      </c>
      <c r="L15" s="14">
        <f>IF(Table1144[[#This Row],[Account]]&lt;&gt;"",$N$8,"")</f>
        <v>0</v>
      </c>
      <c r="M15" s="105">
        <f>IF(Table1144[[#This Row],[Account]]&lt;&gt;"",J15+L15-$N$7,"")</f>
        <v>-372</v>
      </c>
      <c r="N15" s="74" t="str">
        <f>IF(Table1144[[#This Row],[Account]]&lt;&gt;"",IF(Table1144[[#This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6373.5</v>
      </c>
      <c r="J22" s="41">
        <f>SUM(D22:I22)</f>
        <v>6373.5</v>
      </c>
      <c r="K22" s="42">
        <f>SUM(H22:I22)</f>
        <v>6373.5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964857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1881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1882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964857</v>
      </c>
      <c r="D15" s="15" t="s">
        <v>1883</v>
      </c>
      <c r="E15" s="15" t="s">
        <v>1884</v>
      </c>
      <c r="F15" s="14" t="s">
        <v>1885</v>
      </c>
      <c r="G15" s="17">
        <v>43230</v>
      </c>
      <c r="H15" s="14">
        <v>9007824073</v>
      </c>
      <c r="I15" s="16">
        <v>-1825</v>
      </c>
      <c r="J15" s="17">
        <v>43230</v>
      </c>
      <c r="K15" s="17">
        <v>43230</v>
      </c>
      <c r="L15" s="14">
        <f>IF(Table1143[[#This Row],[Account]]&lt;&gt;"",$N$8,"")</f>
        <v>0</v>
      </c>
      <c r="M15" s="105">
        <f>IF(Table1143[[#This Row],[Account]]&lt;&gt;"",J15+L15-$N$7,"")</f>
        <v>-306</v>
      </c>
      <c r="N15" s="74" t="str">
        <f>IF(Table1143[[#This Row],[Account]]&lt;&gt;"",IF(Table1143[[#This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964857</v>
      </c>
      <c r="D16" s="21" t="s">
        <v>1883</v>
      </c>
      <c r="E16" s="21" t="s">
        <v>1884</v>
      </c>
      <c r="F16" s="20" t="s">
        <v>1886</v>
      </c>
      <c r="G16" s="23">
        <v>43406</v>
      </c>
      <c r="H16" s="20">
        <v>7000206660</v>
      </c>
      <c r="I16" s="22">
        <v>3045</v>
      </c>
      <c r="J16" s="23">
        <v>43406</v>
      </c>
      <c r="K16" s="23">
        <v>43436</v>
      </c>
      <c r="L16" s="20">
        <f>IF(Table1143[[#This Row],[Account]]&lt;&gt;"",$N$8,"")</f>
        <v>0</v>
      </c>
      <c r="M16" s="24">
        <f>IF(Table1143[[#This Row],[Account]]&lt;&gt;"",J16+L16-$N$7,"")</f>
        <v>-130</v>
      </c>
      <c r="N16" s="25" t="str">
        <f>IF(Table1143[[#This Row],[Account]]&lt;&gt;"",IF(Table1143[[#This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1220</v>
      </c>
    </row>
    <row r="18" spans="2:17" ht="15.75" thickBot="1" x14ac:dyDescent="0.3">
      <c r="G18" s="30" t="s">
        <v>21</v>
      </c>
      <c r="H18" s="31"/>
      <c r="I18" s="32">
        <f>SUM(I15:I16)</f>
        <v>1220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1220</v>
      </c>
      <c r="J23" s="41">
        <f>SUM(D23:I23)</f>
        <v>1220</v>
      </c>
      <c r="K23" s="42">
        <f>SUM(H23:I23)</f>
        <v>1220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961130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1874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1875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5" t="e">
        <f>IF(#REF!&lt;&gt;"",#REF!+1,"")</f>
        <v>#REF!</v>
      </c>
      <c r="C15" s="20">
        <v>961130</v>
      </c>
      <c r="D15" s="21" t="s">
        <v>1876</v>
      </c>
      <c r="E15" s="21" t="s">
        <v>1877</v>
      </c>
      <c r="F15" s="20" t="s">
        <v>1878</v>
      </c>
      <c r="G15" s="23">
        <v>43146</v>
      </c>
      <c r="H15" s="20">
        <v>7000113774</v>
      </c>
      <c r="I15" s="22">
        <v>6242.25</v>
      </c>
      <c r="J15" s="23">
        <v>43146</v>
      </c>
      <c r="K15" s="23">
        <v>43176</v>
      </c>
      <c r="L15" s="20">
        <f>IF(Table1142[[#This Row],[Account]]&lt;&gt;"",$N$8,"")</f>
        <v>0</v>
      </c>
      <c r="M15" s="24">
        <f>IF(Table1142[[#This Row],[Account]]&lt;&gt;"",J15+L15-$N$7,"")</f>
        <v>-390</v>
      </c>
      <c r="N15" s="25" t="str">
        <f>IF(Table1142[[#This Row],[Account]]&lt;&gt;"",IF(Table1142[[#This Row],[Aging ]]&lt;0,"OVERDUE","OK"),"")</f>
        <v>OVERDUE</v>
      </c>
    </row>
    <row r="16" spans="2:14" ht="15.75" thickBot="1" x14ac:dyDescent="0.3">
      <c r="B16" s="114" t="e">
        <f t="shared" ref="B16:B17" si="0">IF(C15&lt;&gt;"",B15+1,"")</f>
        <v>#REF!</v>
      </c>
      <c r="C16" s="14">
        <v>961130</v>
      </c>
      <c r="D16" s="15" t="s">
        <v>1876</v>
      </c>
      <c r="E16" s="15" t="s">
        <v>1877</v>
      </c>
      <c r="F16" s="14" t="s">
        <v>1879</v>
      </c>
      <c r="G16" s="17">
        <v>43350</v>
      </c>
      <c r="H16" s="14">
        <v>9010236144</v>
      </c>
      <c r="I16" s="16">
        <v>5006.3999999999996</v>
      </c>
      <c r="J16" s="17">
        <v>43350</v>
      </c>
      <c r="K16" s="17">
        <v>43440</v>
      </c>
      <c r="L16" s="14">
        <f>IF(Table1142[[#This Row],[Account]]&lt;&gt;"",$N$8,"")</f>
        <v>0</v>
      </c>
      <c r="M16" s="18">
        <f>IF(Table1142[[#This Row],[Account]]&lt;&gt;"",J16+L16-$N$7,"")</f>
        <v>-186</v>
      </c>
      <c r="N16" s="19" t="str">
        <f>IF(Table1142[[#This Row],[Account]]&lt;&gt;"",IF(Table1142[[#This Row],[Aging ]]&lt;0,"OVERDUE","OK"),"")</f>
        <v>OVERDUE</v>
      </c>
    </row>
    <row r="17" spans="2:17" ht="15.75" thickBot="1" x14ac:dyDescent="0.3">
      <c r="B17" s="115" t="e">
        <f t="shared" si="0"/>
        <v>#REF!</v>
      </c>
      <c r="C17" s="20">
        <v>961130</v>
      </c>
      <c r="D17" s="21" t="s">
        <v>1876</v>
      </c>
      <c r="E17" s="21" t="s">
        <v>1877</v>
      </c>
      <c r="F17" s="20" t="s">
        <v>1880</v>
      </c>
      <c r="G17" s="23">
        <v>43413</v>
      </c>
      <c r="H17" s="20">
        <v>9011319263</v>
      </c>
      <c r="I17" s="22">
        <v>3406.2</v>
      </c>
      <c r="J17" s="23">
        <v>43413</v>
      </c>
      <c r="K17" s="23">
        <v>43503</v>
      </c>
      <c r="L17" s="20">
        <f>IF(Table1142[[#This Row],[Account]]&lt;&gt;"",$N$8,"")</f>
        <v>0</v>
      </c>
      <c r="M17" s="24">
        <f>IF(Table1142[[#This Row],[Account]]&lt;&gt;"",J17+L17-$N$7,"")</f>
        <v>-123</v>
      </c>
      <c r="N17" s="25" t="str">
        <f>IF(Table1142[[#This Row],[Account]]&lt;&gt;"",IF(Table1142[[#This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14654.849999999999</v>
      </c>
    </row>
    <row r="19" spans="2:17" ht="15.75" thickBot="1" x14ac:dyDescent="0.3">
      <c r="G19" s="30" t="s">
        <v>21</v>
      </c>
      <c r="H19" s="31"/>
      <c r="I19" s="32">
        <f>SUM(I15:I17)</f>
        <v>14654.849999999999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2" t="s">
        <v>23</v>
      </c>
      <c r="C23" s="112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2"/>
      <c r="C24" s="113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14654.849999999999</v>
      </c>
      <c r="J24" s="41">
        <f>SUM(D24:I24)</f>
        <v>14654.849999999999</v>
      </c>
      <c r="K24" s="42">
        <f>SUM(H24:I24)</f>
        <v>14654.849999999999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4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959523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1869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1870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959523</v>
      </c>
      <c r="D15" s="15" t="s">
        <v>1871</v>
      </c>
      <c r="E15" s="15" t="s">
        <v>1872</v>
      </c>
      <c r="F15" s="14" t="s">
        <v>1873</v>
      </c>
      <c r="G15" s="17">
        <v>43203</v>
      </c>
      <c r="H15" s="14">
        <v>9007824069</v>
      </c>
      <c r="I15" s="16">
        <v>9581.25</v>
      </c>
      <c r="J15" s="17">
        <v>43203</v>
      </c>
      <c r="K15" s="17">
        <v>43293</v>
      </c>
      <c r="L15" s="14">
        <f>IF(Table1141[[#This Row],[Account]]&lt;&gt;"",$N$8,"")</f>
        <v>0</v>
      </c>
      <c r="M15" s="105">
        <f>IF(Table1141[[#This Row],[Account]]&lt;&gt;"",J15+L15-$N$7,"")</f>
        <v>-333</v>
      </c>
      <c r="N15" s="74" t="str">
        <f>IF(Table1141[[#This Row],[Account]]&lt;&gt;"",IF(Table1141[[#This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9581.25</v>
      </c>
    </row>
    <row r="17" spans="2:17" ht="15.75" thickBot="1" x14ac:dyDescent="0.3">
      <c r="G17" s="30" t="s">
        <v>21</v>
      </c>
      <c r="H17" s="31"/>
      <c r="I17" s="32">
        <f>SUM(I15:I15)</f>
        <v>9581.25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9581.25</v>
      </c>
      <c r="J22" s="41">
        <f>SUM(D22:I22)</f>
        <v>9581.25</v>
      </c>
      <c r="K22" s="42">
        <f>SUM(H22:I22)</f>
        <v>9581.25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956513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956513</v>
      </c>
      <c r="D15" s="15" t="s">
        <v>1866</v>
      </c>
      <c r="E15" s="15" t="s">
        <v>1867</v>
      </c>
      <c r="F15" s="14" t="s">
        <v>1868</v>
      </c>
      <c r="G15" s="17">
        <v>43146</v>
      </c>
      <c r="H15" s="14">
        <v>7000113742</v>
      </c>
      <c r="I15" s="16">
        <v>6373.5</v>
      </c>
      <c r="J15" s="17">
        <v>43146</v>
      </c>
      <c r="K15" s="17">
        <v>43176</v>
      </c>
      <c r="L15" s="14">
        <f>IF(Table1140[[#This Row],[Account]]&lt;&gt;"",$N$8,"")</f>
        <v>0</v>
      </c>
      <c r="M15" s="105">
        <f>IF(Table1140[[#This Row],[Account]]&lt;&gt;"",J15+L15-$N$7,"")</f>
        <v>-390</v>
      </c>
      <c r="N15" s="74" t="str">
        <f>IF(Table1140[[#This Row],[Account]]&lt;&gt;"",IF(Table1140[[#This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6373.5</v>
      </c>
      <c r="J22" s="41">
        <f>SUM(D22:I22)</f>
        <v>6373.5</v>
      </c>
      <c r="K22" s="42">
        <f>SUM(H22:I22)</f>
        <v>6373.5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949817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949817</v>
      </c>
      <c r="D15" s="15" t="s">
        <v>1861</v>
      </c>
      <c r="E15" s="15" t="s">
        <v>1862</v>
      </c>
      <c r="F15" s="14" t="s">
        <v>1863</v>
      </c>
      <c r="G15" s="17">
        <v>43097</v>
      </c>
      <c r="H15" s="14">
        <v>9006291535</v>
      </c>
      <c r="I15" s="16">
        <v>5750</v>
      </c>
      <c r="J15" s="17">
        <v>43097</v>
      </c>
      <c r="K15" s="17">
        <v>43187</v>
      </c>
      <c r="L15" s="14">
        <f>IF(Table1139[[#This Row],[Account]]&lt;&gt;"",$N$8,"")</f>
        <v>0</v>
      </c>
      <c r="M15" s="105">
        <f>IF(Table1139[[#This Row],[Account]]&lt;&gt;"",J15+L15-$N$7,"")</f>
        <v>-439</v>
      </c>
      <c r="N15" s="74" t="str">
        <f>IF(Table1139[[#This Row],[Account]]&lt;&gt;"",IF(Table1139[[#This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5750</v>
      </c>
    </row>
    <row r="17" spans="2:17" ht="15.75" thickBot="1" x14ac:dyDescent="0.3">
      <c r="G17" s="30" t="s">
        <v>21</v>
      </c>
      <c r="H17" s="31"/>
      <c r="I17" s="32">
        <f>SUM(I15:I15)</f>
        <v>5750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5750</v>
      </c>
      <c r="J22" s="41">
        <f>SUM(D22:I22)</f>
        <v>5750</v>
      </c>
      <c r="K22" s="42">
        <f>SUM(H22:I22)</f>
        <v>5750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939476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1853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1854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5" t="e">
        <f>IF(#REF!&lt;&gt;"",#REF!+1,"")</f>
        <v>#REF!</v>
      </c>
      <c r="C15" s="20">
        <v>939476</v>
      </c>
      <c r="D15" s="21" t="s">
        <v>1855</v>
      </c>
      <c r="E15" s="21" t="s">
        <v>1856</v>
      </c>
      <c r="F15" s="20" t="s">
        <v>1857</v>
      </c>
      <c r="G15" s="23">
        <v>43181</v>
      </c>
      <c r="H15" s="20">
        <v>9007487149</v>
      </c>
      <c r="I15" s="22">
        <v>7665</v>
      </c>
      <c r="J15" s="23">
        <v>43181</v>
      </c>
      <c r="K15" s="23">
        <v>43271</v>
      </c>
      <c r="L15" s="20">
        <f>IF(Table1138[[#This Row],[Account]]&lt;&gt;"",$N$8,"")</f>
        <v>0</v>
      </c>
      <c r="M15" s="24">
        <f>IF(Table1138[[#This Row],[Account]]&lt;&gt;"",J15+L15-$N$7,"")</f>
        <v>-355</v>
      </c>
      <c r="N15" s="25" t="str">
        <f>IF(Table1138[[#This Row],[Account]]&lt;&gt;"",IF(Table1138[[#This Row],[Aging ]]&lt;0,"OVERDUE","OK"),"")</f>
        <v>OVERDUE</v>
      </c>
    </row>
    <row r="16" spans="2:14" ht="15.75" thickBot="1" x14ac:dyDescent="0.3">
      <c r="B16" s="114" t="e">
        <f t="shared" ref="B16" si="0">IF(C15&lt;&gt;"",B15+1,"")</f>
        <v>#REF!</v>
      </c>
      <c r="C16" s="14">
        <v>939476</v>
      </c>
      <c r="D16" s="15" t="s">
        <v>1855</v>
      </c>
      <c r="E16" s="15" t="s">
        <v>1856</v>
      </c>
      <c r="F16" s="14" t="s">
        <v>1858</v>
      </c>
      <c r="G16" s="17">
        <v>43276</v>
      </c>
      <c r="H16" s="14">
        <v>7000156449</v>
      </c>
      <c r="I16" s="16">
        <v>1050</v>
      </c>
      <c r="J16" s="17">
        <v>43276</v>
      </c>
      <c r="K16" s="17">
        <v>43306</v>
      </c>
      <c r="L16" s="14">
        <f>IF(Table1138[[#This Row],[Account]]&lt;&gt;"",$N$8,"")</f>
        <v>0</v>
      </c>
      <c r="M16" s="18">
        <f>IF(Table1138[[#This Row],[Account]]&lt;&gt;"",J16+L16-$N$7,"")</f>
        <v>-260</v>
      </c>
      <c r="N16" s="19" t="str">
        <f>IF(Table1138[[#This Row],[Account]]&lt;&gt;"",IF(Table1138[[#This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8715</v>
      </c>
    </row>
    <row r="18" spans="2:17" ht="15.75" thickBot="1" x14ac:dyDescent="0.3">
      <c r="G18" s="30" t="s">
        <v>21</v>
      </c>
      <c r="H18" s="31"/>
      <c r="I18" s="32">
        <f>SUM(I15:I16)</f>
        <v>8715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8715</v>
      </c>
      <c r="J23" s="41">
        <f>SUM(D23:I23)</f>
        <v>8715</v>
      </c>
      <c r="K23" s="42">
        <f>SUM(H23:I23)</f>
        <v>8715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3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921178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1845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1846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921178</v>
      </c>
      <c r="D15" s="15" t="s">
        <v>1847</v>
      </c>
      <c r="E15" s="15" t="s">
        <v>1848</v>
      </c>
      <c r="F15" s="14" t="s">
        <v>1849</v>
      </c>
      <c r="G15" s="17">
        <v>42886</v>
      </c>
      <c r="H15" s="14">
        <v>7000049260</v>
      </c>
      <c r="I15" s="16">
        <v>2000</v>
      </c>
      <c r="J15" s="17">
        <v>42886</v>
      </c>
      <c r="K15" s="17">
        <v>42916</v>
      </c>
      <c r="L15" s="14">
        <f>IF(Table1137[[#This Row],[Account]]&lt;&gt;"",$N$8,"")</f>
        <v>0</v>
      </c>
      <c r="M15" s="105">
        <f>IF(Table1137[[#This Row],[Account]]&lt;&gt;"",J15+L15-$N$7,"")</f>
        <v>-650</v>
      </c>
      <c r="N15" s="74" t="str">
        <f>IF(Table1137[[#This Row],[Account]]&lt;&gt;"",IF(Table1137[[#This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921178</v>
      </c>
      <c r="D16" s="21" t="s">
        <v>1847</v>
      </c>
      <c r="E16" s="21" t="s">
        <v>1848</v>
      </c>
      <c r="F16" s="20" t="s">
        <v>1850</v>
      </c>
      <c r="G16" s="23">
        <v>43076</v>
      </c>
      <c r="H16" s="20">
        <v>9006025151</v>
      </c>
      <c r="I16" s="22">
        <v>7300</v>
      </c>
      <c r="J16" s="23">
        <v>43076</v>
      </c>
      <c r="K16" s="23">
        <v>43106</v>
      </c>
      <c r="L16" s="20">
        <f>IF(Table1137[[#This Row],[Account]]&lt;&gt;"",$N$8,"")</f>
        <v>0</v>
      </c>
      <c r="M16" s="24">
        <f>IF(Table1137[[#This Row],[Account]]&lt;&gt;"",J16+L16-$N$7,"")</f>
        <v>-460</v>
      </c>
      <c r="N16" s="25" t="str">
        <f>IF(Table1137[[#This Row],[Account]]&lt;&gt;"",IF(Table1137[[#This Row],[Aging ]]&lt;0,"OVERDUE","OK"),"")</f>
        <v>OVERDUE</v>
      </c>
    </row>
    <row r="17" spans="2:17" ht="15.75" thickBot="1" x14ac:dyDescent="0.3">
      <c r="B17" s="114">
        <f t="shared" ref="B17:B18" ca="1" si="0">IF(C16&lt;&gt;"",B16+1,"")</f>
        <v>3</v>
      </c>
      <c r="C17" s="14">
        <v>921178</v>
      </c>
      <c r="D17" s="15" t="s">
        <v>1847</v>
      </c>
      <c r="E17" s="15" t="s">
        <v>1848</v>
      </c>
      <c r="F17" s="14" t="s">
        <v>1851</v>
      </c>
      <c r="G17" s="17">
        <v>43076</v>
      </c>
      <c r="H17" s="14">
        <v>9006025152</v>
      </c>
      <c r="I17" s="16">
        <v>2460</v>
      </c>
      <c r="J17" s="17">
        <v>43076</v>
      </c>
      <c r="K17" s="17">
        <v>43106</v>
      </c>
      <c r="L17" s="14">
        <f>IF(Table1137[[#This Row],[Account]]&lt;&gt;"",$N$8,"")</f>
        <v>0</v>
      </c>
      <c r="M17" s="18">
        <f>IF(Table1137[[#This Row],[Account]]&lt;&gt;"",J17+L17-$N$7,"")</f>
        <v>-460</v>
      </c>
      <c r="N17" s="19" t="str">
        <f>IF(Table1137[[#This Row],[Account]]&lt;&gt;"",IF(Table1137[[#This Row],[Aging ]]&lt;0,"OVERDUE","OK"),"")</f>
        <v>OVERDUE</v>
      </c>
    </row>
    <row r="18" spans="2:17" ht="15.75" thickBot="1" x14ac:dyDescent="0.3">
      <c r="B18" s="115">
        <f t="shared" ca="1" si="0"/>
        <v>4</v>
      </c>
      <c r="C18" s="20">
        <v>921178</v>
      </c>
      <c r="D18" s="21" t="s">
        <v>1847</v>
      </c>
      <c r="E18" s="21" t="s">
        <v>1848</v>
      </c>
      <c r="F18" s="20" t="s">
        <v>1852</v>
      </c>
      <c r="G18" s="23">
        <v>43090</v>
      </c>
      <c r="H18" s="20">
        <v>9006203304</v>
      </c>
      <c r="I18" s="22">
        <v>4562.5</v>
      </c>
      <c r="J18" s="23">
        <v>43090</v>
      </c>
      <c r="K18" s="23">
        <v>43120</v>
      </c>
      <c r="L18" s="20">
        <f>IF(Table1137[[#This Row],[Account]]&lt;&gt;"",$N$8,"")</f>
        <v>0</v>
      </c>
      <c r="M18" s="24">
        <f>IF(Table1137[[#This Row],[Account]]&lt;&gt;"",J18+L18-$N$7,"")</f>
        <v>-446</v>
      </c>
      <c r="N18" s="25" t="str">
        <f>IF(Table1137[[#This Row],[Account]]&lt;&gt;"",IF(Table1137[[#This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16322.5</v>
      </c>
    </row>
    <row r="20" spans="2:17" ht="15.75" thickBot="1" x14ac:dyDescent="0.3">
      <c r="G20" s="30" t="s">
        <v>21</v>
      </c>
      <c r="H20" s="31"/>
      <c r="I20" s="32">
        <f>SUM(I15:I18)</f>
        <v>16322.5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2" t="s">
        <v>23</v>
      </c>
      <c r="C24" s="112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2"/>
      <c r="C25" s="113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16322.5</v>
      </c>
      <c r="J25" s="41">
        <f>SUM(D25:I25)</f>
        <v>16322.5</v>
      </c>
      <c r="K25" s="42">
        <f>SUM(H25:I25)</f>
        <v>16322.5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3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920907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1840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1841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920907</v>
      </c>
      <c r="D15" s="15" t="s">
        <v>1842</v>
      </c>
      <c r="E15" s="15" t="s">
        <v>1843</v>
      </c>
      <c r="F15" s="14" t="s">
        <v>1844</v>
      </c>
      <c r="G15" s="17">
        <v>43096</v>
      </c>
      <c r="H15" s="14">
        <v>7000097970</v>
      </c>
      <c r="I15" s="16">
        <v>1000</v>
      </c>
      <c r="J15" s="17">
        <v>43096</v>
      </c>
      <c r="K15" s="17">
        <v>43126</v>
      </c>
      <c r="L15" s="14">
        <f>IF(Table1136[[#This Row],[Account]]&lt;&gt;"",$N$8,"")</f>
        <v>0</v>
      </c>
      <c r="M15" s="105">
        <f>IF(Table1136[[#This Row],[Account]]&lt;&gt;"",J15+L15-$N$7,"")</f>
        <v>-440</v>
      </c>
      <c r="N15" s="74" t="str">
        <f>IF(Table1136[[#This Row],[Account]]&lt;&gt;"",IF(Table1136[[#This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1000</v>
      </c>
    </row>
    <row r="17" spans="2:17" ht="15.75" thickBot="1" x14ac:dyDescent="0.3">
      <c r="G17" s="30" t="s">
        <v>21</v>
      </c>
      <c r="H17" s="31"/>
      <c r="I17" s="32">
        <f>SUM(I15:I15)</f>
        <v>1000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1000</v>
      </c>
      <c r="J22" s="41">
        <f>SUM(D22:I22)</f>
        <v>1000</v>
      </c>
      <c r="K22" s="42">
        <f>SUM(H22:I22)</f>
        <v>1000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919737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1835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1836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919737</v>
      </c>
      <c r="D15" s="15" t="s">
        <v>1837</v>
      </c>
      <c r="E15" s="15" t="s">
        <v>1838</v>
      </c>
      <c r="F15" s="14" t="s">
        <v>1839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IF(Table1135[[#This Row],[Account]]&lt;&gt;"",$N$8,"")</f>
        <v>0</v>
      </c>
      <c r="M15" s="105">
        <f>IF(Table1135[[#This Row],[Account]]&lt;&gt;"",J15+L15-$N$7,"")</f>
        <v>-239</v>
      </c>
      <c r="N15" s="74" t="str">
        <f>IF(Table1135[[#This Row],[Account]]&lt;&gt;"",IF(Table1135[[#This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IF(Table1135[[#This Row],[Account]]&lt;&gt;"",$N$8,"")</f>
        <v/>
      </c>
      <c r="M16" s="24" t="str">
        <f>IF(Table1135[[#This Row],[Account]]&lt;&gt;"",J16+L16-$N$7,"")</f>
        <v/>
      </c>
      <c r="N16" s="25" t="str">
        <f>IF(Table1135[[#This Row],[Account]]&lt;&gt;"",IF(Table1135[[#This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IF(Table1135[[#This Row],[Account]]&lt;&gt;"",$N$8,"")</f>
        <v/>
      </c>
      <c r="M17" s="18" t="str">
        <f>IF(Table1135[[#This Row],[Account]]&lt;&gt;"",J17+L17-$N$7,"")</f>
        <v/>
      </c>
      <c r="N17" s="19" t="str">
        <f>IF(Table1135[[#This Row],[Account]]&lt;&gt;"",IF(Table1135[[#This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IF(Table1135[[#This Row],[Account]]&lt;&gt;"",$N$8,"")</f>
        <v/>
      </c>
      <c r="M18" s="24" t="str">
        <f>IF(Table1135[[#This Row],[Account]]&lt;&gt;"",J18+L18-$N$7,"")</f>
        <v/>
      </c>
      <c r="N18" s="25" t="str">
        <f>IF(Table1135[[#This Row],[Account]]&lt;&gt;"",IF(Table1135[[#This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IF(Table1135[[#This Row],[Account]]&lt;&gt;"",$N$8,"")</f>
        <v/>
      </c>
      <c r="M19" s="18" t="str">
        <f>IF(Table1135[[#This Row],[Account]]&lt;&gt;"",J19+L19-$N$7,"")</f>
        <v/>
      </c>
      <c r="N19" s="19" t="str">
        <f>IF(Table1135[[#This Row],[Account]]&lt;&gt;"",IF(Table1135[[#This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IF(Table1135[[#This Row],[Account]]&lt;&gt;"",$N$8,"")</f>
        <v/>
      </c>
      <c r="M20" s="24" t="str">
        <f>IF(Table1135[[#This Row],[Account]]&lt;&gt;"",J20+L20-$N$7,"")</f>
        <v/>
      </c>
      <c r="N20" s="25" t="str">
        <f>IF(Table1135[[#This Row],[Account]]&lt;&gt;"",IF(Table1135[[#This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IF(Table1135[[#This Row],[Account]]&lt;&gt;"",$N$8,"")</f>
        <v/>
      </c>
      <c r="M21" s="18" t="str">
        <f>IF(Table1135[[#This Row],[Account]]&lt;&gt;"",J21+L21-$N$7,"")</f>
        <v/>
      </c>
      <c r="N21" s="19" t="str">
        <f>IF(Table1135[[#This Row],[Account]]&lt;&gt;"",IF(Table1135[[#This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IF(Table1135[[#This Row],[Account]]&lt;&gt;"",$N$8,"")</f>
        <v/>
      </c>
      <c r="M22" s="24" t="str">
        <f>IF(Table1135[[#This Row],[Account]]&lt;&gt;"",J22+L22-$N$7,"")</f>
        <v/>
      </c>
      <c r="N22" s="25" t="str">
        <f>IF(Table1135[[#This Row],[Account]]&lt;&gt;"",IF(Table1135[[#This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IF(Table1135[[#This Row],[Account]]&lt;&gt;"",$N$8,"")</f>
        <v/>
      </c>
      <c r="M23" s="18" t="str">
        <f>IF(Table1135[[#This Row],[Account]]&lt;&gt;"",J23+L23-$N$7,"")</f>
        <v/>
      </c>
      <c r="N23" s="19" t="str">
        <f>IF(Table1135[[#This Row],[Account]]&lt;&gt;"",IF(Table1135[[#This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IF(Table1135[[#This Row],[Account]]&lt;&gt;"",$N$8,"")</f>
        <v/>
      </c>
      <c r="M24" s="24" t="str">
        <f>IF(Table1135[[#This Row],[Account]]&lt;&gt;"",J24+L24-$N$7,"")</f>
        <v/>
      </c>
      <c r="N24" s="25" t="str">
        <f>IF(Table1135[[#This Row],[Account]]&lt;&gt;"",IF(Table1135[[#This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IF(Table1135[[#This Row],[Account]]&lt;&gt;"",$N$8,"")</f>
        <v/>
      </c>
      <c r="M25" s="18" t="str">
        <f>IF(Table1135[[#This Row],[Account]]&lt;&gt;"",J25+L25-$N$7,"")</f>
        <v/>
      </c>
      <c r="N25" s="19" t="str">
        <f>IF(Table1135[[#This Row],[Account]]&lt;&gt;"",IF(Table1135[[#This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IF(Table1135[[#This Row],[Account]]&lt;&gt;"",$N$8,"")</f>
        <v/>
      </c>
      <c r="M26" s="24" t="str">
        <f>IF(Table1135[[#This Row],[Account]]&lt;&gt;"",J26+L26-$N$7,"")</f>
        <v/>
      </c>
      <c r="N26" s="25" t="str">
        <f>IF(Table1135[[#This Row],[Account]]&lt;&gt;"",IF(Table1135[[#This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IF(Table1135[[#This Row],[Account]]&lt;&gt;"",$N$8,"")</f>
        <v/>
      </c>
      <c r="M27" s="18" t="str">
        <f>IF(Table1135[[#This Row],[Account]]&lt;&gt;"",J27+L27-$N$7,"")</f>
        <v/>
      </c>
      <c r="N27" s="19" t="str">
        <f>IF(Table1135[[#This Row],[Account]]&lt;&gt;"",IF(Table1135[[#This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IF(Table1135[[#This Row],[Account]]&lt;&gt;"",$N$8,"")</f>
        <v/>
      </c>
      <c r="M28" s="24" t="str">
        <f>IF(Table1135[[#This Row],[Account]]&lt;&gt;"",J28+L28-$N$7,"")</f>
        <v/>
      </c>
      <c r="N28" s="25" t="str">
        <f>IF(Table1135[[#This Row],[Account]]&lt;&gt;"",IF(Table1135[[#This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IF(Table1135[[#This Row],[Account]]&lt;&gt;"",$N$8,"")</f>
        <v/>
      </c>
      <c r="M29" s="18" t="str">
        <f>IF(Table1135[[#This Row],[Account]]&lt;&gt;"",J29+L29-$N$7,"")</f>
        <v/>
      </c>
      <c r="N29" s="19" t="str">
        <f>IF(Table1135[[#This Row],[Account]]&lt;&gt;"",IF(Table1135[[#This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IF(Table1135[[#This Row],[Account]]&lt;&gt;"",$N$8,"")</f>
        <v/>
      </c>
      <c r="M30" s="24" t="str">
        <f>IF(Table1135[[#This Row],[Account]]&lt;&gt;"",J30+L30-$N$7,"")</f>
        <v/>
      </c>
      <c r="N30" s="25" t="str">
        <f>IF(Table1135[[#This Row],[Account]]&lt;&gt;"",IF(Table1135[[#This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IF(Table1135[[#This Row],[Account]]&lt;&gt;"",$N$8,"")</f>
        <v/>
      </c>
      <c r="M31" s="18" t="str">
        <f>IF(Table1135[[#This Row],[Account]]&lt;&gt;"",J31+L31-$N$7,"")</f>
        <v/>
      </c>
      <c r="N31" s="19" t="str">
        <f>IF(Table1135[[#This Row],[Account]]&lt;&gt;"",IF(Table1135[[#This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IF(Table1135[[#This Row],[Account]]&lt;&gt;"",$N$8,"")</f>
        <v/>
      </c>
      <c r="M32" s="24" t="str">
        <f>IF(Table1135[[#This Row],[Account]]&lt;&gt;"",J32+L32-$N$7,"")</f>
        <v/>
      </c>
      <c r="N32" s="25" t="str">
        <f>IF(Table1135[[#This Row],[Account]]&lt;&gt;"",IF(Table1135[[#This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IF(Table1135[[#This Row],[Account]]&lt;&gt;"",$N$8,"")</f>
        <v/>
      </c>
      <c r="M33" s="18" t="str">
        <f>IF(Table1135[[#This Row],[Account]]&lt;&gt;"",J33+L33-$N$7,"")</f>
        <v/>
      </c>
      <c r="N33" s="19" t="str">
        <f>IF(Table1135[[#This Row],[Account]]&lt;&gt;"",IF(Table1135[[#This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IF(Table1135[[#This Row],[Account]]&lt;&gt;"",$N$8,"")</f>
        <v/>
      </c>
      <c r="M34" s="24" t="str">
        <f>IF(Table1135[[#This Row],[Account]]&lt;&gt;"",J34+L34-$N$7,"")</f>
        <v/>
      </c>
      <c r="N34" s="25" t="str">
        <f>IF(Table1135[[#This Row],[Account]]&lt;&gt;"",IF(Table1135[[#This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IF(Table1135[[#This Row],[Account]]&lt;&gt;"",$N$8,"")</f>
        <v/>
      </c>
      <c r="M35" s="18" t="str">
        <f>IF(Table1135[[#This Row],[Account]]&lt;&gt;"",J35+L35-$N$7,"")</f>
        <v/>
      </c>
      <c r="N35" s="19" t="str">
        <f>IF(Table1135[[#This Row],[Account]]&lt;&gt;"",IF(Table1135[[#This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IF(Table1135[[#This Row],[Account]]&lt;&gt;"",$N$8,"")</f>
        <v/>
      </c>
      <c r="M36" s="24" t="str">
        <f>IF(Table1135[[#This Row],[Account]]&lt;&gt;"",J36+L36-$N$7,"")</f>
        <v/>
      </c>
      <c r="N36" s="25" t="str">
        <f>IF(Table1135[[#This Row],[Account]]&lt;&gt;"",IF(Table1135[[#This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IF(Table1135[[#This Row],[Account]]&lt;&gt;"",$N$8,"")</f>
        <v/>
      </c>
      <c r="M37" s="18" t="str">
        <f>IF(Table1135[[#This Row],[Account]]&lt;&gt;"",J37+L37-$N$7,"")</f>
        <v/>
      </c>
      <c r="N37" s="19" t="str">
        <f>IF(Table1135[[#This Row],[Account]]&lt;&gt;"",IF(Table1135[[#This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IF(Table1135[[#This Row],[Account]]&lt;&gt;"",$N$8,"")</f>
        <v/>
      </c>
      <c r="M38" s="24" t="str">
        <f>IF(Table1135[[#This Row],[Account]]&lt;&gt;"",J38+L38-$N$7,"")</f>
        <v/>
      </c>
      <c r="N38" s="25" t="str">
        <f>IF(Table1135[[#This Row],[Account]]&lt;&gt;"",IF(Table1135[[#This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IF(Table1135[[#This Row],[Account]]&lt;&gt;"",$N$8,"")</f>
        <v/>
      </c>
      <c r="M39" s="18" t="str">
        <f>IF(Table1135[[#This Row],[Account]]&lt;&gt;"",J39+L39-$N$7,"")</f>
        <v/>
      </c>
      <c r="N39" s="19" t="str">
        <f>IF(Table1135[[#This Row],[Account]]&lt;&gt;"",IF(Table1135[[#This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IF(Table1135[[#This Row],[Account]]&lt;&gt;"",$N$8,"")</f>
        <v/>
      </c>
      <c r="M40" s="24" t="str">
        <f>IF(Table1135[[#This Row],[Account]]&lt;&gt;"",J40+L40-$N$7,"")</f>
        <v/>
      </c>
      <c r="N40" s="25" t="str">
        <f>IF(Table1135[[#This Row],[Account]]&lt;&gt;"",IF(Table1135[[#This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IF(Table1135[[#This Row],[Account]]&lt;&gt;"",$N$8,"")</f>
        <v/>
      </c>
      <c r="M41" s="18" t="str">
        <f>IF(Table1135[[#This Row],[Account]]&lt;&gt;"",J41+L41-$N$7,"")</f>
        <v/>
      </c>
      <c r="N41" s="19" t="str">
        <f>IF(Table1135[[#This Row],[Account]]&lt;&gt;"",IF(Table1135[[#This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IF(Table1135[[#This Row],[Account]]&lt;&gt;"",$N$8,"")</f>
        <v/>
      </c>
      <c r="M42" s="24" t="str">
        <f>IF(Table1135[[#This Row],[Account]]&lt;&gt;"",J42+L42-$N$7,"")</f>
        <v/>
      </c>
      <c r="N42" s="25" t="str">
        <f>IF(Table1135[[#This Row],[Account]]&lt;&gt;"",IF(Table1135[[#This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IF(Table1135[[#This Row],[Account]]&lt;&gt;"",$N$8,"")</f>
        <v/>
      </c>
      <c r="M43" s="18" t="str">
        <f>IF(Table1135[[#This Row],[Account]]&lt;&gt;"",J43+L43-$N$7,"")</f>
        <v/>
      </c>
      <c r="N43" s="19" t="str">
        <f>IF(Table1135[[#This Row],[Account]]&lt;&gt;"",IF(Table1135[[#This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IF(Table1135[[#This Row],[Account]]&lt;&gt;"",$N$8,"")</f>
        <v/>
      </c>
      <c r="M44" s="24" t="str">
        <f>IF(Table1135[[#This Row],[Account]]&lt;&gt;"",J44+L44-$N$7,"")</f>
        <v/>
      </c>
      <c r="N44" s="25" t="str">
        <f>IF(Table1135[[#This Row],[Account]]&lt;&gt;"",IF(Table1135[[#This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IF(Table1135[[#This Row],[Account]]&lt;&gt;"",$N$8,"")</f>
        <v/>
      </c>
      <c r="M45" s="18" t="str">
        <f>IF(Table1135[[#This Row],[Account]]&lt;&gt;"",J45+L45-$N$7,"")</f>
        <v/>
      </c>
      <c r="N45" s="19" t="str">
        <f>IF(Table1135[[#This Row],[Account]]&lt;&gt;"",IF(Table1135[[#This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IF(Table1135[[#This Row],[Account]]&lt;&gt;"",$N$8,"")</f>
        <v/>
      </c>
      <c r="M46" s="24" t="str">
        <f>IF(Table1135[[#This Row],[Account]]&lt;&gt;"",J46+L46-$N$7,"")</f>
        <v/>
      </c>
      <c r="N46" s="25" t="str">
        <f>IF(Table1135[[#This Row],[Account]]&lt;&gt;"",IF(Table1135[[#This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IF(Table1135[[#This Row],[Account]]&lt;&gt;"",$N$8,"")</f>
        <v/>
      </c>
      <c r="M47" s="18" t="str">
        <f>IF(Table1135[[#This Row],[Account]]&lt;&gt;"",J47+L47-$N$7,"")</f>
        <v/>
      </c>
      <c r="N47" s="19" t="str">
        <f>IF(Table1135[[#This Row],[Account]]&lt;&gt;"",IF(Table1135[[#This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IF(Table1135[[#This Row],[Account]]&lt;&gt;"",$N$8,"")</f>
        <v/>
      </c>
      <c r="M48" s="24" t="str">
        <f>IF(Table1135[[#This Row],[Account]]&lt;&gt;"",J48+L48-$N$7,"")</f>
        <v/>
      </c>
      <c r="N48" s="25" t="str">
        <f>IF(Table1135[[#This Row],[Account]]&lt;&gt;"",IF(Table1135[[#This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IF(Table1135[[#This Row],[Account]]&lt;&gt;"",$N$8,"")</f>
        <v/>
      </c>
      <c r="M49" s="18" t="str">
        <f>IF(Table1135[[#This Row],[Account]]&lt;&gt;"",J49+L49-$N$7,"")</f>
        <v/>
      </c>
      <c r="N49" s="19" t="str">
        <f>IF(Table1135[[#This Row],[Account]]&lt;&gt;"",IF(Table1135[[#This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IF(Table1135[[#This Row],[Account]]&lt;&gt;"",$N$8,"")</f>
        <v/>
      </c>
      <c r="M50" s="24" t="str">
        <f>IF(Table1135[[#This Row],[Account]]&lt;&gt;"",J50+L50-$N$7,"")</f>
        <v/>
      </c>
      <c r="N50" s="25" t="str">
        <f>IF(Table1135[[#This Row],[Account]]&lt;&gt;"",IF(Table1135[[#This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IF(Table1135[[#This Row],[Account]]&lt;&gt;"",$N$8,"")</f>
        <v/>
      </c>
      <c r="M51" s="18" t="str">
        <f>IF(Table1135[[#This Row],[Account]]&lt;&gt;"",J51+L51-$N$7,"")</f>
        <v/>
      </c>
      <c r="N51" s="19" t="str">
        <f>IF(Table1135[[#This Row],[Account]]&lt;&gt;"",IF(Table1135[[#This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IF(Table1135[[#This Row],[Account]]&lt;&gt;"",$N$8,"")</f>
        <v/>
      </c>
      <c r="M52" s="24" t="str">
        <f>IF(Table1135[[#This Row],[Account]]&lt;&gt;"",J52+L52-$N$7,"")</f>
        <v/>
      </c>
      <c r="N52" s="25" t="str">
        <f>IF(Table1135[[#This Row],[Account]]&lt;&gt;"",IF(Table1135[[#This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IF(Table1135[[#This Row],[Account]]&lt;&gt;"",$N$8,"")</f>
        <v/>
      </c>
      <c r="M53" s="18" t="str">
        <f>IF(Table1135[[#This Row],[Account]]&lt;&gt;"",J53+L53-$N$7,"")</f>
        <v/>
      </c>
      <c r="N53" s="19" t="str">
        <f>IF(Table1135[[#This Row],[Account]]&lt;&gt;"",IF(Table1135[[#This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IF(Table1135[[#This Row],[Account]]&lt;&gt;"",$N$8,"")</f>
        <v/>
      </c>
      <c r="M54" s="24" t="str">
        <f>IF(Table1135[[#This Row],[Account]]&lt;&gt;"",J54+L54-$N$7,"")</f>
        <v/>
      </c>
      <c r="N54" s="25" t="str">
        <f>IF(Table1135[[#This Row],[Account]]&lt;&gt;"",IF(Table1135[[#This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IF(Table1135[[#This Row],[Account]]&lt;&gt;"",$N$8,"")</f>
        <v/>
      </c>
      <c r="M55" s="18" t="str">
        <f>IF(Table1135[[#This Row],[Account]]&lt;&gt;"",J55+L55-$N$7,"")</f>
        <v/>
      </c>
      <c r="N55" s="19" t="str">
        <f>IF(Table1135[[#This Row],[Account]]&lt;&gt;"",IF(Table1135[[#This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IF(Table1135[[#This Row],[Account]]&lt;&gt;"",$N$8,"")</f>
        <v/>
      </c>
      <c r="M56" s="24" t="str">
        <f>IF(Table1135[[#This Row],[Account]]&lt;&gt;"",J56+L56-$N$7,"")</f>
        <v/>
      </c>
      <c r="N56" s="25" t="str">
        <f>IF(Table1135[[#This Row],[Account]]&lt;&gt;"",IF(Table1135[[#This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IF(Table1135[[#This Row],[Account]]&lt;&gt;"",$N$8,"")</f>
        <v/>
      </c>
      <c r="M57" s="18" t="str">
        <f>IF(Table1135[[#This Row],[Account]]&lt;&gt;"",J57+L57-$N$7,"")</f>
        <v/>
      </c>
      <c r="N57" s="19" t="str">
        <f>IF(Table1135[[#This Row],[Account]]&lt;&gt;"",IF(Table1135[[#This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IF(Table1135[[#This Row],[Account]]&lt;&gt;"",$N$8,"")</f>
        <v/>
      </c>
      <c r="M58" s="24" t="str">
        <f>IF(Table1135[[#This Row],[Account]]&lt;&gt;"",J58+L58-$N$7,"")</f>
        <v/>
      </c>
      <c r="N58" s="25" t="str">
        <f>IF(Table1135[[#This Row],[Account]]&lt;&gt;"",IF(Table1135[[#This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IF(Table1135[[#This Row],[Account]]&lt;&gt;"",$N$8,"")</f>
        <v/>
      </c>
      <c r="M59" s="18" t="str">
        <f>IF(Table1135[[#This Row],[Account]]&lt;&gt;"",J59+L59-$N$7,"")</f>
        <v/>
      </c>
      <c r="N59" s="19" t="str">
        <f>IF(Table1135[[#This Row],[Account]]&lt;&gt;"",IF(Table1135[[#This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IF(Table1135[[#This Row],[Account]]&lt;&gt;"",$N$8,"")</f>
        <v/>
      </c>
      <c r="M60" s="24" t="str">
        <f>IF(Table1135[[#This Row],[Account]]&lt;&gt;"",J60+L60-$N$7,"")</f>
        <v/>
      </c>
      <c r="N60" s="25" t="str">
        <f>IF(Table1135[[#This Row],[Account]]&lt;&gt;"",IF(Table1135[[#This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IF(Table1135[[#This Row],[Account]]&lt;&gt;"",$N$8,"")</f>
        <v/>
      </c>
      <c r="M61" s="18" t="str">
        <f>IF(Table1135[[#This Row],[Account]]&lt;&gt;"",J61+L61-$N$7,"")</f>
        <v/>
      </c>
      <c r="N61" s="19" t="str">
        <f>IF(Table1135[[#This Row],[Account]]&lt;&gt;"",IF(Table1135[[#This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IF(Table1135[[#This Row],[Account]]&lt;&gt;"",$N$8,"")</f>
        <v/>
      </c>
      <c r="M62" s="24" t="str">
        <f>IF(Table1135[[#This Row],[Account]]&lt;&gt;"",J62+L62-$N$7,"")</f>
        <v/>
      </c>
      <c r="N62" s="25" t="str">
        <f>IF(Table1135[[#This Row],[Account]]&lt;&gt;"",IF(Table1135[[#This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IF(Table1135[[#This Row],[Account]]&lt;&gt;"",$N$8,"")</f>
        <v/>
      </c>
      <c r="M63" s="18" t="str">
        <f>IF(Table1135[[#This Row],[Account]]&lt;&gt;"",J63+L63-$N$7,"")</f>
        <v/>
      </c>
      <c r="N63" s="19" t="str">
        <f>IF(Table1135[[#This Row],[Account]]&lt;&gt;"",IF(Table1135[[#This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IF(Table1135[[#This Row],[Account]]&lt;&gt;"",$N$8,"")</f>
        <v/>
      </c>
      <c r="M64" s="24" t="str">
        <f>IF(Table1135[[#This Row],[Account]]&lt;&gt;"",J64+L64-$N$7,"")</f>
        <v/>
      </c>
      <c r="N64" s="25" t="str">
        <f>IF(Table1135[[#This Row],[Account]]&lt;&gt;"",IF(Table1135[[#This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IF(Table1135[[#This Row],[Account]]&lt;&gt;"",$N$8,"")</f>
        <v/>
      </c>
      <c r="M65" s="18" t="str">
        <f>IF(Table1135[[#This Row],[Account]]&lt;&gt;"",J65+L65-$N$7,"")</f>
        <v/>
      </c>
      <c r="N65" s="19" t="str">
        <f>IF(Table1135[[#This Row],[Account]]&lt;&gt;"",IF(Table1135[[#This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IF(Table1135[[#This Row],[Account]]&lt;&gt;"",$N$8,"")</f>
        <v/>
      </c>
      <c r="M66" s="24" t="str">
        <f>IF(Table1135[[#This Row],[Account]]&lt;&gt;"",J66+L66-$N$7,"")</f>
        <v/>
      </c>
      <c r="N66" s="25" t="str">
        <f>IF(Table1135[[#This Row],[Account]]&lt;&gt;"",IF(Table1135[[#This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IF(Table1135[[#This Row],[Account]]&lt;&gt;"",$N$8,"")</f>
        <v/>
      </c>
      <c r="M67" s="18" t="str">
        <f>IF(Table1135[[#This Row],[Account]]&lt;&gt;"",J67+L67-$N$7,"")</f>
        <v/>
      </c>
      <c r="N67" s="19" t="str">
        <f>IF(Table1135[[#This Row],[Account]]&lt;&gt;"",IF(Table1135[[#This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IF(Table1135[[#This Row],[Account]]&lt;&gt;"",$N$8,"")</f>
        <v/>
      </c>
      <c r="M68" s="24" t="str">
        <f>IF(Table1135[[#This Row],[Account]]&lt;&gt;"",J68+L68-$N$7,"")</f>
        <v/>
      </c>
      <c r="N68" s="25" t="str">
        <f>IF(Table1135[[#This Row],[Account]]&lt;&gt;"",IF(Table1135[[#This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IF(Table1135[[#This Row],[Account]]&lt;&gt;"",$N$8,"")</f>
        <v/>
      </c>
      <c r="M69" s="18" t="str">
        <f>IF(Table1135[[#This Row],[Account]]&lt;&gt;"",J69+L69-$N$7,"")</f>
        <v/>
      </c>
      <c r="N69" s="19" t="str">
        <f>IF(Table1135[[#This Row],[Account]]&lt;&gt;"",IF(Table1135[[#This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IF(Table1135[[#This Row],[Account]]&lt;&gt;"",$N$8,"")</f>
        <v/>
      </c>
      <c r="M70" s="24" t="str">
        <f>IF(Table1135[[#This Row],[Account]]&lt;&gt;"",J70+L70-$N$7,"")</f>
        <v/>
      </c>
      <c r="N70" s="25" t="str">
        <f>IF(Table1135[[#This Row],[Account]]&lt;&gt;"",IF(Table1135[[#This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IF(Table1135[[#This Row],[Account]]&lt;&gt;"",$N$8,"")</f>
        <v/>
      </c>
      <c r="M71" s="18" t="str">
        <f>IF(Table1135[[#This Row],[Account]]&lt;&gt;"",J71+L71-$N$7,"")</f>
        <v/>
      </c>
      <c r="N71" s="19" t="str">
        <f>IF(Table1135[[#This Row],[Account]]&lt;&gt;"",IF(Table1135[[#This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IF(Table1135[[#This Row],[Account]]&lt;&gt;"",$N$8,"")</f>
        <v/>
      </c>
      <c r="M72" s="24" t="str">
        <f>IF(Table1135[[#This Row],[Account]]&lt;&gt;"",J72+L72-$N$7,"")</f>
        <v/>
      </c>
      <c r="N72" s="25" t="str">
        <f>IF(Table1135[[#This Row],[Account]]&lt;&gt;"",IF(Table1135[[#This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IF(Table1135[[#This Row],[Account]]&lt;&gt;"",$N$8,"")</f>
        <v/>
      </c>
      <c r="M73" s="18" t="str">
        <f>IF(Table1135[[#This Row],[Account]]&lt;&gt;"",J73+L73-$N$7,"")</f>
        <v/>
      </c>
      <c r="N73" s="19" t="str">
        <f>IF(Table1135[[#This Row],[Account]]&lt;&gt;"",IF(Table1135[[#This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IF(Table1135[[#This Row],[Account]]&lt;&gt;"",$N$8,"")</f>
        <v/>
      </c>
      <c r="M74" s="24" t="str">
        <f>IF(Table1135[[#This Row],[Account]]&lt;&gt;"",J74+L74-$N$7,"")</f>
        <v/>
      </c>
      <c r="N74" s="25" t="str">
        <f>IF(Table1135[[#This Row],[Account]]&lt;&gt;"",IF(Table1135[[#This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IF(Table1135[[#This Row],[Account]]&lt;&gt;"",$N$8,"")</f>
        <v/>
      </c>
      <c r="M75" s="18" t="str">
        <f>IF(Table1135[[#This Row],[Account]]&lt;&gt;"",J75+L75-$N$7,"")</f>
        <v/>
      </c>
      <c r="N75" s="19" t="str">
        <f>IF(Table1135[[#This Row],[Account]]&lt;&gt;"",IF(Table1135[[#This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IF(Table1135[[#This Row],[Account]]&lt;&gt;"",$N$8,"")</f>
        <v/>
      </c>
      <c r="M76" s="24" t="str">
        <f>IF(Table1135[[#This Row],[Account]]&lt;&gt;"",J76+L76-$N$7,"")</f>
        <v/>
      </c>
      <c r="N76" s="25" t="str">
        <f>IF(Table1135[[#This Row],[Account]]&lt;&gt;"",IF(Table1135[[#This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IF(Table1135[[#This Row],[Account]]&lt;&gt;"",$N$8,"")</f>
        <v/>
      </c>
      <c r="M77" s="18" t="str">
        <f>IF(Table1135[[#This Row],[Account]]&lt;&gt;"",J77+L77-$N$7,"")</f>
        <v/>
      </c>
      <c r="N77" s="19" t="str">
        <f>IF(Table1135[[#This Row],[Account]]&lt;&gt;"",IF(Table1135[[#This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IF(Table1135[[#This Row],[Account]]&lt;&gt;"",$N$8,"")</f>
        <v/>
      </c>
      <c r="M78" s="24" t="str">
        <f>IF(Table1135[[#This Row],[Account]]&lt;&gt;"",J78+L78-$N$7,"")</f>
        <v/>
      </c>
      <c r="N78" s="25" t="str">
        <f>IF(Table1135[[#This Row],[Account]]&lt;&gt;"",IF(Table1135[[#This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IF(Table1135[[#This Row],[Account]]&lt;&gt;"",$N$8,"")</f>
        <v/>
      </c>
      <c r="M79" s="18" t="str">
        <f>IF(Table1135[[#This Row],[Account]]&lt;&gt;"",J79+L79-$N$7,"")</f>
        <v/>
      </c>
      <c r="N79" s="19" t="str">
        <f>IF(Table1135[[#This Row],[Account]]&lt;&gt;"",IF(Table1135[[#This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IF(Table1135[[#This Row],[Account]]&lt;&gt;"",$N$8,"")</f>
        <v/>
      </c>
      <c r="M80" s="24" t="str">
        <f>IF(Table1135[[#This Row],[Account]]&lt;&gt;"",J80+L80-$N$7,"")</f>
        <v/>
      </c>
      <c r="N80" s="25" t="str">
        <f>IF(Table1135[[#This Row],[Account]]&lt;&gt;"",IF(Table1135[[#This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IF(Table1135[[#This Row],[Account]]&lt;&gt;"",$N$8,"")</f>
        <v/>
      </c>
      <c r="M81" s="18" t="str">
        <f>IF(Table1135[[#This Row],[Account]]&lt;&gt;"",J81+L81-$N$7,"")</f>
        <v/>
      </c>
      <c r="N81" s="19" t="str">
        <f>IF(Table1135[[#This Row],[Account]]&lt;&gt;"",IF(Table1135[[#This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IF(Table1135[[#This Row],[Account]]&lt;&gt;"",$N$8,"")</f>
        <v/>
      </c>
      <c r="M82" s="24" t="str">
        <f>IF(Table1135[[#This Row],[Account]]&lt;&gt;"",J82+L82-$N$7,"")</f>
        <v/>
      </c>
      <c r="N82" s="25" t="str">
        <f>IF(Table1135[[#This Row],[Account]]&lt;&gt;"",IF(Table1135[[#This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IF(Table1135[[#This Row],[Account]]&lt;&gt;"",$N$8,"")</f>
        <v/>
      </c>
      <c r="M83" s="18" t="str">
        <f>IF(Table1135[[#This Row],[Account]]&lt;&gt;"",J83+L83-$N$7,"")</f>
        <v/>
      </c>
      <c r="N83" s="19" t="str">
        <f>IF(Table1135[[#This Row],[Account]]&lt;&gt;"",IF(Table1135[[#This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IF(Table1135[[#This Row],[Account]]&lt;&gt;"",$N$8,"")</f>
        <v/>
      </c>
      <c r="M84" s="24" t="str">
        <f>IF(Table1135[[#This Row],[Account]]&lt;&gt;"",J84+L84-$N$7,"")</f>
        <v/>
      </c>
      <c r="N84" s="25" t="str">
        <f>IF(Table1135[[#This Row],[Account]]&lt;&gt;"",IF(Table1135[[#This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IF(Table1135[[#This Row],[Account]]&lt;&gt;"",$N$8,"")</f>
        <v/>
      </c>
      <c r="M85" s="18" t="str">
        <f>IF(Table1135[[#This Row],[Account]]&lt;&gt;"",J85+L85-$N$7,"")</f>
        <v/>
      </c>
      <c r="N85" s="19" t="str">
        <f>IF(Table1135[[#This Row],[Account]]&lt;&gt;"",IF(Table1135[[#This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IF(Table1135[[#This Row],[Account]]&lt;&gt;"",$N$8,"")</f>
        <v/>
      </c>
      <c r="M86" s="24" t="str">
        <f>IF(Table1135[[#This Row],[Account]]&lt;&gt;"",J86+L86-$N$7,"")</f>
        <v/>
      </c>
      <c r="N86" s="25" t="str">
        <f>IF(Table1135[[#This Row],[Account]]&lt;&gt;"",IF(Table1135[[#This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IF(Table1135[[#This Row],[Account]]&lt;&gt;"",$N$8,"")</f>
        <v/>
      </c>
      <c r="M87" s="18" t="str">
        <f>IF(Table1135[[#This Row],[Account]]&lt;&gt;"",J87+L87-$N$7,"")</f>
        <v/>
      </c>
      <c r="N87" s="19" t="str">
        <f>IF(Table1135[[#This Row],[Account]]&lt;&gt;"",IF(Table1135[[#This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IF(Table1135[[#This Row],[Account]]&lt;&gt;"",$N$8,"")</f>
        <v/>
      </c>
      <c r="M88" s="24" t="str">
        <f>IF(Table1135[[#This Row],[Account]]&lt;&gt;"",J88+L88-$N$7,"")</f>
        <v/>
      </c>
      <c r="N88" s="25" t="str">
        <f>IF(Table1135[[#This Row],[Account]]&lt;&gt;"",IF(Table1135[[#This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IF(Table1135[[#This Row],[Account]]&lt;&gt;"",$N$8,"")</f>
        <v/>
      </c>
      <c r="M89" s="18" t="str">
        <f>IF(Table1135[[#This Row],[Account]]&lt;&gt;"",J89+L89-$N$7,"")</f>
        <v/>
      </c>
      <c r="N89" s="19" t="str">
        <f>IF(Table1135[[#This Row],[Account]]&lt;&gt;"",IF(Table1135[[#This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IF(Table1135[[#This Row],[Account]]&lt;&gt;"",$N$8,"")</f>
        <v/>
      </c>
      <c r="M90" s="24" t="str">
        <f>IF(Table1135[[#This Row],[Account]]&lt;&gt;"",J90+L90-$N$7,"")</f>
        <v/>
      </c>
      <c r="N90" s="25" t="str">
        <f>IF(Table1135[[#This Row],[Account]]&lt;&gt;"",IF(Table1135[[#This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IF(Table1135[[#This Row],[Account]]&lt;&gt;"",$N$8,"")</f>
        <v/>
      </c>
      <c r="M91" s="18" t="str">
        <f>IF(Table1135[[#This Row],[Account]]&lt;&gt;"",J91+L91-$N$7,"")</f>
        <v/>
      </c>
      <c r="N91" s="19" t="str">
        <f>IF(Table1135[[#This Row],[Account]]&lt;&gt;"",IF(Table1135[[#This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IF(Table1135[[#This Row],[Account]]&lt;&gt;"",$N$8,"")</f>
        <v/>
      </c>
      <c r="M92" s="24" t="str">
        <f>IF(Table1135[[#This Row],[Account]]&lt;&gt;"",J92+L92-$N$7,"")</f>
        <v/>
      </c>
      <c r="N92" s="25" t="str">
        <f>IF(Table1135[[#This Row],[Account]]&lt;&gt;"",IF(Table1135[[#This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IF(Table1135[[#This Row],[Account]]&lt;&gt;"",$N$8,"")</f>
        <v/>
      </c>
      <c r="M93" s="18" t="str">
        <f>IF(Table1135[[#This Row],[Account]]&lt;&gt;"",J93+L93-$N$7,"")</f>
        <v/>
      </c>
      <c r="N93" s="19" t="str">
        <f>IF(Table1135[[#This Row],[Account]]&lt;&gt;"",IF(Table1135[[#This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IF(Table1135[[#This Row],[Account]]&lt;&gt;"",$N$8,"")</f>
        <v/>
      </c>
      <c r="M94" s="24" t="str">
        <f>IF(Table1135[[#This Row],[Account]]&lt;&gt;"",J94+L94-$N$7,"")</f>
        <v/>
      </c>
      <c r="N94" s="25" t="str">
        <f>IF(Table1135[[#This Row],[Account]]&lt;&gt;"",IF(Table1135[[#This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IF(Table1135[[#This Row],[Account]]&lt;&gt;"",$N$8,"")</f>
        <v/>
      </c>
      <c r="M95" s="18" t="str">
        <f>IF(Table1135[[#This Row],[Account]]&lt;&gt;"",J95+L95-$N$7,"")</f>
        <v/>
      </c>
      <c r="N95" s="19" t="str">
        <f>IF(Table1135[[#This Row],[Account]]&lt;&gt;"",IF(Table1135[[#This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IF(Table1135[[#This Row],[Account]]&lt;&gt;"",$N$8,"")</f>
        <v/>
      </c>
      <c r="M96" s="24" t="str">
        <f>IF(Table1135[[#This Row],[Account]]&lt;&gt;"",J96+L96-$N$7,"")</f>
        <v/>
      </c>
      <c r="N96" s="25" t="str">
        <f>IF(Table1135[[#This Row],[Account]]&lt;&gt;"",IF(Table1135[[#This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IF(Table1135[[#This Row],[Account]]&lt;&gt;"",$N$8,"")</f>
        <v/>
      </c>
      <c r="M97" s="18" t="str">
        <f>IF(Table1135[[#This Row],[Account]]&lt;&gt;"",J97+L97-$N$7,"")</f>
        <v/>
      </c>
      <c r="N97" s="19" t="str">
        <f>IF(Table1135[[#This Row],[Account]]&lt;&gt;"",IF(Table1135[[#This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IF(Table1135[[#This Row],[Account]]&lt;&gt;"",$N$8,"")</f>
        <v/>
      </c>
      <c r="M98" s="24" t="str">
        <f>IF(Table1135[[#This Row],[Account]]&lt;&gt;"",J98+L98-$N$7,"")</f>
        <v/>
      </c>
      <c r="N98" s="25" t="str">
        <f>IF(Table1135[[#This Row],[Account]]&lt;&gt;"",IF(Table1135[[#This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IF(Table1135[[#This Row],[Account]]&lt;&gt;"",$N$8,"")</f>
        <v/>
      </c>
      <c r="M99" s="18" t="str">
        <f>IF(Table1135[[#This Row],[Account]]&lt;&gt;"",J99+L99-$N$7,"")</f>
        <v/>
      </c>
      <c r="N99" s="19" t="str">
        <f>IF(Table1135[[#This Row],[Account]]&lt;&gt;"",IF(Table1135[[#This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IF(Table1135[[#This Row],[Account]]&lt;&gt;"",$N$8,"")</f>
        <v/>
      </c>
      <c r="M100" s="24" t="str">
        <f>IF(Table1135[[#This Row],[Account]]&lt;&gt;"",J100+L100-$N$7,"")</f>
        <v/>
      </c>
      <c r="N100" s="25" t="str">
        <f>IF(Table1135[[#This Row],[Account]]&lt;&gt;"",IF(Table1135[[#This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IF(Table1135[[#This Row],[Account]]&lt;&gt;"",$N$8,"")</f>
        <v/>
      </c>
      <c r="M101" s="18" t="str">
        <f>IF(Table1135[[#This Row],[Account]]&lt;&gt;"",J101+L101-$N$7,"")</f>
        <v/>
      </c>
      <c r="N101" s="19" t="str">
        <f>IF(Table1135[[#This Row],[Account]]&lt;&gt;"",IF(Table1135[[#This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IF(Table1135[[#This Row],[Account]]&lt;&gt;"",$N$8,"")</f>
        <v/>
      </c>
      <c r="M102" s="24" t="str">
        <f>IF(Table1135[[#This Row],[Account]]&lt;&gt;"",J102+L102-$N$7,"")</f>
        <v/>
      </c>
      <c r="N102" s="25" t="str">
        <f>IF(Table1135[[#This Row],[Account]]&lt;&gt;"",IF(Table1135[[#This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IF(Table1135[[#This Row],[Account]]&lt;&gt;"",$N$8,"")</f>
        <v/>
      </c>
      <c r="M103" s="18" t="str">
        <f>IF(Table1135[[#This Row],[Account]]&lt;&gt;"",J103+L103-$N$7,"")</f>
        <v/>
      </c>
      <c r="N103" s="19" t="str">
        <f>IF(Table1135[[#This Row],[Account]]&lt;&gt;"",IF(Table1135[[#This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IF(Table1135[[#This Row],[Account]]&lt;&gt;"",$N$8,"")</f>
        <v/>
      </c>
      <c r="M104" s="24" t="str">
        <f>IF(Table1135[[#This Row],[Account]]&lt;&gt;"",J104+L104-$N$7,"")</f>
        <v/>
      </c>
      <c r="N104" s="25" t="str">
        <f>IF(Table1135[[#This Row],[Account]]&lt;&gt;"",IF(Table1135[[#This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IF(Table1135[[#This Row],[Account]]&lt;&gt;"",$N$8,"")</f>
        <v/>
      </c>
      <c r="M105" s="18" t="str">
        <f>IF(Table1135[[#This Row],[Account]]&lt;&gt;"",J105+L105-$N$7,"")</f>
        <v/>
      </c>
      <c r="N105" s="19" t="str">
        <f>IF(Table1135[[#This Row],[Account]]&lt;&gt;"",IF(Table1135[[#This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IF(Table1135[[#This Row],[Account]]&lt;&gt;"",$N$8,"")</f>
        <v/>
      </c>
      <c r="M106" s="24" t="str">
        <f>IF(Table1135[[#This Row],[Account]]&lt;&gt;"",J106+L106-$N$7,"")</f>
        <v/>
      </c>
      <c r="N106" s="25" t="str">
        <f>IF(Table1135[[#This Row],[Account]]&lt;&gt;"",IF(Table1135[[#This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IF(Table1135[[#This Row],[Account]]&lt;&gt;"",$N$8,"")</f>
        <v/>
      </c>
      <c r="M107" s="18" t="str">
        <f>IF(Table1135[[#This Row],[Account]]&lt;&gt;"",J107+L107-$N$7,"")</f>
        <v/>
      </c>
      <c r="N107" s="19" t="str">
        <f>IF(Table1135[[#This Row],[Account]]&lt;&gt;"",IF(Table1135[[#This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IF(Table1135[[#This Row],[Account]]&lt;&gt;"",$N$8,"")</f>
        <v/>
      </c>
      <c r="M108" s="24" t="str">
        <f>IF(Table1135[[#This Row],[Account]]&lt;&gt;"",J108+L108-$N$7,"")</f>
        <v/>
      </c>
      <c r="N108" s="25" t="str">
        <f>IF(Table1135[[#This Row],[Account]]&lt;&gt;"",IF(Table1135[[#This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IF(Table1135[[#This Row],[Account]]&lt;&gt;"",$N$8,"")</f>
        <v/>
      </c>
      <c r="M109" s="18" t="str">
        <f>IF(Table1135[[#This Row],[Account]]&lt;&gt;"",J109+L109-$N$7,"")</f>
        <v/>
      </c>
      <c r="N109" s="19" t="str">
        <f>IF(Table1135[[#This Row],[Account]]&lt;&gt;"",IF(Table1135[[#This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IF(Table1135[[#This Row],[Account]]&lt;&gt;"",$N$8,"")</f>
        <v/>
      </c>
      <c r="M110" s="24" t="str">
        <f>IF(Table1135[[#This Row],[Account]]&lt;&gt;"",J110+L110-$N$7,"")</f>
        <v/>
      </c>
      <c r="N110" s="25" t="str">
        <f>IF(Table1135[[#This Row],[Account]]&lt;&gt;"",IF(Table1135[[#This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IF(Table1135[[#This Row],[Account]]&lt;&gt;"",$N$8,"")</f>
        <v/>
      </c>
      <c r="M111" s="18" t="str">
        <f>IF(Table1135[[#This Row],[Account]]&lt;&gt;"",J111+L111-$N$7,"")</f>
        <v/>
      </c>
      <c r="N111" s="19" t="str">
        <f>IF(Table1135[[#This Row],[Account]]&lt;&gt;"",IF(Table1135[[#This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IF(Table1135[[#This Row],[Account]]&lt;&gt;"",$N$8,"")</f>
        <v/>
      </c>
      <c r="M112" s="24" t="str">
        <f>IF(Table1135[[#This Row],[Account]]&lt;&gt;"",J112+L112-$N$7,"")</f>
        <v/>
      </c>
      <c r="N112" s="25" t="str">
        <f>IF(Table1135[[#This Row],[Account]]&lt;&gt;"",IF(Table1135[[#This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IF(Table1135[[#This Row],[Account]]&lt;&gt;"",$N$8,"")</f>
        <v/>
      </c>
      <c r="M113" s="18" t="str">
        <f>IF(Table1135[[#This Row],[Account]]&lt;&gt;"",J113+L113-$N$7,"")</f>
        <v/>
      </c>
      <c r="N113" s="19" t="str">
        <f>IF(Table1135[[#This Row],[Account]]&lt;&gt;"",IF(Table1135[[#This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919718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1830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1831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919718</v>
      </c>
      <c r="D15" s="15" t="s">
        <v>1832</v>
      </c>
      <c r="E15" s="15" t="s">
        <v>1833</v>
      </c>
      <c r="F15" s="14" t="s">
        <v>1834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IF(Table1134[[#This Row],[Account]]&lt;&gt;"",$N$8,"")</f>
        <v>0</v>
      </c>
      <c r="M15" s="105">
        <f>IF(Table1134[[#This Row],[Account]]&lt;&gt;"",J15+L15-$N$7,"")</f>
        <v>-239</v>
      </c>
      <c r="N15" s="74" t="str">
        <f>IF(Table1134[[#This Row],[Account]]&lt;&gt;"",IF(Table1134[[#This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IF(Table1134[[#This Row],[Account]]&lt;&gt;"",$N$8,"")</f>
        <v/>
      </c>
      <c r="M16" s="24" t="str">
        <f>IF(Table1134[[#This Row],[Account]]&lt;&gt;"",J16+L16-$N$7,"")</f>
        <v/>
      </c>
      <c r="N16" s="25" t="str">
        <f>IF(Table1134[[#This Row],[Account]]&lt;&gt;"",IF(Table1134[[#This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IF(Table1134[[#This Row],[Account]]&lt;&gt;"",$N$8,"")</f>
        <v/>
      </c>
      <c r="M17" s="18" t="str">
        <f>IF(Table1134[[#This Row],[Account]]&lt;&gt;"",J17+L17-$N$7,"")</f>
        <v/>
      </c>
      <c r="N17" s="19" t="str">
        <f>IF(Table1134[[#This Row],[Account]]&lt;&gt;"",IF(Table1134[[#This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IF(Table1134[[#This Row],[Account]]&lt;&gt;"",$N$8,"")</f>
        <v/>
      </c>
      <c r="M18" s="24" t="str">
        <f>IF(Table1134[[#This Row],[Account]]&lt;&gt;"",J18+L18-$N$7,"")</f>
        <v/>
      </c>
      <c r="N18" s="25" t="str">
        <f>IF(Table1134[[#This Row],[Account]]&lt;&gt;"",IF(Table1134[[#This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IF(Table1134[[#This Row],[Account]]&lt;&gt;"",$N$8,"")</f>
        <v/>
      </c>
      <c r="M19" s="18" t="str">
        <f>IF(Table1134[[#This Row],[Account]]&lt;&gt;"",J19+L19-$N$7,"")</f>
        <v/>
      </c>
      <c r="N19" s="19" t="str">
        <f>IF(Table1134[[#This Row],[Account]]&lt;&gt;"",IF(Table1134[[#This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IF(Table1134[[#This Row],[Account]]&lt;&gt;"",$N$8,"")</f>
        <v/>
      </c>
      <c r="M20" s="24" t="str">
        <f>IF(Table1134[[#This Row],[Account]]&lt;&gt;"",J20+L20-$N$7,"")</f>
        <v/>
      </c>
      <c r="N20" s="25" t="str">
        <f>IF(Table1134[[#This Row],[Account]]&lt;&gt;"",IF(Table1134[[#This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IF(Table1134[[#This Row],[Account]]&lt;&gt;"",$N$8,"")</f>
        <v/>
      </c>
      <c r="M21" s="18" t="str">
        <f>IF(Table1134[[#This Row],[Account]]&lt;&gt;"",J21+L21-$N$7,"")</f>
        <v/>
      </c>
      <c r="N21" s="19" t="str">
        <f>IF(Table1134[[#This Row],[Account]]&lt;&gt;"",IF(Table1134[[#This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IF(Table1134[[#This Row],[Account]]&lt;&gt;"",$N$8,"")</f>
        <v/>
      </c>
      <c r="M22" s="24" t="str">
        <f>IF(Table1134[[#This Row],[Account]]&lt;&gt;"",J22+L22-$N$7,"")</f>
        <v/>
      </c>
      <c r="N22" s="25" t="str">
        <f>IF(Table1134[[#This Row],[Account]]&lt;&gt;"",IF(Table1134[[#This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IF(Table1134[[#This Row],[Account]]&lt;&gt;"",$N$8,"")</f>
        <v/>
      </c>
      <c r="M23" s="18" t="str">
        <f>IF(Table1134[[#This Row],[Account]]&lt;&gt;"",J23+L23-$N$7,"")</f>
        <v/>
      </c>
      <c r="N23" s="19" t="str">
        <f>IF(Table1134[[#This Row],[Account]]&lt;&gt;"",IF(Table1134[[#This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IF(Table1134[[#This Row],[Account]]&lt;&gt;"",$N$8,"")</f>
        <v/>
      </c>
      <c r="M24" s="24" t="str">
        <f>IF(Table1134[[#This Row],[Account]]&lt;&gt;"",J24+L24-$N$7,"")</f>
        <v/>
      </c>
      <c r="N24" s="25" t="str">
        <f>IF(Table1134[[#This Row],[Account]]&lt;&gt;"",IF(Table1134[[#This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IF(Table1134[[#This Row],[Account]]&lt;&gt;"",$N$8,"")</f>
        <v/>
      </c>
      <c r="M25" s="18" t="str">
        <f>IF(Table1134[[#This Row],[Account]]&lt;&gt;"",J25+L25-$N$7,"")</f>
        <v/>
      </c>
      <c r="N25" s="19" t="str">
        <f>IF(Table1134[[#This Row],[Account]]&lt;&gt;"",IF(Table1134[[#This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IF(Table1134[[#This Row],[Account]]&lt;&gt;"",$N$8,"")</f>
        <v/>
      </c>
      <c r="M26" s="24" t="str">
        <f>IF(Table1134[[#This Row],[Account]]&lt;&gt;"",J26+L26-$N$7,"")</f>
        <v/>
      </c>
      <c r="N26" s="25" t="str">
        <f>IF(Table1134[[#This Row],[Account]]&lt;&gt;"",IF(Table1134[[#This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IF(Table1134[[#This Row],[Account]]&lt;&gt;"",$N$8,"")</f>
        <v/>
      </c>
      <c r="M27" s="18" t="str">
        <f>IF(Table1134[[#This Row],[Account]]&lt;&gt;"",J27+L27-$N$7,"")</f>
        <v/>
      </c>
      <c r="N27" s="19" t="str">
        <f>IF(Table1134[[#This Row],[Account]]&lt;&gt;"",IF(Table1134[[#This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IF(Table1134[[#This Row],[Account]]&lt;&gt;"",$N$8,"")</f>
        <v/>
      </c>
      <c r="M28" s="24" t="str">
        <f>IF(Table1134[[#This Row],[Account]]&lt;&gt;"",J28+L28-$N$7,"")</f>
        <v/>
      </c>
      <c r="N28" s="25" t="str">
        <f>IF(Table1134[[#This Row],[Account]]&lt;&gt;"",IF(Table1134[[#This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IF(Table1134[[#This Row],[Account]]&lt;&gt;"",$N$8,"")</f>
        <v/>
      </c>
      <c r="M29" s="18" t="str">
        <f>IF(Table1134[[#This Row],[Account]]&lt;&gt;"",J29+L29-$N$7,"")</f>
        <v/>
      </c>
      <c r="N29" s="19" t="str">
        <f>IF(Table1134[[#This Row],[Account]]&lt;&gt;"",IF(Table1134[[#This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IF(Table1134[[#This Row],[Account]]&lt;&gt;"",$N$8,"")</f>
        <v/>
      </c>
      <c r="M30" s="24" t="str">
        <f>IF(Table1134[[#This Row],[Account]]&lt;&gt;"",J30+L30-$N$7,"")</f>
        <v/>
      </c>
      <c r="N30" s="25" t="str">
        <f>IF(Table1134[[#This Row],[Account]]&lt;&gt;"",IF(Table1134[[#This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IF(Table1134[[#This Row],[Account]]&lt;&gt;"",$N$8,"")</f>
        <v/>
      </c>
      <c r="M31" s="18" t="str">
        <f>IF(Table1134[[#This Row],[Account]]&lt;&gt;"",J31+L31-$N$7,"")</f>
        <v/>
      </c>
      <c r="N31" s="19" t="str">
        <f>IF(Table1134[[#This Row],[Account]]&lt;&gt;"",IF(Table1134[[#This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IF(Table1134[[#This Row],[Account]]&lt;&gt;"",$N$8,"")</f>
        <v/>
      </c>
      <c r="M32" s="24" t="str">
        <f>IF(Table1134[[#This Row],[Account]]&lt;&gt;"",J32+L32-$N$7,"")</f>
        <v/>
      </c>
      <c r="N32" s="25" t="str">
        <f>IF(Table1134[[#This Row],[Account]]&lt;&gt;"",IF(Table1134[[#This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IF(Table1134[[#This Row],[Account]]&lt;&gt;"",$N$8,"")</f>
        <v/>
      </c>
      <c r="M33" s="18" t="str">
        <f>IF(Table1134[[#This Row],[Account]]&lt;&gt;"",J33+L33-$N$7,"")</f>
        <v/>
      </c>
      <c r="N33" s="19" t="str">
        <f>IF(Table1134[[#This Row],[Account]]&lt;&gt;"",IF(Table1134[[#This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IF(Table1134[[#This Row],[Account]]&lt;&gt;"",$N$8,"")</f>
        <v/>
      </c>
      <c r="M34" s="24" t="str">
        <f>IF(Table1134[[#This Row],[Account]]&lt;&gt;"",J34+L34-$N$7,"")</f>
        <v/>
      </c>
      <c r="N34" s="25" t="str">
        <f>IF(Table1134[[#This Row],[Account]]&lt;&gt;"",IF(Table1134[[#This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IF(Table1134[[#This Row],[Account]]&lt;&gt;"",$N$8,"")</f>
        <v/>
      </c>
      <c r="M35" s="18" t="str">
        <f>IF(Table1134[[#This Row],[Account]]&lt;&gt;"",J35+L35-$N$7,"")</f>
        <v/>
      </c>
      <c r="N35" s="19" t="str">
        <f>IF(Table1134[[#This Row],[Account]]&lt;&gt;"",IF(Table1134[[#This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IF(Table1134[[#This Row],[Account]]&lt;&gt;"",$N$8,"")</f>
        <v/>
      </c>
      <c r="M36" s="24" t="str">
        <f>IF(Table1134[[#This Row],[Account]]&lt;&gt;"",J36+L36-$N$7,"")</f>
        <v/>
      </c>
      <c r="N36" s="25" t="str">
        <f>IF(Table1134[[#This Row],[Account]]&lt;&gt;"",IF(Table1134[[#This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IF(Table1134[[#This Row],[Account]]&lt;&gt;"",$N$8,"")</f>
        <v/>
      </c>
      <c r="M37" s="18" t="str">
        <f>IF(Table1134[[#This Row],[Account]]&lt;&gt;"",J37+L37-$N$7,"")</f>
        <v/>
      </c>
      <c r="N37" s="19" t="str">
        <f>IF(Table1134[[#This Row],[Account]]&lt;&gt;"",IF(Table1134[[#This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IF(Table1134[[#This Row],[Account]]&lt;&gt;"",$N$8,"")</f>
        <v/>
      </c>
      <c r="M38" s="24" t="str">
        <f>IF(Table1134[[#This Row],[Account]]&lt;&gt;"",J38+L38-$N$7,"")</f>
        <v/>
      </c>
      <c r="N38" s="25" t="str">
        <f>IF(Table1134[[#This Row],[Account]]&lt;&gt;"",IF(Table1134[[#This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IF(Table1134[[#This Row],[Account]]&lt;&gt;"",$N$8,"")</f>
        <v/>
      </c>
      <c r="M39" s="18" t="str">
        <f>IF(Table1134[[#This Row],[Account]]&lt;&gt;"",J39+L39-$N$7,"")</f>
        <v/>
      </c>
      <c r="N39" s="19" t="str">
        <f>IF(Table1134[[#This Row],[Account]]&lt;&gt;"",IF(Table1134[[#This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IF(Table1134[[#This Row],[Account]]&lt;&gt;"",$N$8,"")</f>
        <v/>
      </c>
      <c r="M40" s="24" t="str">
        <f>IF(Table1134[[#This Row],[Account]]&lt;&gt;"",J40+L40-$N$7,"")</f>
        <v/>
      </c>
      <c r="N40" s="25" t="str">
        <f>IF(Table1134[[#This Row],[Account]]&lt;&gt;"",IF(Table1134[[#This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IF(Table1134[[#This Row],[Account]]&lt;&gt;"",$N$8,"")</f>
        <v/>
      </c>
      <c r="M41" s="18" t="str">
        <f>IF(Table1134[[#This Row],[Account]]&lt;&gt;"",J41+L41-$N$7,"")</f>
        <v/>
      </c>
      <c r="N41" s="19" t="str">
        <f>IF(Table1134[[#This Row],[Account]]&lt;&gt;"",IF(Table1134[[#This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IF(Table1134[[#This Row],[Account]]&lt;&gt;"",$N$8,"")</f>
        <v/>
      </c>
      <c r="M42" s="24" t="str">
        <f>IF(Table1134[[#This Row],[Account]]&lt;&gt;"",J42+L42-$N$7,"")</f>
        <v/>
      </c>
      <c r="N42" s="25" t="str">
        <f>IF(Table1134[[#This Row],[Account]]&lt;&gt;"",IF(Table1134[[#This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IF(Table1134[[#This Row],[Account]]&lt;&gt;"",$N$8,"")</f>
        <v/>
      </c>
      <c r="M43" s="18" t="str">
        <f>IF(Table1134[[#This Row],[Account]]&lt;&gt;"",J43+L43-$N$7,"")</f>
        <v/>
      </c>
      <c r="N43" s="19" t="str">
        <f>IF(Table1134[[#This Row],[Account]]&lt;&gt;"",IF(Table1134[[#This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IF(Table1134[[#This Row],[Account]]&lt;&gt;"",$N$8,"")</f>
        <v/>
      </c>
      <c r="M44" s="24" t="str">
        <f>IF(Table1134[[#This Row],[Account]]&lt;&gt;"",J44+L44-$N$7,"")</f>
        <v/>
      </c>
      <c r="N44" s="25" t="str">
        <f>IF(Table1134[[#This Row],[Account]]&lt;&gt;"",IF(Table1134[[#This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IF(Table1134[[#This Row],[Account]]&lt;&gt;"",$N$8,"")</f>
        <v/>
      </c>
      <c r="M45" s="18" t="str">
        <f>IF(Table1134[[#This Row],[Account]]&lt;&gt;"",J45+L45-$N$7,"")</f>
        <v/>
      </c>
      <c r="N45" s="19" t="str">
        <f>IF(Table1134[[#This Row],[Account]]&lt;&gt;"",IF(Table1134[[#This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IF(Table1134[[#This Row],[Account]]&lt;&gt;"",$N$8,"")</f>
        <v/>
      </c>
      <c r="M46" s="24" t="str">
        <f>IF(Table1134[[#This Row],[Account]]&lt;&gt;"",J46+L46-$N$7,"")</f>
        <v/>
      </c>
      <c r="N46" s="25" t="str">
        <f>IF(Table1134[[#This Row],[Account]]&lt;&gt;"",IF(Table1134[[#This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IF(Table1134[[#This Row],[Account]]&lt;&gt;"",$N$8,"")</f>
        <v/>
      </c>
      <c r="M47" s="18" t="str">
        <f>IF(Table1134[[#This Row],[Account]]&lt;&gt;"",J47+L47-$N$7,"")</f>
        <v/>
      </c>
      <c r="N47" s="19" t="str">
        <f>IF(Table1134[[#This Row],[Account]]&lt;&gt;"",IF(Table1134[[#This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IF(Table1134[[#This Row],[Account]]&lt;&gt;"",$N$8,"")</f>
        <v/>
      </c>
      <c r="M48" s="24" t="str">
        <f>IF(Table1134[[#This Row],[Account]]&lt;&gt;"",J48+L48-$N$7,"")</f>
        <v/>
      </c>
      <c r="N48" s="25" t="str">
        <f>IF(Table1134[[#This Row],[Account]]&lt;&gt;"",IF(Table1134[[#This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IF(Table1134[[#This Row],[Account]]&lt;&gt;"",$N$8,"")</f>
        <v/>
      </c>
      <c r="M49" s="18" t="str">
        <f>IF(Table1134[[#This Row],[Account]]&lt;&gt;"",J49+L49-$N$7,"")</f>
        <v/>
      </c>
      <c r="N49" s="19" t="str">
        <f>IF(Table1134[[#This Row],[Account]]&lt;&gt;"",IF(Table1134[[#This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IF(Table1134[[#This Row],[Account]]&lt;&gt;"",$N$8,"")</f>
        <v/>
      </c>
      <c r="M50" s="24" t="str">
        <f>IF(Table1134[[#This Row],[Account]]&lt;&gt;"",J50+L50-$N$7,"")</f>
        <v/>
      </c>
      <c r="N50" s="25" t="str">
        <f>IF(Table1134[[#This Row],[Account]]&lt;&gt;"",IF(Table1134[[#This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IF(Table1134[[#This Row],[Account]]&lt;&gt;"",$N$8,"")</f>
        <v/>
      </c>
      <c r="M51" s="18" t="str">
        <f>IF(Table1134[[#This Row],[Account]]&lt;&gt;"",J51+L51-$N$7,"")</f>
        <v/>
      </c>
      <c r="N51" s="19" t="str">
        <f>IF(Table1134[[#This Row],[Account]]&lt;&gt;"",IF(Table1134[[#This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IF(Table1134[[#This Row],[Account]]&lt;&gt;"",$N$8,"")</f>
        <v/>
      </c>
      <c r="M52" s="24" t="str">
        <f>IF(Table1134[[#This Row],[Account]]&lt;&gt;"",J52+L52-$N$7,"")</f>
        <v/>
      </c>
      <c r="N52" s="25" t="str">
        <f>IF(Table1134[[#This Row],[Account]]&lt;&gt;"",IF(Table1134[[#This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IF(Table1134[[#This Row],[Account]]&lt;&gt;"",$N$8,"")</f>
        <v/>
      </c>
      <c r="M53" s="18" t="str">
        <f>IF(Table1134[[#This Row],[Account]]&lt;&gt;"",J53+L53-$N$7,"")</f>
        <v/>
      </c>
      <c r="N53" s="19" t="str">
        <f>IF(Table1134[[#This Row],[Account]]&lt;&gt;"",IF(Table1134[[#This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IF(Table1134[[#This Row],[Account]]&lt;&gt;"",$N$8,"")</f>
        <v/>
      </c>
      <c r="M54" s="24" t="str">
        <f>IF(Table1134[[#This Row],[Account]]&lt;&gt;"",J54+L54-$N$7,"")</f>
        <v/>
      </c>
      <c r="N54" s="25" t="str">
        <f>IF(Table1134[[#This Row],[Account]]&lt;&gt;"",IF(Table1134[[#This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IF(Table1134[[#This Row],[Account]]&lt;&gt;"",$N$8,"")</f>
        <v/>
      </c>
      <c r="M55" s="18" t="str">
        <f>IF(Table1134[[#This Row],[Account]]&lt;&gt;"",J55+L55-$N$7,"")</f>
        <v/>
      </c>
      <c r="N55" s="19" t="str">
        <f>IF(Table1134[[#This Row],[Account]]&lt;&gt;"",IF(Table1134[[#This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IF(Table1134[[#This Row],[Account]]&lt;&gt;"",$N$8,"")</f>
        <v/>
      </c>
      <c r="M56" s="24" t="str">
        <f>IF(Table1134[[#This Row],[Account]]&lt;&gt;"",J56+L56-$N$7,"")</f>
        <v/>
      </c>
      <c r="N56" s="25" t="str">
        <f>IF(Table1134[[#This Row],[Account]]&lt;&gt;"",IF(Table1134[[#This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IF(Table1134[[#This Row],[Account]]&lt;&gt;"",$N$8,"")</f>
        <v/>
      </c>
      <c r="M57" s="18" t="str">
        <f>IF(Table1134[[#This Row],[Account]]&lt;&gt;"",J57+L57-$N$7,"")</f>
        <v/>
      </c>
      <c r="N57" s="19" t="str">
        <f>IF(Table1134[[#This Row],[Account]]&lt;&gt;"",IF(Table1134[[#This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IF(Table1134[[#This Row],[Account]]&lt;&gt;"",$N$8,"")</f>
        <v/>
      </c>
      <c r="M58" s="24" t="str">
        <f>IF(Table1134[[#This Row],[Account]]&lt;&gt;"",J58+L58-$N$7,"")</f>
        <v/>
      </c>
      <c r="N58" s="25" t="str">
        <f>IF(Table1134[[#This Row],[Account]]&lt;&gt;"",IF(Table1134[[#This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IF(Table1134[[#This Row],[Account]]&lt;&gt;"",$N$8,"")</f>
        <v/>
      </c>
      <c r="M59" s="18" t="str">
        <f>IF(Table1134[[#This Row],[Account]]&lt;&gt;"",J59+L59-$N$7,"")</f>
        <v/>
      </c>
      <c r="N59" s="19" t="str">
        <f>IF(Table1134[[#This Row],[Account]]&lt;&gt;"",IF(Table1134[[#This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IF(Table1134[[#This Row],[Account]]&lt;&gt;"",$N$8,"")</f>
        <v/>
      </c>
      <c r="M60" s="24" t="str">
        <f>IF(Table1134[[#This Row],[Account]]&lt;&gt;"",J60+L60-$N$7,"")</f>
        <v/>
      </c>
      <c r="N60" s="25" t="str">
        <f>IF(Table1134[[#This Row],[Account]]&lt;&gt;"",IF(Table1134[[#This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IF(Table1134[[#This Row],[Account]]&lt;&gt;"",$N$8,"")</f>
        <v/>
      </c>
      <c r="M61" s="18" t="str">
        <f>IF(Table1134[[#This Row],[Account]]&lt;&gt;"",J61+L61-$N$7,"")</f>
        <v/>
      </c>
      <c r="N61" s="19" t="str">
        <f>IF(Table1134[[#This Row],[Account]]&lt;&gt;"",IF(Table1134[[#This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IF(Table1134[[#This Row],[Account]]&lt;&gt;"",$N$8,"")</f>
        <v/>
      </c>
      <c r="M62" s="24" t="str">
        <f>IF(Table1134[[#This Row],[Account]]&lt;&gt;"",J62+L62-$N$7,"")</f>
        <v/>
      </c>
      <c r="N62" s="25" t="str">
        <f>IF(Table1134[[#This Row],[Account]]&lt;&gt;"",IF(Table1134[[#This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IF(Table1134[[#This Row],[Account]]&lt;&gt;"",$N$8,"")</f>
        <v/>
      </c>
      <c r="M63" s="18" t="str">
        <f>IF(Table1134[[#This Row],[Account]]&lt;&gt;"",J63+L63-$N$7,"")</f>
        <v/>
      </c>
      <c r="N63" s="19" t="str">
        <f>IF(Table1134[[#This Row],[Account]]&lt;&gt;"",IF(Table1134[[#This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IF(Table1134[[#This Row],[Account]]&lt;&gt;"",$N$8,"")</f>
        <v/>
      </c>
      <c r="M64" s="24" t="str">
        <f>IF(Table1134[[#This Row],[Account]]&lt;&gt;"",J64+L64-$N$7,"")</f>
        <v/>
      </c>
      <c r="N64" s="25" t="str">
        <f>IF(Table1134[[#This Row],[Account]]&lt;&gt;"",IF(Table1134[[#This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IF(Table1134[[#This Row],[Account]]&lt;&gt;"",$N$8,"")</f>
        <v/>
      </c>
      <c r="M65" s="18" t="str">
        <f>IF(Table1134[[#This Row],[Account]]&lt;&gt;"",J65+L65-$N$7,"")</f>
        <v/>
      </c>
      <c r="N65" s="19" t="str">
        <f>IF(Table1134[[#This Row],[Account]]&lt;&gt;"",IF(Table1134[[#This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IF(Table1134[[#This Row],[Account]]&lt;&gt;"",$N$8,"")</f>
        <v/>
      </c>
      <c r="M66" s="24" t="str">
        <f>IF(Table1134[[#This Row],[Account]]&lt;&gt;"",J66+L66-$N$7,"")</f>
        <v/>
      </c>
      <c r="N66" s="25" t="str">
        <f>IF(Table1134[[#This Row],[Account]]&lt;&gt;"",IF(Table1134[[#This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IF(Table1134[[#This Row],[Account]]&lt;&gt;"",$N$8,"")</f>
        <v/>
      </c>
      <c r="M67" s="18" t="str">
        <f>IF(Table1134[[#This Row],[Account]]&lt;&gt;"",J67+L67-$N$7,"")</f>
        <v/>
      </c>
      <c r="N67" s="19" t="str">
        <f>IF(Table1134[[#This Row],[Account]]&lt;&gt;"",IF(Table1134[[#This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IF(Table1134[[#This Row],[Account]]&lt;&gt;"",$N$8,"")</f>
        <v/>
      </c>
      <c r="M68" s="24" t="str">
        <f>IF(Table1134[[#This Row],[Account]]&lt;&gt;"",J68+L68-$N$7,"")</f>
        <v/>
      </c>
      <c r="N68" s="25" t="str">
        <f>IF(Table1134[[#This Row],[Account]]&lt;&gt;"",IF(Table1134[[#This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IF(Table1134[[#This Row],[Account]]&lt;&gt;"",$N$8,"")</f>
        <v/>
      </c>
      <c r="M69" s="18" t="str">
        <f>IF(Table1134[[#This Row],[Account]]&lt;&gt;"",J69+L69-$N$7,"")</f>
        <v/>
      </c>
      <c r="N69" s="19" t="str">
        <f>IF(Table1134[[#This Row],[Account]]&lt;&gt;"",IF(Table1134[[#This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IF(Table1134[[#This Row],[Account]]&lt;&gt;"",$N$8,"")</f>
        <v/>
      </c>
      <c r="M70" s="24" t="str">
        <f>IF(Table1134[[#This Row],[Account]]&lt;&gt;"",J70+L70-$N$7,"")</f>
        <v/>
      </c>
      <c r="N70" s="25" t="str">
        <f>IF(Table1134[[#This Row],[Account]]&lt;&gt;"",IF(Table1134[[#This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IF(Table1134[[#This Row],[Account]]&lt;&gt;"",$N$8,"")</f>
        <v/>
      </c>
      <c r="M71" s="18" t="str">
        <f>IF(Table1134[[#This Row],[Account]]&lt;&gt;"",J71+L71-$N$7,"")</f>
        <v/>
      </c>
      <c r="N71" s="19" t="str">
        <f>IF(Table1134[[#This Row],[Account]]&lt;&gt;"",IF(Table1134[[#This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IF(Table1134[[#This Row],[Account]]&lt;&gt;"",$N$8,"")</f>
        <v/>
      </c>
      <c r="M72" s="24" t="str">
        <f>IF(Table1134[[#This Row],[Account]]&lt;&gt;"",J72+L72-$N$7,"")</f>
        <v/>
      </c>
      <c r="N72" s="25" t="str">
        <f>IF(Table1134[[#This Row],[Account]]&lt;&gt;"",IF(Table1134[[#This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IF(Table1134[[#This Row],[Account]]&lt;&gt;"",$N$8,"")</f>
        <v/>
      </c>
      <c r="M73" s="18" t="str">
        <f>IF(Table1134[[#This Row],[Account]]&lt;&gt;"",J73+L73-$N$7,"")</f>
        <v/>
      </c>
      <c r="N73" s="19" t="str">
        <f>IF(Table1134[[#This Row],[Account]]&lt;&gt;"",IF(Table1134[[#This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IF(Table1134[[#This Row],[Account]]&lt;&gt;"",$N$8,"")</f>
        <v/>
      </c>
      <c r="M74" s="24" t="str">
        <f>IF(Table1134[[#This Row],[Account]]&lt;&gt;"",J74+L74-$N$7,"")</f>
        <v/>
      </c>
      <c r="N74" s="25" t="str">
        <f>IF(Table1134[[#This Row],[Account]]&lt;&gt;"",IF(Table1134[[#This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IF(Table1134[[#This Row],[Account]]&lt;&gt;"",$N$8,"")</f>
        <v/>
      </c>
      <c r="M75" s="18" t="str">
        <f>IF(Table1134[[#This Row],[Account]]&lt;&gt;"",J75+L75-$N$7,"")</f>
        <v/>
      </c>
      <c r="N75" s="19" t="str">
        <f>IF(Table1134[[#This Row],[Account]]&lt;&gt;"",IF(Table1134[[#This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IF(Table1134[[#This Row],[Account]]&lt;&gt;"",$N$8,"")</f>
        <v/>
      </c>
      <c r="M76" s="24" t="str">
        <f>IF(Table1134[[#This Row],[Account]]&lt;&gt;"",J76+L76-$N$7,"")</f>
        <v/>
      </c>
      <c r="N76" s="25" t="str">
        <f>IF(Table1134[[#This Row],[Account]]&lt;&gt;"",IF(Table1134[[#This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IF(Table1134[[#This Row],[Account]]&lt;&gt;"",$N$8,"")</f>
        <v/>
      </c>
      <c r="M77" s="18" t="str">
        <f>IF(Table1134[[#This Row],[Account]]&lt;&gt;"",J77+L77-$N$7,"")</f>
        <v/>
      </c>
      <c r="N77" s="19" t="str">
        <f>IF(Table1134[[#This Row],[Account]]&lt;&gt;"",IF(Table1134[[#This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IF(Table1134[[#This Row],[Account]]&lt;&gt;"",$N$8,"")</f>
        <v/>
      </c>
      <c r="M78" s="24" t="str">
        <f>IF(Table1134[[#This Row],[Account]]&lt;&gt;"",J78+L78-$N$7,"")</f>
        <v/>
      </c>
      <c r="N78" s="25" t="str">
        <f>IF(Table1134[[#This Row],[Account]]&lt;&gt;"",IF(Table1134[[#This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IF(Table1134[[#This Row],[Account]]&lt;&gt;"",$N$8,"")</f>
        <v/>
      </c>
      <c r="M79" s="18" t="str">
        <f>IF(Table1134[[#This Row],[Account]]&lt;&gt;"",J79+L79-$N$7,"")</f>
        <v/>
      </c>
      <c r="N79" s="19" t="str">
        <f>IF(Table1134[[#This Row],[Account]]&lt;&gt;"",IF(Table1134[[#This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IF(Table1134[[#This Row],[Account]]&lt;&gt;"",$N$8,"")</f>
        <v/>
      </c>
      <c r="M80" s="24" t="str">
        <f>IF(Table1134[[#This Row],[Account]]&lt;&gt;"",J80+L80-$N$7,"")</f>
        <v/>
      </c>
      <c r="N80" s="25" t="str">
        <f>IF(Table1134[[#This Row],[Account]]&lt;&gt;"",IF(Table1134[[#This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IF(Table1134[[#This Row],[Account]]&lt;&gt;"",$N$8,"")</f>
        <v/>
      </c>
      <c r="M81" s="18" t="str">
        <f>IF(Table1134[[#This Row],[Account]]&lt;&gt;"",J81+L81-$N$7,"")</f>
        <v/>
      </c>
      <c r="N81" s="19" t="str">
        <f>IF(Table1134[[#This Row],[Account]]&lt;&gt;"",IF(Table1134[[#This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IF(Table1134[[#This Row],[Account]]&lt;&gt;"",$N$8,"")</f>
        <v/>
      </c>
      <c r="M82" s="24" t="str">
        <f>IF(Table1134[[#This Row],[Account]]&lt;&gt;"",J82+L82-$N$7,"")</f>
        <v/>
      </c>
      <c r="N82" s="25" t="str">
        <f>IF(Table1134[[#This Row],[Account]]&lt;&gt;"",IF(Table1134[[#This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IF(Table1134[[#This Row],[Account]]&lt;&gt;"",$N$8,"")</f>
        <v/>
      </c>
      <c r="M83" s="18" t="str">
        <f>IF(Table1134[[#This Row],[Account]]&lt;&gt;"",J83+L83-$N$7,"")</f>
        <v/>
      </c>
      <c r="N83" s="19" t="str">
        <f>IF(Table1134[[#This Row],[Account]]&lt;&gt;"",IF(Table1134[[#This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IF(Table1134[[#This Row],[Account]]&lt;&gt;"",$N$8,"")</f>
        <v/>
      </c>
      <c r="M84" s="24" t="str">
        <f>IF(Table1134[[#This Row],[Account]]&lt;&gt;"",J84+L84-$N$7,"")</f>
        <v/>
      </c>
      <c r="N84" s="25" t="str">
        <f>IF(Table1134[[#This Row],[Account]]&lt;&gt;"",IF(Table1134[[#This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IF(Table1134[[#This Row],[Account]]&lt;&gt;"",$N$8,"")</f>
        <v/>
      </c>
      <c r="M85" s="18" t="str">
        <f>IF(Table1134[[#This Row],[Account]]&lt;&gt;"",J85+L85-$N$7,"")</f>
        <v/>
      </c>
      <c r="N85" s="19" t="str">
        <f>IF(Table1134[[#This Row],[Account]]&lt;&gt;"",IF(Table1134[[#This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IF(Table1134[[#This Row],[Account]]&lt;&gt;"",$N$8,"")</f>
        <v/>
      </c>
      <c r="M86" s="24" t="str">
        <f>IF(Table1134[[#This Row],[Account]]&lt;&gt;"",J86+L86-$N$7,"")</f>
        <v/>
      </c>
      <c r="N86" s="25" t="str">
        <f>IF(Table1134[[#This Row],[Account]]&lt;&gt;"",IF(Table1134[[#This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IF(Table1134[[#This Row],[Account]]&lt;&gt;"",$N$8,"")</f>
        <v/>
      </c>
      <c r="M87" s="18" t="str">
        <f>IF(Table1134[[#This Row],[Account]]&lt;&gt;"",J87+L87-$N$7,"")</f>
        <v/>
      </c>
      <c r="N87" s="19" t="str">
        <f>IF(Table1134[[#This Row],[Account]]&lt;&gt;"",IF(Table1134[[#This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IF(Table1134[[#This Row],[Account]]&lt;&gt;"",$N$8,"")</f>
        <v/>
      </c>
      <c r="M88" s="24" t="str">
        <f>IF(Table1134[[#This Row],[Account]]&lt;&gt;"",J88+L88-$N$7,"")</f>
        <v/>
      </c>
      <c r="N88" s="25" t="str">
        <f>IF(Table1134[[#This Row],[Account]]&lt;&gt;"",IF(Table1134[[#This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IF(Table1134[[#This Row],[Account]]&lt;&gt;"",$N$8,"")</f>
        <v/>
      </c>
      <c r="M89" s="18" t="str">
        <f>IF(Table1134[[#This Row],[Account]]&lt;&gt;"",J89+L89-$N$7,"")</f>
        <v/>
      </c>
      <c r="N89" s="19" t="str">
        <f>IF(Table1134[[#This Row],[Account]]&lt;&gt;"",IF(Table1134[[#This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IF(Table1134[[#This Row],[Account]]&lt;&gt;"",$N$8,"")</f>
        <v/>
      </c>
      <c r="M90" s="24" t="str">
        <f>IF(Table1134[[#This Row],[Account]]&lt;&gt;"",J90+L90-$N$7,"")</f>
        <v/>
      </c>
      <c r="N90" s="25" t="str">
        <f>IF(Table1134[[#This Row],[Account]]&lt;&gt;"",IF(Table1134[[#This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IF(Table1134[[#This Row],[Account]]&lt;&gt;"",$N$8,"")</f>
        <v/>
      </c>
      <c r="M91" s="18" t="str">
        <f>IF(Table1134[[#This Row],[Account]]&lt;&gt;"",J91+L91-$N$7,"")</f>
        <v/>
      </c>
      <c r="N91" s="19" t="str">
        <f>IF(Table1134[[#This Row],[Account]]&lt;&gt;"",IF(Table1134[[#This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IF(Table1134[[#This Row],[Account]]&lt;&gt;"",$N$8,"")</f>
        <v/>
      </c>
      <c r="M92" s="24" t="str">
        <f>IF(Table1134[[#This Row],[Account]]&lt;&gt;"",J92+L92-$N$7,"")</f>
        <v/>
      </c>
      <c r="N92" s="25" t="str">
        <f>IF(Table1134[[#This Row],[Account]]&lt;&gt;"",IF(Table1134[[#This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IF(Table1134[[#This Row],[Account]]&lt;&gt;"",$N$8,"")</f>
        <v/>
      </c>
      <c r="M93" s="18" t="str">
        <f>IF(Table1134[[#This Row],[Account]]&lt;&gt;"",J93+L93-$N$7,"")</f>
        <v/>
      </c>
      <c r="N93" s="19" t="str">
        <f>IF(Table1134[[#This Row],[Account]]&lt;&gt;"",IF(Table1134[[#This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IF(Table1134[[#This Row],[Account]]&lt;&gt;"",$N$8,"")</f>
        <v/>
      </c>
      <c r="M94" s="24" t="str">
        <f>IF(Table1134[[#This Row],[Account]]&lt;&gt;"",J94+L94-$N$7,"")</f>
        <v/>
      </c>
      <c r="N94" s="25" t="str">
        <f>IF(Table1134[[#This Row],[Account]]&lt;&gt;"",IF(Table1134[[#This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IF(Table1134[[#This Row],[Account]]&lt;&gt;"",$N$8,"")</f>
        <v/>
      </c>
      <c r="M95" s="18" t="str">
        <f>IF(Table1134[[#This Row],[Account]]&lt;&gt;"",J95+L95-$N$7,"")</f>
        <v/>
      </c>
      <c r="N95" s="19" t="str">
        <f>IF(Table1134[[#This Row],[Account]]&lt;&gt;"",IF(Table1134[[#This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IF(Table1134[[#This Row],[Account]]&lt;&gt;"",$N$8,"")</f>
        <v/>
      </c>
      <c r="M96" s="24" t="str">
        <f>IF(Table1134[[#This Row],[Account]]&lt;&gt;"",J96+L96-$N$7,"")</f>
        <v/>
      </c>
      <c r="N96" s="25" t="str">
        <f>IF(Table1134[[#This Row],[Account]]&lt;&gt;"",IF(Table1134[[#This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IF(Table1134[[#This Row],[Account]]&lt;&gt;"",$N$8,"")</f>
        <v/>
      </c>
      <c r="M97" s="18" t="str">
        <f>IF(Table1134[[#This Row],[Account]]&lt;&gt;"",J97+L97-$N$7,"")</f>
        <v/>
      </c>
      <c r="N97" s="19" t="str">
        <f>IF(Table1134[[#This Row],[Account]]&lt;&gt;"",IF(Table1134[[#This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IF(Table1134[[#This Row],[Account]]&lt;&gt;"",$N$8,"")</f>
        <v/>
      </c>
      <c r="M98" s="24" t="str">
        <f>IF(Table1134[[#This Row],[Account]]&lt;&gt;"",J98+L98-$N$7,"")</f>
        <v/>
      </c>
      <c r="N98" s="25" t="str">
        <f>IF(Table1134[[#This Row],[Account]]&lt;&gt;"",IF(Table1134[[#This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IF(Table1134[[#This Row],[Account]]&lt;&gt;"",$N$8,"")</f>
        <v/>
      </c>
      <c r="M99" s="18" t="str">
        <f>IF(Table1134[[#This Row],[Account]]&lt;&gt;"",J99+L99-$N$7,"")</f>
        <v/>
      </c>
      <c r="N99" s="19" t="str">
        <f>IF(Table1134[[#This Row],[Account]]&lt;&gt;"",IF(Table1134[[#This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IF(Table1134[[#This Row],[Account]]&lt;&gt;"",$N$8,"")</f>
        <v/>
      </c>
      <c r="M100" s="24" t="str">
        <f>IF(Table1134[[#This Row],[Account]]&lt;&gt;"",J100+L100-$N$7,"")</f>
        <v/>
      </c>
      <c r="N100" s="25" t="str">
        <f>IF(Table1134[[#This Row],[Account]]&lt;&gt;"",IF(Table1134[[#This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IF(Table1134[[#This Row],[Account]]&lt;&gt;"",$N$8,"")</f>
        <v/>
      </c>
      <c r="M101" s="18" t="str">
        <f>IF(Table1134[[#This Row],[Account]]&lt;&gt;"",J101+L101-$N$7,"")</f>
        <v/>
      </c>
      <c r="N101" s="19" t="str">
        <f>IF(Table1134[[#This Row],[Account]]&lt;&gt;"",IF(Table1134[[#This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IF(Table1134[[#This Row],[Account]]&lt;&gt;"",$N$8,"")</f>
        <v/>
      </c>
      <c r="M102" s="24" t="str">
        <f>IF(Table1134[[#This Row],[Account]]&lt;&gt;"",J102+L102-$N$7,"")</f>
        <v/>
      </c>
      <c r="N102" s="25" t="str">
        <f>IF(Table1134[[#This Row],[Account]]&lt;&gt;"",IF(Table1134[[#This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IF(Table1134[[#This Row],[Account]]&lt;&gt;"",$N$8,"")</f>
        <v/>
      </c>
      <c r="M103" s="18" t="str">
        <f>IF(Table1134[[#This Row],[Account]]&lt;&gt;"",J103+L103-$N$7,"")</f>
        <v/>
      </c>
      <c r="N103" s="19" t="str">
        <f>IF(Table1134[[#This Row],[Account]]&lt;&gt;"",IF(Table1134[[#This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IF(Table1134[[#This Row],[Account]]&lt;&gt;"",$N$8,"")</f>
        <v/>
      </c>
      <c r="M104" s="24" t="str">
        <f>IF(Table1134[[#This Row],[Account]]&lt;&gt;"",J104+L104-$N$7,"")</f>
        <v/>
      </c>
      <c r="N104" s="25" t="str">
        <f>IF(Table1134[[#This Row],[Account]]&lt;&gt;"",IF(Table1134[[#This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IF(Table1134[[#This Row],[Account]]&lt;&gt;"",$N$8,"")</f>
        <v/>
      </c>
      <c r="M105" s="18" t="str">
        <f>IF(Table1134[[#This Row],[Account]]&lt;&gt;"",J105+L105-$N$7,"")</f>
        <v/>
      </c>
      <c r="N105" s="19" t="str">
        <f>IF(Table1134[[#This Row],[Account]]&lt;&gt;"",IF(Table1134[[#This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IF(Table1134[[#This Row],[Account]]&lt;&gt;"",$N$8,"")</f>
        <v/>
      </c>
      <c r="M106" s="24" t="str">
        <f>IF(Table1134[[#This Row],[Account]]&lt;&gt;"",J106+L106-$N$7,"")</f>
        <v/>
      </c>
      <c r="N106" s="25" t="str">
        <f>IF(Table1134[[#This Row],[Account]]&lt;&gt;"",IF(Table1134[[#This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IF(Table1134[[#This Row],[Account]]&lt;&gt;"",$N$8,"")</f>
        <v/>
      </c>
      <c r="M107" s="18" t="str">
        <f>IF(Table1134[[#This Row],[Account]]&lt;&gt;"",J107+L107-$N$7,"")</f>
        <v/>
      </c>
      <c r="N107" s="19" t="str">
        <f>IF(Table1134[[#This Row],[Account]]&lt;&gt;"",IF(Table1134[[#This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IF(Table1134[[#This Row],[Account]]&lt;&gt;"",$N$8,"")</f>
        <v/>
      </c>
      <c r="M108" s="24" t="str">
        <f>IF(Table1134[[#This Row],[Account]]&lt;&gt;"",J108+L108-$N$7,"")</f>
        <v/>
      </c>
      <c r="N108" s="25" t="str">
        <f>IF(Table1134[[#This Row],[Account]]&lt;&gt;"",IF(Table1134[[#This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IF(Table1134[[#This Row],[Account]]&lt;&gt;"",$N$8,"")</f>
        <v/>
      </c>
      <c r="M109" s="18" t="str">
        <f>IF(Table1134[[#This Row],[Account]]&lt;&gt;"",J109+L109-$N$7,"")</f>
        <v/>
      </c>
      <c r="N109" s="19" t="str">
        <f>IF(Table1134[[#This Row],[Account]]&lt;&gt;"",IF(Table1134[[#This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IF(Table1134[[#This Row],[Account]]&lt;&gt;"",$N$8,"")</f>
        <v/>
      </c>
      <c r="M110" s="24" t="str">
        <f>IF(Table1134[[#This Row],[Account]]&lt;&gt;"",J110+L110-$N$7,"")</f>
        <v/>
      </c>
      <c r="N110" s="25" t="str">
        <f>IF(Table1134[[#This Row],[Account]]&lt;&gt;"",IF(Table1134[[#This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IF(Table1134[[#This Row],[Account]]&lt;&gt;"",$N$8,"")</f>
        <v/>
      </c>
      <c r="M111" s="18" t="str">
        <f>IF(Table1134[[#This Row],[Account]]&lt;&gt;"",J111+L111-$N$7,"")</f>
        <v/>
      </c>
      <c r="N111" s="19" t="str">
        <f>IF(Table1134[[#This Row],[Account]]&lt;&gt;"",IF(Table1134[[#This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IF(Table1134[[#This Row],[Account]]&lt;&gt;"",$N$8,"")</f>
        <v/>
      </c>
      <c r="M112" s="24" t="str">
        <f>IF(Table1134[[#This Row],[Account]]&lt;&gt;"",J112+L112-$N$7,"")</f>
        <v/>
      </c>
      <c r="N112" s="25" t="str">
        <f>IF(Table1134[[#This Row],[Account]]&lt;&gt;"",IF(Table1134[[#This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IF(Table1134[[#This Row],[Account]]&lt;&gt;"",$N$8,"")</f>
        <v/>
      </c>
      <c r="M113" s="18" t="str">
        <f>IF(Table1134[[#This Row],[Account]]&lt;&gt;"",J113+L113-$N$7,"")</f>
        <v/>
      </c>
      <c r="N113" s="19" t="str">
        <f>IF(Table1134[[#This Row],[Account]]&lt;&gt;"",IF(Table1134[[#This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919099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1825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1826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919099</v>
      </c>
      <c r="D15" s="15" t="s">
        <v>1827</v>
      </c>
      <c r="E15" s="15" t="s">
        <v>1828</v>
      </c>
      <c r="F15" s="14" t="s">
        <v>1829</v>
      </c>
      <c r="G15" s="17">
        <v>43181</v>
      </c>
      <c r="H15" s="14">
        <v>9007487142</v>
      </c>
      <c r="I15" s="16">
        <v>7300</v>
      </c>
      <c r="J15" s="17">
        <v>43181</v>
      </c>
      <c r="K15" s="17">
        <v>43211</v>
      </c>
      <c r="L15" s="14">
        <f>IF(Table1133[[#This Row],[Account]]&lt;&gt;"",$N$8,"")</f>
        <v>0</v>
      </c>
      <c r="M15" s="105">
        <f>IF(Table1133[[#This Row],[Account]]&lt;&gt;"",J15+L15-$N$7,"")</f>
        <v>-355</v>
      </c>
      <c r="N15" s="74" t="str">
        <f>IF(Table1133[[#This Row],[Account]]&lt;&gt;"",IF(Table1133[[#This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7300</v>
      </c>
    </row>
    <row r="17" spans="2:17" ht="15.75" thickBot="1" x14ac:dyDescent="0.3">
      <c r="G17" s="30" t="s">
        <v>21</v>
      </c>
      <c r="H17" s="31"/>
      <c r="I17" s="32">
        <f>SUM(I15:I15)</f>
        <v>7300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7300</v>
      </c>
      <c r="J22" s="41">
        <f>SUM(D22:I22)</f>
        <v>7300</v>
      </c>
      <c r="K22" s="42">
        <f>SUM(H22:I22)</f>
        <v>7300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918725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1820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1821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918725</v>
      </c>
      <c r="D15" s="15" t="s">
        <v>1822</v>
      </c>
      <c r="E15" s="15" t="s">
        <v>1823</v>
      </c>
      <c r="F15" s="14" t="s">
        <v>1824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IF(Table1132[[#This Row],[Account]]&lt;&gt;"",$N$8,"")</f>
        <v>0</v>
      </c>
      <c r="M15" s="105">
        <f>IF(Table1132[[#This Row],[Account]]&lt;&gt;"",J15+L15-$N$7,"")</f>
        <v>-239</v>
      </c>
      <c r="N15" s="74" t="str">
        <f>IF(Table1132[[#This Row],[Account]]&lt;&gt;"",IF(Table1132[[#This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IF(Table1132[[#This Row],[Account]]&lt;&gt;"",$N$8,"")</f>
        <v/>
      </c>
      <c r="M16" s="24" t="str">
        <f>IF(Table1132[[#This Row],[Account]]&lt;&gt;"",J16+L16-$N$7,"")</f>
        <v/>
      </c>
      <c r="N16" s="25" t="str">
        <f>IF(Table1132[[#This Row],[Account]]&lt;&gt;"",IF(Table1132[[#This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IF(Table1132[[#This Row],[Account]]&lt;&gt;"",$N$8,"")</f>
        <v/>
      </c>
      <c r="M17" s="18" t="str">
        <f>IF(Table1132[[#This Row],[Account]]&lt;&gt;"",J17+L17-$N$7,"")</f>
        <v/>
      </c>
      <c r="N17" s="19" t="str">
        <f>IF(Table1132[[#This Row],[Account]]&lt;&gt;"",IF(Table1132[[#This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IF(Table1132[[#This Row],[Account]]&lt;&gt;"",$N$8,"")</f>
        <v/>
      </c>
      <c r="M18" s="24" t="str">
        <f>IF(Table1132[[#This Row],[Account]]&lt;&gt;"",J18+L18-$N$7,"")</f>
        <v/>
      </c>
      <c r="N18" s="25" t="str">
        <f>IF(Table1132[[#This Row],[Account]]&lt;&gt;"",IF(Table1132[[#This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IF(Table1132[[#This Row],[Account]]&lt;&gt;"",$N$8,"")</f>
        <v/>
      </c>
      <c r="M19" s="18" t="str">
        <f>IF(Table1132[[#This Row],[Account]]&lt;&gt;"",J19+L19-$N$7,"")</f>
        <v/>
      </c>
      <c r="N19" s="19" t="str">
        <f>IF(Table1132[[#This Row],[Account]]&lt;&gt;"",IF(Table1132[[#This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IF(Table1132[[#This Row],[Account]]&lt;&gt;"",$N$8,"")</f>
        <v/>
      </c>
      <c r="M20" s="24" t="str">
        <f>IF(Table1132[[#This Row],[Account]]&lt;&gt;"",J20+L20-$N$7,"")</f>
        <v/>
      </c>
      <c r="N20" s="25" t="str">
        <f>IF(Table1132[[#This Row],[Account]]&lt;&gt;"",IF(Table1132[[#This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IF(Table1132[[#This Row],[Account]]&lt;&gt;"",$N$8,"")</f>
        <v/>
      </c>
      <c r="M21" s="18" t="str">
        <f>IF(Table1132[[#This Row],[Account]]&lt;&gt;"",J21+L21-$N$7,"")</f>
        <v/>
      </c>
      <c r="N21" s="19" t="str">
        <f>IF(Table1132[[#This Row],[Account]]&lt;&gt;"",IF(Table1132[[#This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IF(Table1132[[#This Row],[Account]]&lt;&gt;"",$N$8,"")</f>
        <v/>
      </c>
      <c r="M22" s="24" t="str">
        <f>IF(Table1132[[#This Row],[Account]]&lt;&gt;"",J22+L22-$N$7,"")</f>
        <v/>
      </c>
      <c r="N22" s="25" t="str">
        <f>IF(Table1132[[#This Row],[Account]]&lt;&gt;"",IF(Table1132[[#This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IF(Table1132[[#This Row],[Account]]&lt;&gt;"",$N$8,"")</f>
        <v/>
      </c>
      <c r="M23" s="18" t="str">
        <f>IF(Table1132[[#This Row],[Account]]&lt;&gt;"",J23+L23-$N$7,"")</f>
        <v/>
      </c>
      <c r="N23" s="19" t="str">
        <f>IF(Table1132[[#This Row],[Account]]&lt;&gt;"",IF(Table1132[[#This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IF(Table1132[[#This Row],[Account]]&lt;&gt;"",$N$8,"")</f>
        <v/>
      </c>
      <c r="M24" s="24" t="str">
        <f>IF(Table1132[[#This Row],[Account]]&lt;&gt;"",J24+L24-$N$7,"")</f>
        <v/>
      </c>
      <c r="N24" s="25" t="str">
        <f>IF(Table1132[[#This Row],[Account]]&lt;&gt;"",IF(Table1132[[#This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IF(Table1132[[#This Row],[Account]]&lt;&gt;"",$N$8,"")</f>
        <v/>
      </c>
      <c r="M25" s="18" t="str">
        <f>IF(Table1132[[#This Row],[Account]]&lt;&gt;"",J25+L25-$N$7,"")</f>
        <v/>
      </c>
      <c r="N25" s="19" t="str">
        <f>IF(Table1132[[#This Row],[Account]]&lt;&gt;"",IF(Table1132[[#This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IF(Table1132[[#This Row],[Account]]&lt;&gt;"",$N$8,"")</f>
        <v/>
      </c>
      <c r="M26" s="24" t="str">
        <f>IF(Table1132[[#This Row],[Account]]&lt;&gt;"",J26+L26-$N$7,"")</f>
        <v/>
      </c>
      <c r="N26" s="25" t="str">
        <f>IF(Table1132[[#This Row],[Account]]&lt;&gt;"",IF(Table1132[[#This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IF(Table1132[[#This Row],[Account]]&lt;&gt;"",$N$8,"")</f>
        <v/>
      </c>
      <c r="M27" s="18" t="str">
        <f>IF(Table1132[[#This Row],[Account]]&lt;&gt;"",J27+L27-$N$7,"")</f>
        <v/>
      </c>
      <c r="N27" s="19" t="str">
        <f>IF(Table1132[[#This Row],[Account]]&lt;&gt;"",IF(Table1132[[#This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IF(Table1132[[#This Row],[Account]]&lt;&gt;"",$N$8,"")</f>
        <v/>
      </c>
      <c r="M28" s="24" t="str">
        <f>IF(Table1132[[#This Row],[Account]]&lt;&gt;"",J28+L28-$N$7,"")</f>
        <v/>
      </c>
      <c r="N28" s="25" t="str">
        <f>IF(Table1132[[#This Row],[Account]]&lt;&gt;"",IF(Table1132[[#This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IF(Table1132[[#This Row],[Account]]&lt;&gt;"",$N$8,"")</f>
        <v/>
      </c>
      <c r="M29" s="18" t="str">
        <f>IF(Table1132[[#This Row],[Account]]&lt;&gt;"",J29+L29-$N$7,"")</f>
        <v/>
      </c>
      <c r="N29" s="19" t="str">
        <f>IF(Table1132[[#This Row],[Account]]&lt;&gt;"",IF(Table1132[[#This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IF(Table1132[[#This Row],[Account]]&lt;&gt;"",$N$8,"")</f>
        <v/>
      </c>
      <c r="M30" s="24" t="str">
        <f>IF(Table1132[[#This Row],[Account]]&lt;&gt;"",J30+L30-$N$7,"")</f>
        <v/>
      </c>
      <c r="N30" s="25" t="str">
        <f>IF(Table1132[[#This Row],[Account]]&lt;&gt;"",IF(Table1132[[#This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IF(Table1132[[#This Row],[Account]]&lt;&gt;"",$N$8,"")</f>
        <v/>
      </c>
      <c r="M31" s="18" t="str">
        <f>IF(Table1132[[#This Row],[Account]]&lt;&gt;"",J31+L31-$N$7,"")</f>
        <v/>
      </c>
      <c r="N31" s="19" t="str">
        <f>IF(Table1132[[#This Row],[Account]]&lt;&gt;"",IF(Table1132[[#This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IF(Table1132[[#This Row],[Account]]&lt;&gt;"",$N$8,"")</f>
        <v/>
      </c>
      <c r="M32" s="24" t="str">
        <f>IF(Table1132[[#This Row],[Account]]&lt;&gt;"",J32+L32-$N$7,"")</f>
        <v/>
      </c>
      <c r="N32" s="25" t="str">
        <f>IF(Table1132[[#This Row],[Account]]&lt;&gt;"",IF(Table1132[[#This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IF(Table1132[[#This Row],[Account]]&lt;&gt;"",$N$8,"")</f>
        <v/>
      </c>
      <c r="M33" s="18" t="str">
        <f>IF(Table1132[[#This Row],[Account]]&lt;&gt;"",J33+L33-$N$7,"")</f>
        <v/>
      </c>
      <c r="N33" s="19" t="str">
        <f>IF(Table1132[[#This Row],[Account]]&lt;&gt;"",IF(Table1132[[#This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IF(Table1132[[#This Row],[Account]]&lt;&gt;"",$N$8,"")</f>
        <v/>
      </c>
      <c r="M34" s="24" t="str">
        <f>IF(Table1132[[#This Row],[Account]]&lt;&gt;"",J34+L34-$N$7,"")</f>
        <v/>
      </c>
      <c r="N34" s="25" t="str">
        <f>IF(Table1132[[#This Row],[Account]]&lt;&gt;"",IF(Table1132[[#This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IF(Table1132[[#This Row],[Account]]&lt;&gt;"",$N$8,"")</f>
        <v/>
      </c>
      <c r="M35" s="18" t="str">
        <f>IF(Table1132[[#This Row],[Account]]&lt;&gt;"",J35+L35-$N$7,"")</f>
        <v/>
      </c>
      <c r="N35" s="19" t="str">
        <f>IF(Table1132[[#This Row],[Account]]&lt;&gt;"",IF(Table1132[[#This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IF(Table1132[[#This Row],[Account]]&lt;&gt;"",$N$8,"")</f>
        <v/>
      </c>
      <c r="M36" s="24" t="str">
        <f>IF(Table1132[[#This Row],[Account]]&lt;&gt;"",J36+L36-$N$7,"")</f>
        <v/>
      </c>
      <c r="N36" s="25" t="str">
        <f>IF(Table1132[[#This Row],[Account]]&lt;&gt;"",IF(Table1132[[#This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IF(Table1132[[#This Row],[Account]]&lt;&gt;"",$N$8,"")</f>
        <v/>
      </c>
      <c r="M37" s="18" t="str">
        <f>IF(Table1132[[#This Row],[Account]]&lt;&gt;"",J37+L37-$N$7,"")</f>
        <v/>
      </c>
      <c r="N37" s="19" t="str">
        <f>IF(Table1132[[#This Row],[Account]]&lt;&gt;"",IF(Table1132[[#This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IF(Table1132[[#This Row],[Account]]&lt;&gt;"",$N$8,"")</f>
        <v/>
      </c>
      <c r="M38" s="24" t="str">
        <f>IF(Table1132[[#This Row],[Account]]&lt;&gt;"",J38+L38-$N$7,"")</f>
        <v/>
      </c>
      <c r="N38" s="25" t="str">
        <f>IF(Table1132[[#This Row],[Account]]&lt;&gt;"",IF(Table1132[[#This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IF(Table1132[[#This Row],[Account]]&lt;&gt;"",$N$8,"")</f>
        <v/>
      </c>
      <c r="M39" s="18" t="str">
        <f>IF(Table1132[[#This Row],[Account]]&lt;&gt;"",J39+L39-$N$7,"")</f>
        <v/>
      </c>
      <c r="N39" s="19" t="str">
        <f>IF(Table1132[[#This Row],[Account]]&lt;&gt;"",IF(Table1132[[#This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IF(Table1132[[#This Row],[Account]]&lt;&gt;"",$N$8,"")</f>
        <v/>
      </c>
      <c r="M40" s="24" t="str">
        <f>IF(Table1132[[#This Row],[Account]]&lt;&gt;"",J40+L40-$N$7,"")</f>
        <v/>
      </c>
      <c r="N40" s="25" t="str">
        <f>IF(Table1132[[#This Row],[Account]]&lt;&gt;"",IF(Table1132[[#This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IF(Table1132[[#This Row],[Account]]&lt;&gt;"",$N$8,"")</f>
        <v/>
      </c>
      <c r="M41" s="18" t="str">
        <f>IF(Table1132[[#This Row],[Account]]&lt;&gt;"",J41+L41-$N$7,"")</f>
        <v/>
      </c>
      <c r="N41" s="19" t="str">
        <f>IF(Table1132[[#This Row],[Account]]&lt;&gt;"",IF(Table1132[[#This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IF(Table1132[[#This Row],[Account]]&lt;&gt;"",$N$8,"")</f>
        <v/>
      </c>
      <c r="M42" s="24" t="str">
        <f>IF(Table1132[[#This Row],[Account]]&lt;&gt;"",J42+L42-$N$7,"")</f>
        <v/>
      </c>
      <c r="N42" s="25" t="str">
        <f>IF(Table1132[[#This Row],[Account]]&lt;&gt;"",IF(Table1132[[#This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IF(Table1132[[#This Row],[Account]]&lt;&gt;"",$N$8,"")</f>
        <v/>
      </c>
      <c r="M43" s="18" t="str">
        <f>IF(Table1132[[#This Row],[Account]]&lt;&gt;"",J43+L43-$N$7,"")</f>
        <v/>
      </c>
      <c r="N43" s="19" t="str">
        <f>IF(Table1132[[#This Row],[Account]]&lt;&gt;"",IF(Table1132[[#This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IF(Table1132[[#This Row],[Account]]&lt;&gt;"",$N$8,"")</f>
        <v/>
      </c>
      <c r="M44" s="24" t="str">
        <f>IF(Table1132[[#This Row],[Account]]&lt;&gt;"",J44+L44-$N$7,"")</f>
        <v/>
      </c>
      <c r="N44" s="25" t="str">
        <f>IF(Table1132[[#This Row],[Account]]&lt;&gt;"",IF(Table1132[[#This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IF(Table1132[[#This Row],[Account]]&lt;&gt;"",$N$8,"")</f>
        <v/>
      </c>
      <c r="M45" s="18" t="str">
        <f>IF(Table1132[[#This Row],[Account]]&lt;&gt;"",J45+L45-$N$7,"")</f>
        <v/>
      </c>
      <c r="N45" s="19" t="str">
        <f>IF(Table1132[[#This Row],[Account]]&lt;&gt;"",IF(Table1132[[#This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IF(Table1132[[#This Row],[Account]]&lt;&gt;"",$N$8,"")</f>
        <v/>
      </c>
      <c r="M46" s="24" t="str">
        <f>IF(Table1132[[#This Row],[Account]]&lt;&gt;"",J46+L46-$N$7,"")</f>
        <v/>
      </c>
      <c r="N46" s="25" t="str">
        <f>IF(Table1132[[#This Row],[Account]]&lt;&gt;"",IF(Table1132[[#This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IF(Table1132[[#This Row],[Account]]&lt;&gt;"",$N$8,"")</f>
        <v/>
      </c>
      <c r="M47" s="18" t="str">
        <f>IF(Table1132[[#This Row],[Account]]&lt;&gt;"",J47+L47-$N$7,"")</f>
        <v/>
      </c>
      <c r="N47" s="19" t="str">
        <f>IF(Table1132[[#This Row],[Account]]&lt;&gt;"",IF(Table1132[[#This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IF(Table1132[[#This Row],[Account]]&lt;&gt;"",$N$8,"")</f>
        <v/>
      </c>
      <c r="M48" s="24" t="str">
        <f>IF(Table1132[[#This Row],[Account]]&lt;&gt;"",J48+L48-$N$7,"")</f>
        <v/>
      </c>
      <c r="N48" s="25" t="str">
        <f>IF(Table1132[[#This Row],[Account]]&lt;&gt;"",IF(Table1132[[#This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IF(Table1132[[#This Row],[Account]]&lt;&gt;"",$N$8,"")</f>
        <v/>
      </c>
      <c r="M49" s="18" t="str">
        <f>IF(Table1132[[#This Row],[Account]]&lt;&gt;"",J49+L49-$N$7,"")</f>
        <v/>
      </c>
      <c r="N49" s="19" t="str">
        <f>IF(Table1132[[#This Row],[Account]]&lt;&gt;"",IF(Table1132[[#This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IF(Table1132[[#This Row],[Account]]&lt;&gt;"",$N$8,"")</f>
        <v/>
      </c>
      <c r="M50" s="24" t="str">
        <f>IF(Table1132[[#This Row],[Account]]&lt;&gt;"",J50+L50-$N$7,"")</f>
        <v/>
      </c>
      <c r="N50" s="25" t="str">
        <f>IF(Table1132[[#This Row],[Account]]&lt;&gt;"",IF(Table1132[[#This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IF(Table1132[[#This Row],[Account]]&lt;&gt;"",$N$8,"")</f>
        <v/>
      </c>
      <c r="M51" s="18" t="str">
        <f>IF(Table1132[[#This Row],[Account]]&lt;&gt;"",J51+L51-$N$7,"")</f>
        <v/>
      </c>
      <c r="N51" s="19" t="str">
        <f>IF(Table1132[[#This Row],[Account]]&lt;&gt;"",IF(Table1132[[#This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IF(Table1132[[#This Row],[Account]]&lt;&gt;"",$N$8,"")</f>
        <v/>
      </c>
      <c r="M52" s="24" t="str">
        <f>IF(Table1132[[#This Row],[Account]]&lt;&gt;"",J52+L52-$N$7,"")</f>
        <v/>
      </c>
      <c r="N52" s="25" t="str">
        <f>IF(Table1132[[#This Row],[Account]]&lt;&gt;"",IF(Table1132[[#This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IF(Table1132[[#This Row],[Account]]&lt;&gt;"",$N$8,"")</f>
        <v/>
      </c>
      <c r="M53" s="18" t="str">
        <f>IF(Table1132[[#This Row],[Account]]&lt;&gt;"",J53+L53-$N$7,"")</f>
        <v/>
      </c>
      <c r="N53" s="19" t="str">
        <f>IF(Table1132[[#This Row],[Account]]&lt;&gt;"",IF(Table1132[[#This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IF(Table1132[[#This Row],[Account]]&lt;&gt;"",$N$8,"")</f>
        <v/>
      </c>
      <c r="M54" s="24" t="str">
        <f>IF(Table1132[[#This Row],[Account]]&lt;&gt;"",J54+L54-$N$7,"")</f>
        <v/>
      </c>
      <c r="N54" s="25" t="str">
        <f>IF(Table1132[[#This Row],[Account]]&lt;&gt;"",IF(Table1132[[#This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IF(Table1132[[#This Row],[Account]]&lt;&gt;"",$N$8,"")</f>
        <v/>
      </c>
      <c r="M55" s="18" t="str">
        <f>IF(Table1132[[#This Row],[Account]]&lt;&gt;"",J55+L55-$N$7,"")</f>
        <v/>
      </c>
      <c r="N55" s="19" t="str">
        <f>IF(Table1132[[#This Row],[Account]]&lt;&gt;"",IF(Table1132[[#This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IF(Table1132[[#This Row],[Account]]&lt;&gt;"",$N$8,"")</f>
        <v/>
      </c>
      <c r="M56" s="24" t="str">
        <f>IF(Table1132[[#This Row],[Account]]&lt;&gt;"",J56+L56-$N$7,"")</f>
        <v/>
      </c>
      <c r="N56" s="25" t="str">
        <f>IF(Table1132[[#This Row],[Account]]&lt;&gt;"",IF(Table1132[[#This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IF(Table1132[[#This Row],[Account]]&lt;&gt;"",$N$8,"")</f>
        <v/>
      </c>
      <c r="M57" s="18" t="str">
        <f>IF(Table1132[[#This Row],[Account]]&lt;&gt;"",J57+L57-$N$7,"")</f>
        <v/>
      </c>
      <c r="N57" s="19" t="str">
        <f>IF(Table1132[[#This Row],[Account]]&lt;&gt;"",IF(Table1132[[#This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IF(Table1132[[#This Row],[Account]]&lt;&gt;"",$N$8,"")</f>
        <v/>
      </c>
      <c r="M58" s="24" t="str">
        <f>IF(Table1132[[#This Row],[Account]]&lt;&gt;"",J58+L58-$N$7,"")</f>
        <v/>
      </c>
      <c r="N58" s="25" t="str">
        <f>IF(Table1132[[#This Row],[Account]]&lt;&gt;"",IF(Table1132[[#This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IF(Table1132[[#This Row],[Account]]&lt;&gt;"",$N$8,"")</f>
        <v/>
      </c>
      <c r="M59" s="18" t="str">
        <f>IF(Table1132[[#This Row],[Account]]&lt;&gt;"",J59+L59-$N$7,"")</f>
        <v/>
      </c>
      <c r="N59" s="19" t="str">
        <f>IF(Table1132[[#This Row],[Account]]&lt;&gt;"",IF(Table1132[[#This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IF(Table1132[[#This Row],[Account]]&lt;&gt;"",$N$8,"")</f>
        <v/>
      </c>
      <c r="M60" s="24" t="str">
        <f>IF(Table1132[[#This Row],[Account]]&lt;&gt;"",J60+L60-$N$7,"")</f>
        <v/>
      </c>
      <c r="N60" s="25" t="str">
        <f>IF(Table1132[[#This Row],[Account]]&lt;&gt;"",IF(Table1132[[#This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IF(Table1132[[#This Row],[Account]]&lt;&gt;"",$N$8,"")</f>
        <v/>
      </c>
      <c r="M61" s="18" t="str">
        <f>IF(Table1132[[#This Row],[Account]]&lt;&gt;"",J61+L61-$N$7,"")</f>
        <v/>
      </c>
      <c r="N61" s="19" t="str">
        <f>IF(Table1132[[#This Row],[Account]]&lt;&gt;"",IF(Table1132[[#This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IF(Table1132[[#This Row],[Account]]&lt;&gt;"",$N$8,"")</f>
        <v/>
      </c>
      <c r="M62" s="24" t="str">
        <f>IF(Table1132[[#This Row],[Account]]&lt;&gt;"",J62+L62-$N$7,"")</f>
        <v/>
      </c>
      <c r="N62" s="25" t="str">
        <f>IF(Table1132[[#This Row],[Account]]&lt;&gt;"",IF(Table1132[[#This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IF(Table1132[[#This Row],[Account]]&lt;&gt;"",$N$8,"")</f>
        <v/>
      </c>
      <c r="M63" s="18" t="str">
        <f>IF(Table1132[[#This Row],[Account]]&lt;&gt;"",J63+L63-$N$7,"")</f>
        <v/>
      </c>
      <c r="N63" s="19" t="str">
        <f>IF(Table1132[[#This Row],[Account]]&lt;&gt;"",IF(Table1132[[#This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IF(Table1132[[#This Row],[Account]]&lt;&gt;"",$N$8,"")</f>
        <v/>
      </c>
      <c r="M64" s="24" t="str">
        <f>IF(Table1132[[#This Row],[Account]]&lt;&gt;"",J64+L64-$N$7,"")</f>
        <v/>
      </c>
      <c r="N64" s="25" t="str">
        <f>IF(Table1132[[#This Row],[Account]]&lt;&gt;"",IF(Table1132[[#This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IF(Table1132[[#This Row],[Account]]&lt;&gt;"",$N$8,"")</f>
        <v/>
      </c>
      <c r="M65" s="18" t="str">
        <f>IF(Table1132[[#This Row],[Account]]&lt;&gt;"",J65+L65-$N$7,"")</f>
        <v/>
      </c>
      <c r="N65" s="19" t="str">
        <f>IF(Table1132[[#This Row],[Account]]&lt;&gt;"",IF(Table1132[[#This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IF(Table1132[[#This Row],[Account]]&lt;&gt;"",$N$8,"")</f>
        <v/>
      </c>
      <c r="M66" s="24" t="str">
        <f>IF(Table1132[[#This Row],[Account]]&lt;&gt;"",J66+L66-$N$7,"")</f>
        <v/>
      </c>
      <c r="N66" s="25" t="str">
        <f>IF(Table1132[[#This Row],[Account]]&lt;&gt;"",IF(Table1132[[#This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IF(Table1132[[#This Row],[Account]]&lt;&gt;"",$N$8,"")</f>
        <v/>
      </c>
      <c r="M67" s="18" t="str">
        <f>IF(Table1132[[#This Row],[Account]]&lt;&gt;"",J67+L67-$N$7,"")</f>
        <v/>
      </c>
      <c r="N67" s="19" t="str">
        <f>IF(Table1132[[#This Row],[Account]]&lt;&gt;"",IF(Table1132[[#This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IF(Table1132[[#This Row],[Account]]&lt;&gt;"",$N$8,"")</f>
        <v/>
      </c>
      <c r="M68" s="24" t="str">
        <f>IF(Table1132[[#This Row],[Account]]&lt;&gt;"",J68+L68-$N$7,"")</f>
        <v/>
      </c>
      <c r="N68" s="25" t="str">
        <f>IF(Table1132[[#This Row],[Account]]&lt;&gt;"",IF(Table1132[[#This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IF(Table1132[[#This Row],[Account]]&lt;&gt;"",$N$8,"")</f>
        <v/>
      </c>
      <c r="M69" s="18" t="str">
        <f>IF(Table1132[[#This Row],[Account]]&lt;&gt;"",J69+L69-$N$7,"")</f>
        <v/>
      </c>
      <c r="N69" s="19" t="str">
        <f>IF(Table1132[[#This Row],[Account]]&lt;&gt;"",IF(Table1132[[#This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IF(Table1132[[#This Row],[Account]]&lt;&gt;"",$N$8,"")</f>
        <v/>
      </c>
      <c r="M70" s="24" t="str">
        <f>IF(Table1132[[#This Row],[Account]]&lt;&gt;"",J70+L70-$N$7,"")</f>
        <v/>
      </c>
      <c r="N70" s="25" t="str">
        <f>IF(Table1132[[#This Row],[Account]]&lt;&gt;"",IF(Table1132[[#This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IF(Table1132[[#This Row],[Account]]&lt;&gt;"",$N$8,"")</f>
        <v/>
      </c>
      <c r="M71" s="18" t="str">
        <f>IF(Table1132[[#This Row],[Account]]&lt;&gt;"",J71+L71-$N$7,"")</f>
        <v/>
      </c>
      <c r="N71" s="19" t="str">
        <f>IF(Table1132[[#This Row],[Account]]&lt;&gt;"",IF(Table1132[[#This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IF(Table1132[[#This Row],[Account]]&lt;&gt;"",$N$8,"")</f>
        <v/>
      </c>
      <c r="M72" s="24" t="str">
        <f>IF(Table1132[[#This Row],[Account]]&lt;&gt;"",J72+L72-$N$7,"")</f>
        <v/>
      </c>
      <c r="N72" s="25" t="str">
        <f>IF(Table1132[[#This Row],[Account]]&lt;&gt;"",IF(Table1132[[#This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IF(Table1132[[#This Row],[Account]]&lt;&gt;"",$N$8,"")</f>
        <v/>
      </c>
      <c r="M73" s="18" t="str">
        <f>IF(Table1132[[#This Row],[Account]]&lt;&gt;"",J73+L73-$N$7,"")</f>
        <v/>
      </c>
      <c r="N73" s="19" t="str">
        <f>IF(Table1132[[#This Row],[Account]]&lt;&gt;"",IF(Table1132[[#This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IF(Table1132[[#This Row],[Account]]&lt;&gt;"",$N$8,"")</f>
        <v/>
      </c>
      <c r="M74" s="24" t="str">
        <f>IF(Table1132[[#This Row],[Account]]&lt;&gt;"",J74+L74-$N$7,"")</f>
        <v/>
      </c>
      <c r="N74" s="25" t="str">
        <f>IF(Table1132[[#This Row],[Account]]&lt;&gt;"",IF(Table1132[[#This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IF(Table1132[[#This Row],[Account]]&lt;&gt;"",$N$8,"")</f>
        <v/>
      </c>
      <c r="M75" s="18" t="str">
        <f>IF(Table1132[[#This Row],[Account]]&lt;&gt;"",J75+L75-$N$7,"")</f>
        <v/>
      </c>
      <c r="N75" s="19" t="str">
        <f>IF(Table1132[[#This Row],[Account]]&lt;&gt;"",IF(Table1132[[#This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IF(Table1132[[#This Row],[Account]]&lt;&gt;"",$N$8,"")</f>
        <v/>
      </c>
      <c r="M76" s="24" t="str">
        <f>IF(Table1132[[#This Row],[Account]]&lt;&gt;"",J76+L76-$N$7,"")</f>
        <v/>
      </c>
      <c r="N76" s="25" t="str">
        <f>IF(Table1132[[#This Row],[Account]]&lt;&gt;"",IF(Table1132[[#This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IF(Table1132[[#This Row],[Account]]&lt;&gt;"",$N$8,"")</f>
        <v/>
      </c>
      <c r="M77" s="18" t="str">
        <f>IF(Table1132[[#This Row],[Account]]&lt;&gt;"",J77+L77-$N$7,"")</f>
        <v/>
      </c>
      <c r="N77" s="19" t="str">
        <f>IF(Table1132[[#This Row],[Account]]&lt;&gt;"",IF(Table1132[[#This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IF(Table1132[[#This Row],[Account]]&lt;&gt;"",$N$8,"")</f>
        <v/>
      </c>
      <c r="M78" s="24" t="str">
        <f>IF(Table1132[[#This Row],[Account]]&lt;&gt;"",J78+L78-$N$7,"")</f>
        <v/>
      </c>
      <c r="N78" s="25" t="str">
        <f>IF(Table1132[[#This Row],[Account]]&lt;&gt;"",IF(Table1132[[#This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IF(Table1132[[#This Row],[Account]]&lt;&gt;"",$N$8,"")</f>
        <v/>
      </c>
      <c r="M79" s="18" t="str">
        <f>IF(Table1132[[#This Row],[Account]]&lt;&gt;"",J79+L79-$N$7,"")</f>
        <v/>
      </c>
      <c r="N79" s="19" t="str">
        <f>IF(Table1132[[#This Row],[Account]]&lt;&gt;"",IF(Table1132[[#This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IF(Table1132[[#This Row],[Account]]&lt;&gt;"",$N$8,"")</f>
        <v/>
      </c>
      <c r="M80" s="24" t="str">
        <f>IF(Table1132[[#This Row],[Account]]&lt;&gt;"",J80+L80-$N$7,"")</f>
        <v/>
      </c>
      <c r="N80" s="25" t="str">
        <f>IF(Table1132[[#This Row],[Account]]&lt;&gt;"",IF(Table1132[[#This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IF(Table1132[[#This Row],[Account]]&lt;&gt;"",$N$8,"")</f>
        <v/>
      </c>
      <c r="M81" s="18" t="str">
        <f>IF(Table1132[[#This Row],[Account]]&lt;&gt;"",J81+L81-$N$7,"")</f>
        <v/>
      </c>
      <c r="N81" s="19" t="str">
        <f>IF(Table1132[[#This Row],[Account]]&lt;&gt;"",IF(Table1132[[#This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IF(Table1132[[#This Row],[Account]]&lt;&gt;"",$N$8,"")</f>
        <v/>
      </c>
      <c r="M82" s="24" t="str">
        <f>IF(Table1132[[#This Row],[Account]]&lt;&gt;"",J82+L82-$N$7,"")</f>
        <v/>
      </c>
      <c r="N82" s="25" t="str">
        <f>IF(Table1132[[#This Row],[Account]]&lt;&gt;"",IF(Table1132[[#This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IF(Table1132[[#This Row],[Account]]&lt;&gt;"",$N$8,"")</f>
        <v/>
      </c>
      <c r="M83" s="18" t="str">
        <f>IF(Table1132[[#This Row],[Account]]&lt;&gt;"",J83+L83-$N$7,"")</f>
        <v/>
      </c>
      <c r="N83" s="19" t="str">
        <f>IF(Table1132[[#This Row],[Account]]&lt;&gt;"",IF(Table1132[[#This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IF(Table1132[[#This Row],[Account]]&lt;&gt;"",$N$8,"")</f>
        <v/>
      </c>
      <c r="M84" s="24" t="str">
        <f>IF(Table1132[[#This Row],[Account]]&lt;&gt;"",J84+L84-$N$7,"")</f>
        <v/>
      </c>
      <c r="N84" s="25" t="str">
        <f>IF(Table1132[[#This Row],[Account]]&lt;&gt;"",IF(Table1132[[#This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IF(Table1132[[#This Row],[Account]]&lt;&gt;"",$N$8,"")</f>
        <v/>
      </c>
      <c r="M85" s="18" t="str">
        <f>IF(Table1132[[#This Row],[Account]]&lt;&gt;"",J85+L85-$N$7,"")</f>
        <v/>
      </c>
      <c r="N85" s="19" t="str">
        <f>IF(Table1132[[#This Row],[Account]]&lt;&gt;"",IF(Table1132[[#This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IF(Table1132[[#This Row],[Account]]&lt;&gt;"",$N$8,"")</f>
        <v/>
      </c>
      <c r="M86" s="24" t="str">
        <f>IF(Table1132[[#This Row],[Account]]&lt;&gt;"",J86+L86-$N$7,"")</f>
        <v/>
      </c>
      <c r="N86" s="25" t="str">
        <f>IF(Table1132[[#This Row],[Account]]&lt;&gt;"",IF(Table1132[[#This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IF(Table1132[[#This Row],[Account]]&lt;&gt;"",$N$8,"")</f>
        <v/>
      </c>
      <c r="M87" s="18" t="str">
        <f>IF(Table1132[[#This Row],[Account]]&lt;&gt;"",J87+L87-$N$7,"")</f>
        <v/>
      </c>
      <c r="N87" s="19" t="str">
        <f>IF(Table1132[[#This Row],[Account]]&lt;&gt;"",IF(Table1132[[#This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IF(Table1132[[#This Row],[Account]]&lt;&gt;"",$N$8,"")</f>
        <v/>
      </c>
      <c r="M88" s="24" t="str">
        <f>IF(Table1132[[#This Row],[Account]]&lt;&gt;"",J88+L88-$N$7,"")</f>
        <v/>
      </c>
      <c r="N88" s="25" t="str">
        <f>IF(Table1132[[#This Row],[Account]]&lt;&gt;"",IF(Table1132[[#This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IF(Table1132[[#This Row],[Account]]&lt;&gt;"",$N$8,"")</f>
        <v/>
      </c>
      <c r="M89" s="18" t="str">
        <f>IF(Table1132[[#This Row],[Account]]&lt;&gt;"",J89+L89-$N$7,"")</f>
        <v/>
      </c>
      <c r="N89" s="19" t="str">
        <f>IF(Table1132[[#This Row],[Account]]&lt;&gt;"",IF(Table1132[[#This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IF(Table1132[[#This Row],[Account]]&lt;&gt;"",$N$8,"")</f>
        <v/>
      </c>
      <c r="M90" s="24" t="str">
        <f>IF(Table1132[[#This Row],[Account]]&lt;&gt;"",J90+L90-$N$7,"")</f>
        <v/>
      </c>
      <c r="N90" s="25" t="str">
        <f>IF(Table1132[[#This Row],[Account]]&lt;&gt;"",IF(Table1132[[#This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IF(Table1132[[#This Row],[Account]]&lt;&gt;"",$N$8,"")</f>
        <v/>
      </c>
      <c r="M91" s="18" t="str">
        <f>IF(Table1132[[#This Row],[Account]]&lt;&gt;"",J91+L91-$N$7,"")</f>
        <v/>
      </c>
      <c r="N91" s="19" t="str">
        <f>IF(Table1132[[#This Row],[Account]]&lt;&gt;"",IF(Table1132[[#This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IF(Table1132[[#This Row],[Account]]&lt;&gt;"",$N$8,"")</f>
        <v/>
      </c>
      <c r="M92" s="24" t="str">
        <f>IF(Table1132[[#This Row],[Account]]&lt;&gt;"",J92+L92-$N$7,"")</f>
        <v/>
      </c>
      <c r="N92" s="25" t="str">
        <f>IF(Table1132[[#This Row],[Account]]&lt;&gt;"",IF(Table1132[[#This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IF(Table1132[[#This Row],[Account]]&lt;&gt;"",$N$8,"")</f>
        <v/>
      </c>
      <c r="M93" s="18" t="str">
        <f>IF(Table1132[[#This Row],[Account]]&lt;&gt;"",J93+L93-$N$7,"")</f>
        <v/>
      </c>
      <c r="N93" s="19" t="str">
        <f>IF(Table1132[[#This Row],[Account]]&lt;&gt;"",IF(Table1132[[#This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IF(Table1132[[#This Row],[Account]]&lt;&gt;"",$N$8,"")</f>
        <v/>
      </c>
      <c r="M94" s="24" t="str">
        <f>IF(Table1132[[#This Row],[Account]]&lt;&gt;"",J94+L94-$N$7,"")</f>
        <v/>
      </c>
      <c r="N94" s="25" t="str">
        <f>IF(Table1132[[#This Row],[Account]]&lt;&gt;"",IF(Table1132[[#This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IF(Table1132[[#This Row],[Account]]&lt;&gt;"",$N$8,"")</f>
        <v/>
      </c>
      <c r="M95" s="18" t="str">
        <f>IF(Table1132[[#This Row],[Account]]&lt;&gt;"",J95+L95-$N$7,"")</f>
        <v/>
      </c>
      <c r="N95" s="19" t="str">
        <f>IF(Table1132[[#This Row],[Account]]&lt;&gt;"",IF(Table1132[[#This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IF(Table1132[[#This Row],[Account]]&lt;&gt;"",$N$8,"")</f>
        <v/>
      </c>
      <c r="M96" s="24" t="str">
        <f>IF(Table1132[[#This Row],[Account]]&lt;&gt;"",J96+L96-$N$7,"")</f>
        <v/>
      </c>
      <c r="N96" s="25" t="str">
        <f>IF(Table1132[[#This Row],[Account]]&lt;&gt;"",IF(Table1132[[#This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IF(Table1132[[#This Row],[Account]]&lt;&gt;"",$N$8,"")</f>
        <v/>
      </c>
      <c r="M97" s="18" t="str">
        <f>IF(Table1132[[#This Row],[Account]]&lt;&gt;"",J97+L97-$N$7,"")</f>
        <v/>
      </c>
      <c r="N97" s="19" t="str">
        <f>IF(Table1132[[#This Row],[Account]]&lt;&gt;"",IF(Table1132[[#This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IF(Table1132[[#This Row],[Account]]&lt;&gt;"",$N$8,"")</f>
        <v/>
      </c>
      <c r="M98" s="24" t="str">
        <f>IF(Table1132[[#This Row],[Account]]&lt;&gt;"",J98+L98-$N$7,"")</f>
        <v/>
      </c>
      <c r="N98" s="25" t="str">
        <f>IF(Table1132[[#This Row],[Account]]&lt;&gt;"",IF(Table1132[[#This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IF(Table1132[[#This Row],[Account]]&lt;&gt;"",$N$8,"")</f>
        <v/>
      </c>
      <c r="M99" s="18" t="str">
        <f>IF(Table1132[[#This Row],[Account]]&lt;&gt;"",J99+L99-$N$7,"")</f>
        <v/>
      </c>
      <c r="N99" s="19" t="str">
        <f>IF(Table1132[[#This Row],[Account]]&lt;&gt;"",IF(Table1132[[#This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IF(Table1132[[#This Row],[Account]]&lt;&gt;"",$N$8,"")</f>
        <v/>
      </c>
      <c r="M100" s="24" t="str">
        <f>IF(Table1132[[#This Row],[Account]]&lt;&gt;"",J100+L100-$N$7,"")</f>
        <v/>
      </c>
      <c r="N100" s="25" t="str">
        <f>IF(Table1132[[#This Row],[Account]]&lt;&gt;"",IF(Table1132[[#This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IF(Table1132[[#This Row],[Account]]&lt;&gt;"",$N$8,"")</f>
        <v/>
      </c>
      <c r="M101" s="18" t="str">
        <f>IF(Table1132[[#This Row],[Account]]&lt;&gt;"",J101+L101-$N$7,"")</f>
        <v/>
      </c>
      <c r="N101" s="19" t="str">
        <f>IF(Table1132[[#This Row],[Account]]&lt;&gt;"",IF(Table1132[[#This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IF(Table1132[[#This Row],[Account]]&lt;&gt;"",$N$8,"")</f>
        <v/>
      </c>
      <c r="M102" s="24" t="str">
        <f>IF(Table1132[[#This Row],[Account]]&lt;&gt;"",J102+L102-$N$7,"")</f>
        <v/>
      </c>
      <c r="N102" s="25" t="str">
        <f>IF(Table1132[[#This Row],[Account]]&lt;&gt;"",IF(Table1132[[#This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IF(Table1132[[#This Row],[Account]]&lt;&gt;"",$N$8,"")</f>
        <v/>
      </c>
      <c r="M103" s="18" t="str">
        <f>IF(Table1132[[#This Row],[Account]]&lt;&gt;"",J103+L103-$N$7,"")</f>
        <v/>
      </c>
      <c r="N103" s="19" t="str">
        <f>IF(Table1132[[#This Row],[Account]]&lt;&gt;"",IF(Table1132[[#This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IF(Table1132[[#This Row],[Account]]&lt;&gt;"",$N$8,"")</f>
        <v/>
      </c>
      <c r="M104" s="24" t="str">
        <f>IF(Table1132[[#This Row],[Account]]&lt;&gt;"",J104+L104-$N$7,"")</f>
        <v/>
      </c>
      <c r="N104" s="25" t="str">
        <f>IF(Table1132[[#This Row],[Account]]&lt;&gt;"",IF(Table1132[[#This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IF(Table1132[[#This Row],[Account]]&lt;&gt;"",$N$8,"")</f>
        <v/>
      </c>
      <c r="M105" s="18" t="str">
        <f>IF(Table1132[[#This Row],[Account]]&lt;&gt;"",J105+L105-$N$7,"")</f>
        <v/>
      </c>
      <c r="N105" s="19" t="str">
        <f>IF(Table1132[[#This Row],[Account]]&lt;&gt;"",IF(Table1132[[#This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IF(Table1132[[#This Row],[Account]]&lt;&gt;"",$N$8,"")</f>
        <v/>
      </c>
      <c r="M106" s="24" t="str">
        <f>IF(Table1132[[#This Row],[Account]]&lt;&gt;"",J106+L106-$N$7,"")</f>
        <v/>
      </c>
      <c r="N106" s="25" t="str">
        <f>IF(Table1132[[#This Row],[Account]]&lt;&gt;"",IF(Table1132[[#This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IF(Table1132[[#This Row],[Account]]&lt;&gt;"",$N$8,"")</f>
        <v/>
      </c>
      <c r="M107" s="18" t="str">
        <f>IF(Table1132[[#This Row],[Account]]&lt;&gt;"",J107+L107-$N$7,"")</f>
        <v/>
      </c>
      <c r="N107" s="19" t="str">
        <f>IF(Table1132[[#This Row],[Account]]&lt;&gt;"",IF(Table1132[[#This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IF(Table1132[[#This Row],[Account]]&lt;&gt;"",$N$8,"")</f>
        <v/>
      </c>
      <c r="M108" s="24" t="str">
        <f>IF(Table1132[[#This Row],[Account]]&lt;&gt;"",J108+L108-$N$7,"")</f>
        <v/>
      </c>
      <c r="N108" s="25" t="str">
        <f>IF(Table1132[[#This Row],[Account]]&lt;&gt;"",IF(Table1132[[#This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IF(Table1132[[#This Row],[Account]]&lt;&gt;"",$N$8,"")</f>
        <v/>
      </c>
      <c r="M109" s="18" t="str">
        <f>IF(Table1132[[#This Row],[Account]]&lt;&gt;"",J109+L109-$N$7,"")</f>
        <v/>
      </c>
      <c r="N109" s="19" t="str">
        <f>IF(Table1132[[#This Row],[Account]]&lt;&gt;"",IF(Table1132[[#This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IF(Table1132[[#This Row],[Account]]&lt;&gt;"",$N$8,"")</f>
        <v/>
      </c>
      <c r="M110" s="24" t="str">
        <f>IF(Table1132[[#This Row],[Account]]&lt;&gt;"",J110+L110-$N$7,"")</f>
        <v/>
      </c>
      <c r="N110" s="25" t="str">
        <f>IF(Table1132[[#This Row],[Account]]&lt;&gt;"",IF(Table1132[[#This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IF(Table1132[[#This Row],[Account]]&lt;&gt;"",$N$8,"")</f>
        <v/>
      </c>
      <c r="M111" s="18" t="str">
        <f>IF(Table1132[[#This Row],[Account]]&lt;&gt;"",J111+L111-$N$7,"")</f>
        <v/>
      </c>
      <c r="N111" s="19" t="str">
        <f>IF(Table1132[[#This Row],[Account]]&lt;&gt;"",IF(Table1132[[#This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IF(Table1132[[#This Row],[Account]]&lt;&gt;"",$N$8,"")</f>
        <v/>
      </c>
      <c r="M112" s="24" t="str">
        <f>IF(Table1132[[#This Row],[Account]]&lt;&gt;"",J112+L112-$N$7,"")</f>
        <v/>
      </c>
      <c r="N112" s="25" t="str">
        <f>IF(Table1132[[#This Row],[Account]]&lt;&gt;"",IF(Table1132[[#This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IF(Table1132[[#This Row],[Account]]&lt;&gt;"",$N$8,"")</f>
        <v/>
      </c>
      <c r="M113" s="18" t="str">
        <f>IF(Table1132[[#This Row],[Account]]&lt;&gt;"",J113+L113-$N$7,"")</f>
        <v/>
      </c>
      <c r="N113" s="19" t="str">
        <f>IF(Table1132[[#This Row],[Account]]&lt;&gt;"",IF(Table1132[[#This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918536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1815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1816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918536</v>
      </c>
      <c r="D15" s="15" t="s">
        <v>1817</v>
      </c>
      <c r="E15" s="15" t="s">
        <v>1818</v>
      </c>
      <c r="F15" s="14" t="s">
        <v>1819</v>
      </c>
      <c r="G15" s="17">
        <v>42851</v>
      </c>
      <c r="H15" s="14">
        <v>7000043420</v>
      </c>
      <c r="I15" s="16">
        <v>2000</v>
      </c>
      <c r="J15" s="17">
        <v>42851</v>
      </c>
      <c r="K15" s="17">
        <v>42881</v>
      </c>
      <c r="L15" s="14">
        <f>IF(Table1131[[#This Row],[Account]]&lt;&gt;"",$N$8,"")</f>
        <v>0</v>
      </c>
      <c r="M15" s="105">
        <f>IF(Table1131[[#This Row],[Account]]&lt;&gt;"",J15+L15-$N$7,"")</f>
        <v>-685</v>
      </c>
      <c r="N15" s="74" t="str">
        <f>IF(Table1131[[#This Row],[Account]]&lt;&gt;"",IF(Table1131[[#This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2000</v>
      </c>
    </row>
    <row r="17" spans="2:17" ht="15.75" thickBot="1" x14ac:dyDescent="0.3">
      <c r="G17" s="30" t="s">
        <v>21</v>
      </c>
      <c r="H17" s="31"/>
      <c r="I17" s="32">
        <f>SUM(I15:I15)</f>
        <v>2000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2000</v>
      </c>
      <c r="J22" s="41">
        <f>SUM(D22:I22)</f>
        <v>2000</v>
      </c>
      <c r="K22" s="42">
        <f>SUM(H22:I22)</f>
        <v>2000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917021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1810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1811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917021</v>
      </c>
      <c r="D15" s="15" t="s">
        <v>1812</v>
      </c>
      <c r="E15" s="15" t="s">
        <v>1813</v>
      </c>
      <c r="F15" s="14" t="s">
        <v>1814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IF(Table1130[[#This Row],[Account]]&lt;&gt;"",$N$8,"")</f>
        <v>0</v>
      </c>
      <c r="M15" s="105">
        <f>IF(Table1130[[#This Row],[Account]]&lt;&gt;"",J15+L15-$N$7,"")</f>
        <v>-239</v>
      </c>
      <c r="N15" s="74" t="str">
        <f>IF(Table1130[[#This Row],[Account]]&lt;&gt;"",IF(Table1130[[#This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IF(Table1130[[#This Row],[Account]]&lt;&gt;"",$N$8,"")</f>
        <v/>
      </c>
      <c r="M16" s="24" t="str">
        <f>IF(Table1130[[#This Row],[Account]]&lt;&gt;"",J16+L16-$N$7,"")</f>
        <v/>
      </c>
      <c r="N16" s="25" t="str">
        <f>IF(Table1130[[#This Row],[Account]]&lt;&gt;"",IF(Table1130[[#This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IF(Table1130[[#This Row],[Account]]&lt;&gt;"",$N$8,"")</f>
        <v/>
      </c>
      <c r="M17" s="18" t="str">
        <f>IF(Table1130[[#This Row],[Account]]&lt;&gt;"",J17+L17-$N$7,"")</f>
        <v/>
      </c>
      <c r="N17" s="19" t="str">
        <f>IF(Table1130[[#This Row],[Account]]&lt;&gt;"",IF(Table1130[[#This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IF(Table1130[[#This Row],[Account]]&lt;&gt;"",$N$8,"")</f>
        <v/>
      </c>
      <c r="M18" s="24" t="str">
        <f>IF(Table1130[[#This Row],[Account]]&lt;&gt;"",J18+L18-$N$7,"")</f>
        <v/>
      </c>
      <c r="N18" s="25" t="str">
        <f>IF(Table1130[[#This Row],[Account]]&lt;&gt;"",IF(Table1130[[#This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IF(Table1130[[#This Row],[Account]]&lt;&gt;"",$N$8,"")</f>
        <v/>
      </c>
      <c r="M19" s="18" t="str">
        <f>IF(Table1130[[#This Row],[Account]]&lt;&gt;"",J19+L19-$N$7,"")</f>
        <v/>
      </c>
      <c r="N19" s="19" t="str">
        <f>IF(Table1130[[#This Row],[Account]]&lt;&gt;"",IF(Table1130[[#This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IF(Table1130[[#This Row],[Account]]&lt;&gt;"",$N$8,"")</f>
        <v/>
      </c>
      <c r="M20" s="24" t="str">
        <f>IF(Table1130[[#This Row],[Account]]&lt;&gt;"",J20+L20-$N$7,"")</f>
        <v/>
      </c>
      <c r="N20" s="25" t="str">
        <f>IF(Table1130[[#This Row],[Account]]&lt;&gt;"",IF(Table1130[[#This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IF(Table1130[[#This Row],[Account]]&lt;&gt;"",$N$8,"")</f>
        <v/>
      </c>
      <c r="M21" s="18" t="str">
        <f>IF(Table1130[[#This Row],[Account]]&lt;&gt;"",J21+L21-$N$7,"")</f>
        <v/>
      </c>
      <c r="N21" s="19" t="str">
        <f>IF(Table1130[[#This Row],[Account]]&lt;&gt;"",IF(Table1130[[#This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IF(Table1130[[#This Row],[Account]]&lt;&gt;"",$N$8,"")</f>
        <v/>
      </c>
      <c r="M22" s="24" t="str">
        <f>IF(Table1130[[#This Row],[Account]]&lt;&gt;"",J22+L22-$N$7,"")</f>
        <v/>
      </c>
      <c r="N22" s="25" t="str">
        <f>IF(Table1130[[#This Row],[Account]]&lt;&gt;"",IF(Table1130[[#This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IF(Table1130[[#This Row],[Account]]&lt;&gt;"",$N$8,"")</f>
        <v/>
      </c>
      <c r="M23" s="18" t="str">
        <f>IF(Table1130[[#This Row],[Account]]&lt;&gt;"",J23+L23-$N$7,"")</f>
        <v/>
      </c>
      <c r="N23" s="19" t="str">
        <f>IF(Table1130[[#This Row],[Account]]&lt;&gt;"",IF(Table1130[[#This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IF(Table1130[[#This Row],[Account]]&lt;&gt;"",$N$8,"")</f>
        <v/>
      </c>
      <c r="M24" s="24" t="str">
        <f>IF(Table1130[[#This Row],[Account]]&lt;&gt;"",J24+L24-$N$7,"")</f>
        <v/>
      </c>
      <c r="N24" s="25" t="str">
        <f>IF(Table1130[[#This Row],[Account]]&lt;&gt;"",IF(Table1130[[#This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IF(Table1130[[#This Row],[Account]]&lt;&gt;"",$N$8,"")</f>
        <v/>
      </c>
      <c r="M25" s="18" t="str">
        <f>IF(Table1130[[#This Row],[Account]]&lt;&gt;"",J25+L25-$N$7,"")</f>
        <v/>
      </c>
      <c r="N25" s="19" t="str">
        <f>IF(Table1130[[#This Row],[Account]]&lt;&gt;"",IF(Table1130[[#This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IF(Table1130[[#This Row],[Account]]&lt;&gt;"",$N$8,"")</f>
        <v/>
      </c>
      <c r="M26" s="24" t="str">
        <f>IF(Table1130[[#This Row],[Account]]&lt;&gt;"",J26+L26-$N$7,"")</f>
        <v/>
      </c>
      <c r="N26" s="25" t="str">
        <f>IF(Table1130[[#This Row],[Account]]&lt;&gt;"",IF(Table1130[[#This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IF(Table1130[[#This Row],[Account]]&lt;&gt;"",$N$8,"")</f>
        <v/>
      </c>
      <c r="M27" s="18" t="str">
        <f>IF(Table1130[[#This Row],[Account]]&lt;&gt;"",J27+L27-$N$7,"")</f>
        <v/>
      </c>
      <c r="N27" s="19" t="str">
        <f>IF(Table1130[[#This Row],[Account]]&lt;&gt;"",IF(Table1130[[#This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IF(Table1130[[#This Row],[Account]]&lt;&gt;"",$N$8,"")</f>
        <v/>
      </c>
      <c r="M28" s="24" t="str">
        <f>IF(Table1130[[#This Row],[Account]]&lt;&gt;"",J28+L28-$N$7,"")</f>
        <v/>
      </c>
      <c r="N28" s="25" t="str">
        <f>IF(Table1130[[#This Row],[Account]]&lt;&gt;"",IF(Table1130[[#This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IF(Table1130[[#This Row],[Account]]&lt;&gt;"",$N$8,"")</f>
        <v/>
      </c>
      <c r="M29" s="18" t="str">
        <f>IF(Table1130[[#This Row],[Account]]&lt;&gt;"",J29+L29-$N$7,"")</f>
        <v/>
      </c>
      <c r="N29" s="19" t="str">
        <f>IF(Table1130[[#This Row],[Account]]&lt;&gt;"",IF(Table1130[[#This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IF(Table1130[[#This Row],[Account]]&lt;&gt;"",$N$8,"")</f>
        <v/>
      </c>
      <c r="M30" s="24" t="str">
        <f>IF(Table1130[[#This Row],[Account]]&lt;&gt;"",J30+L30-$N$7,"")</f>
        <v/>
      </c>
      <c r="N30" s="25" t="str">
        <f>IF(Table1130[[#This Row],[Account]]&lt;&gt;"",IF(Table1130[[#This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IF(Table1130[[#This Row],[Account]]&lt;&gt;"",$N$8,"")</f>
        <v/>
      </c>
      <c r="M31" s="18" t="str">
        <f>IF(Table1130[[#This Row],[Account]]&lt;&gt;"",J31+L31-$N$7,"")</f>
        <v/>
      </c>
      <c r="N31" s="19" t="str">
        <f>IF(Table1130[[#This Row],[Account]]&lt;&gt;"",IF(Table1130[[#This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IF(Table1130[[#This Row],[Account]]&lt;&gt;"",$N$8,"")</f>
        <v/>
      </c>
      <c r="M32" s="24" t="str">
        <f>IF(Table1130[[#This Row],[Account]]&lt;&gt;"",J32+L32-$N$7,"")</f>
        <v/>
      </c>
      <c r="N32" s="25" t="str">
        <f>IF(Table1130[[#This Row],[Account]]&lt;&gt;"",IF(Table1130[[#This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IF(Table1130[[#This Row],[Account]]&lt;&gt;"",$N$8,"")</f>
        <v/>
      </c>
      <c r="M33" s="18" t="str">
        <f>IF(Table1130[[#This Row],[Account]]&lt;&gt;"",J33+L33-$N$7,"")</f>
        <v/>
      </c>
      <c r="N33" s="19" t="str">
        <f>IF(Table1130[[#This Row],[Account]]&lt;&gt;"",IF(Table1130[[#This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IF(Table1130[[#This Row],[Account]]&lt;&gt;"",$N$8,"")</f>
        <v/>
      </c>
      <c r="M34" s="24" t="str">
        <f>IF(Table1130[[#This Row],[Account]]&lt;&gt;"",J34+L34-$N$7,"")</f>
        <v/>
      </c>
      <c r="N34" s="25" t="str">
        <f>IF(Table1130[[#This Row],[Account]]&lt;&gt;"",IF(Table1130[[#This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IF(Table1130[[#This Row],[Account]]&lt;&gt;"",$N$8,"")</f>
        <v/>
      </c>
      <c r="M35" s="18" t="str">
        <f>IF(Table1130[[#This Row],[Account]]&lt;&gt;"",J35+L35-$N$7,"")</f>
        <v/>
      </c>
      <c r="N35" s="19" t="str">
        <f>IF(Table1130[[#This Row],[Account]]&lt;&gt;"",IF(Table1130[[#This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IF(Table1130[[#This Row],[Account]]&lt;&gt;"",$N$8,"")</f>
        <v/>
      </c>
      <c r="M36" s="24" t="str">
        <f>IF(Table1130[[#This Row],[Account]]&lt;&gt;"",J36+L36-$N$7,"")</f>
        <v/>
      </c>
      <c r="N36" s="25" t="str">
        <f>IF(Table1130[[#This Row],[Account]]&lt;&gt;"",IF(Table1130[[#This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IF(Table1130[[#This Row],[Account]]&lt;&gt;"",$N$8,"")</f>
        <v/>
      </c>
      <c r="M37" s="18" t="str">
        <f>IF(Table1130[[#This Row],[Account]]&lt;&gt;"",J37+L37-$N$7,"")</f>
        <v/>
      </c>
      <c r="N37" s="19" t="str">
        <f>IF(Table1130[[#This Row],[Account]]&lt;&gt;"",IF(Table1130[[#This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IF(Table1130[[#This Row],[Account]]&lt;&gt;"",$N$8,"")</f>
        <v/>
      </c>
      <c r="M38" s="24" t="str">
        <f>IF(Table1130[[#This Row],[Account]]&lt;&gt;"",J38+L38-$N$7,"")</f>
        <v/>
      </c>
      <c r="N38" s="25" t="str">
        <f>IF(Table1130[[#This Row],[Account]]&lt;&gt;"",IF(Table1130[[#This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IF(Table1130[[#This Row],[Account]]&lt;&gt;"",$N$8,"")</f>
        <v/>
      </c>
      <c r="M39" s="18" t="str">
        <f>IF(Table1130[[#This Row],[Account]]&lt;&gt;"",J39+L39-$N$7,"")</f>
        <v/>
      </c>
      <c r="N39" s="19" t="str">
        <f>IF(Table1130[[#This Row],[Account]]&lt;&gt;"",IF(Table1130[[#This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IF(Table1130[[#This Row],[Account]]&lt;&gt;"",$N$8,"")</f>
        <v/>
      </c>
      <c r="M40" s="24" t="str">
        <f>IF(Table1130[[#This Row],[Account]]&lt;&gt;"",J40+L40-$N$7,"")</f>
        <v/>
      </c>
      <c r="N40" s="25" t="str">
        <f>IF(Table1130[[#This Row],[Account]]&lt;&gt;"",IF(Table1130[[#This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IF(Table1130[[#This Row],[Account]]&lt;&gt;"",$N$8,"")</f>
        <v/>
      </c>
      <c r="M41" s="18" t="str">
        <f>IF(Table1130[[#This Row],[Account]]&lt;&gt;"",J41+L41-$N$7,"")</f>
        <v/>
      </c>
      <c r="N41" s="19" t="str">
        <f>IF(Table1130[[#This Row],[Account]]&lt;&gt;"",IF(Table1130[[#This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IF(Table1130[[#This Row],[Account]]&lt;&gt;"",$N$8,"")</f>
        <v/>
      </c>
      <c r="M42" s="24" t="str">
        <f>IF(Table1130[[#This Row],[Account]]&lt;&gt;"",J42+L42-$N$7,"")</f>
        <v/>
      </c>
      <c r="N42" s="25" t="str">
        <f>IF(Table1130[[#This Row],[Account]]&lt;&gt;"",IF(Table1130[[#This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IF(Table1130[[#This Row],[Account]]&lt;&gt;"",$N$8,"")</f>
        <v/>
      </c>
      <c r="M43" s="18" t="str">
        <f>IF(Table1130[[#This Row],[Account]]&lt;&gt;"",J43+L43-$N$7,"")</f>
        <v/>
      </c>
      <c r="N43" s="19" t="str">
        <f>IF(Table1130[[#This Row],[Account]]&lt;&gt;"",IF(Table1130[[#This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IF(Table1130[[#This Row],[Account]]&lt;&gt;"",$N$8,"")</f>
        <v/>
      </c>
      <c r="M44" s="24" t="str">
        <f>IF(Table1130[[#This Row],[Account]]&lt;&gt;"",J44+L44-$N$7,"")</f>
        <v/>
      </c>
      <c r="N44" s="25" t="str">
        <f>IF(Table1130[[#This Row],[Account]]&lt;&gt;"",IF(Table1130[[#This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IF(Table1130[[#This Row],[Account]]&lt;&gt;"",$N$8,"")</f>
        <v/>
      </c>
      <c r="M45" s="18" t="str">
        <f>IF(Table1130[[#This Row],[Account]]&lt;&gt;"",J45+L45-$N$7,"")</f>
        <v/>
      </c>
      <c r="N45" s="19" t="str">
        <f>IF(Table1130[[#This Row],[Account]]&lt;&gt;"",IF(Table1130[[#This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IF(Table1130[[#This Row],[Account]]&lt;&gt;"",$N$8,"")</f>
        <v/>
      </c>
      <c r="M46" s="24" t="str">
        <f>IF(Table1130[[#This Row],[Account]]&lt;&gt;"",J46+L46-$N$7,"")</f>
        <v/>
      </c>
      <c r="N46" s="25" t="str">
        <f>IF(Table1130[[#This Row],[Account]]&lt;&gt;"",IF(Table1130[[#This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IF(Table1130[[#This Row],[Account]]&lt;&gt;"",$N$8,"")</f>
        <v/>
      </c>
      <c r="M47" s="18" t="str">
        <f>IF(Table1130[[#This Row],[Account]]&lt;&gt;"",J47+L47-$N$7,"")</f>
        <v/>
      </c>
      <c r="N47" s="19" t="str">
        <f>IF(Table1130[[#This Row],[Account]]&lt;&gt;"",IF(Table1130[[#This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IF(Table1130[[#This Row],[Account]]&lt;&gt;"",$N$8,"")</f>
        <v/>
      </c>
      <c r="M48" s="24" t="str">
        <f>IF(Table1130[[#This Row],[Account]]&lt;&gt;"",J48+L48-$N$7,"")</f>
        <v/>
      </c>
      <c r="N48" s="25" t="str">
        <f>IF(Table1130[[#This Row],[Account]]&lt;&gt;"",IF(Table1130[[#This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IF(Table1130[[#This Row],[Account]]&lt;&gt;"",$N$8,"")</f>
        <v/>
      </c>
      <c r="M49" s="18" t="str">
        <f>IF(Table1130[[#This Row],[Account]]&lt;&gt;"",J49+L49-$N$7,"")</f>
        <v/>
      </c>
      <c r="N49" s="19" t="str">
        <f>IF(Table1130[[#This Row],[Account]]&lt;&gt;"",IF(Table1130[[#This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IF(Table1130[[#This Row],[Account]]&lt;&gt;"",$N$8,"")</f>
        <v/>
      </c>
      <c r="M50" s="24" t="str">
        <f>IF(Table1130[[#This Row],[Account]]&lt;&gt;"",J50+L50-$N$7,"")</f>
        <v/>
      </c>
      <c r="N50" s="25" t="str">
        <f>IF(Table1130[[#This Row],[Account]]&lt;&gt;"",IF(Table1130[[#This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IF(Table1130[[#This Row],[Account]]&lt;&gt;"",$N$8,"")</f>
        <v/>
      </c>
      <c r="M51" s="18" t="str">
        <f>IF(Table1130[[#This Row],[Account]]&lt;&gt;"",J51+L51-$N$7,"")</f>
        <v/>
      </c>
      <c r="N51" s="19" t="str">
        <f>IF(Table1130[[#This Row],[Account]]&lt;&gt;"",IF(Table1130[[#This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IF(Table1130[[#This Row],[Account]]&lt;&gt;"",$N$8,"")</f>
        <v/>
      </c>
      <c r="M52" s="24" t="str">
        <f>IF(Table1130[[#This Row],[Account]]&lt;&gt;"",J52+L52-$N$7,"")</f>
        <v/>
      </c>
      <c r="N52" s="25" t="str">
        <f>IF(Table1130[[#This Row],[Account]]&lt;&gt;"",IF(Table1130[[#This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IF(Table1130[[#This Row],[Account]]&lt;&gt;"",$N$8,"")</f>
        <v/>
      </c>
      <c r="M53" s="18" t="str">
        <f>IF(Table1130[[#This Row],[Account]]&lt;&gt;"",J53+L53-$N$7,"")</f>
        <v/>
      </c>
      <c r="N53" s="19" t="str">
        <f>IF(Table1130[[#This Row],[Account]]&lt;&gt;"",IF(Table1130[[#This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IF(Table1130[[#This Row],[Account]]&lt;&gt;"",$N$8,"")</f>
        <v/>
      </c>
      <c r="M54" s="24" t="str">
        <f>IF(Table1130[[#This Row],[Account]]&lt;&gt;"",J54+L54-$N$7,"")</f>
        <v/>
      </c>
      <c r="N54" s="25" t="str">
        <f>IF(Table1130[[#This Row],[Account]]&lt;&gt;"",IF(Table1130[[#This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IF(Table1130[[#This Row],[Account]]&lt;&gt;"",$N$8,"")</f>
        <v/>
      </c>
      <c r="M55" s="18" t="str">
        <f>IF(Table1130[[#This Row],[Account]]&lt;&gt;"",J55+L55-$N$7,"")</f>
        <v/>
      </c>
      <c r="N55" s="19" t="str">
        <f>IF(Table1130[[#This Row],[Account]]&lt;&gt;"",IF(Table1130[[#This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IF(Table1130[[#This Row],[Account]]&lt;&gt;"",$N$8,"")</f>
        <v/>
      </c>
      <c r="M56" s="24" t="str">
        <f>IF(Table1130[[#This Row],[Account]]&lt;&gt;"",J56+L56-$N$7,"")</f>
        <v/>
      </c>
      <c r="N56" s="25" t="str">
        <f>IF(Table1130[[#This Row],[Account]]&lt;&gt;"",IF(Table1130[[#This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IF(Table1130[[#This Row],[Account]]&lt;&gt;"",$N$8,"")</f>
        <v/>
      </c>
      <c r="M57" s="18" t="str">
        <f>IF(Table1130[[#This Row],[Account]]&lt;&gt;"",J57+L57-$N$7,"")</f>
        <v/>
      </c>
      <c r="N57" s="19" t="str">
        <f>IF(Table1130[[#This Row],[Account]]&lt;&gt;"",IF(Table1130[[#This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IF(Table1130[[#This Row],[Account]]&lt;&gt;"",$N$8,"")</f>
        <v/>
      </c>
      <c r="M58" s="24" t="str">
        <f>IF(Table1130[[#This Row],[Account]]&lt;&gt;"",J58+L58-$N$7,"")</f>
        <v/>
      </c>
      <c r="N58" s="25" t="str">
        <f>IF(Table1130[[#This Row],[Account]]&lt;&gt;"",IF(Table1130[[#This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IF(Table1130[[#This Row],[Account]]&lt;&gt;"",$N$8,"")</f>
        <v/>
      </c>
      <c r="M59" s="18" t="str">
        <f>IF(Table1130[[#This Row],[Account]]&lt;&gt;"",J59+L59-$N$7,"")</f>
        <v/>
      </c>
      <c r="N59" s="19" t="str">
        <f>IF(Table1130[[#This Row],[Account]]&lt;&gt;"",IF(Table1130[[#This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IF(Table1130[[#This Row],[Account]]&lt;&gt;"",$N$8,"")</f>
        <v/>
      </c>
      <c r="M60" s="24" t="str">
        <f>IF(Table1130[[#This Row],[Account]]&lt;&gt;"",J60+L60-$N$7,"")</f>
        <v/>
      </c>
      <c r="N60" s="25" t="str">
        <f>IF(Table1130[[#This Row],[Account]]&lt;&gt;"",IF(Table1130[[#This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IF(Table1130[[#This Row],[Account]]&lt;&gt;"",$N$8,"")</f>
        <v/>
      </c>
      <c r="M61" s="18" t="str">
        <f>IF(Table1130[[#This Row],[Account]]&lt;&gt;"",J61+L61-$N$7,"")</f>
        <v/>
      </c>
      <c r="N61" s="19" t="str">
        <f>IF(Table1130[[#This Row],[Account]]&lt;&gt;"",IF(Table1130[[#This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IF(Table1130[[#This Row],[Account]]&lt;&gt;"",$N$8,"")</f>
        <v/>
      </c>
      <c r="M62" s="24" t="str">
        <f>IF(Table1130[[#This Row],[Account]]&lt;&gt;"",J62+L62-$N$7,"")</f>
        <v/>
      </c>
      <c r="N62" s="25" t="str">
        <f>IF(Table1130[[#This Row],[Account]]&lt;&gt;"",IF(Table1130[[#This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IF(Table1130[[#This Row],[Account]]&lt;&gt;"",$N$8,"")</f>
        <v/>
      </c>
      <c r="M63" s="18" t="str">
        <f>IF(Table1130[[#This Row],[Account]]&lt;&gt;"",J63+L63-$N$7,"")</f>
        <v/>
      </c>
      <c r="N63" s="19" t="str">
        <f>IF(Table1130[[#This Row],[Account]]&lt;&gt;"",IF(Table1130[[#This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IF(Table1130[[#This Row],[Account]]&lt;&gt;"",$N$8,"")</f>
        <v/>
      </c>
      <c r="M64" s="24" t="str">
        <f>IF(Table1130[[#This Row],[Account]]&lt;&gt;"",J64+L64-$N$7,"")</f>
        <v/>
      </c>
      <c r="N64" s="25" t="str">
        <f>IF(Table1130[[#This Row],[Account]]&lt;&gt;"",IF(Table1130[[#This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IF(Table1130[[#This Row],[Account]]&lt;&gt;"",$N$8,"")</f>
        <v/>
      </c>
      <c r="M65" s="18" t="str">
        <f>IF(Table1130[[#This Row],[Account]]&lt;&gt;"",J65+L65-$N$7,"")</f>
        <v/>
      </c>
      <c r="N65" s="19" t="str">
        <f>IF(Table1130[[#This Row],[Account]]&lt;&gt;"",IF(Table1130[[#This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IF(Table1130[[#This Row],[Account]]&lt;&gt;"",$N$8,"")</f>
        <v/>
      </c>
      <c r="M66" s="24" t="str">
        <f>IF(Table1130[[#This Row],[Account]]&lt;&gt;"",J66+L66-$N$7,"")</f>
        <v/>
      </c>
      <c r="N66" s="25" t="str">
        <f>IF(Table1130[[#This Row],[Account]]&lt;&gt;"",IF(Table1130[[#This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IF(Table1130[[#This Row],[Account]]&lt;&gt;"",$N$8,"")</f>
        <v/>
      </c>
      <c r="M67" s="18" t="str">
        <f>IF(Table1130[[#This Row],[Account]]&lt;&gt;"",J67+L67-$N$7,"")</f>
        <v/>
      </c>
      <c r="N67" s="19" t="str">
        <f>IF(Table1130[[#This Row],[Account]]&lt;&gt;"",IF(Table1130[[#This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IF(Table1130[[#This Row],[Account]]&lt;&gt;"",$N$8,"")</f>
        <v/>
      </c>
      <c r="M68" s="24" t="str">
        <f>IF(Table1130[[#This Row],[Account]]&lt;&gt;"",J68+L68-$N$7,"")</f>
        <v/>
      </c>
      <c r="N68" s="25" t="str">
        <f>IF(Table1130[[#This Row],[Account]]&lt;&gt;"",IF(Table1130[[#This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IF(Table1130[[#This Row],[Account]]&lt;&gt;"",$N$8,"")</f>
        <v/>
      </c>
      <c r="M69" s="18" t="str">
        <f>IF(Table1130[[#This Row],[Account]]&lt;&gt;"",J69+L69-$N$7,"")</f>
        <v/>
      </c>
      <c r="N69" s="19" t="str">
        <f>IF(Table1130[[#This Row],[Account]]&lt;&gt;"",IF(Table1130[[#This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IF(Table1130[[#This Row],[Account]]&lt;&gt;"",$N$8,"")</f>
        <v/>
      </c>
      <c r="M70" s="24" t="str">
        <f>IF(Table1130[[#This Row],[Account]]&lt;&gt;"",J70+L70-$N$7,"")</f>
        <v/>
      </c>
      <c r="N70" s="25" t="str">
        <f>IF(Table1130[[#This Row],[Account]]&lt;&gt;"",IF(Table1130[[#This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IF(Table1130[[#This Row],[Account]]&lt;&gt;"",$N$8,"")</f>
        <v/>
      </c>
      <c r="M71" s="18" t="str">
        <f>IF(Table1130[[#This Row],[Account]]&lt;&gt;"",J71+L71-$N$7,"")</f>
        <v/>
      </c>
      <c r="N71" s="19" t="str">
        <f>IF(Table1130[[#This Row],[Account]]&lt;&gt;"",IF(Table1130[[#This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IF(Table1130[[#This Row],[Account]]&lt;&gt;"",$N$8,"")</f>
        <v/>
      </c>
      <c r="M72" s="24" t="str">
        <f>IF(Table1130[[#This Row],[Account]]&lt;&gt;"",J72+L72-$N$7,"")</f>
        <v/>
      </c>
      <c r="N72" s="25" t="str">
        <f>IF(Table1130[[#This Row],[Account]]&lt;&gt;"",IF(Table1130[[#This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IF(Table1130[[#This Row],[Account]]&lt;&gt;"",$N$8,"")</f>
        <v/>
      </c>
      <c r="M73" s="18" t="str">
        <f>IF(Table1130[[#This Row],[Account]]&lt;&gt;"",J73+L73-$N$7,"")</f>
        <v/>
      </c>
      <c r="N73" s="19" t="str">
        <f>IF(Table1130[[#This Row],[Account]]&lt;&gt;"",IF(Table1130[[#This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IF(Table1130[[#This Row],[Account]]&lt;&gt;"",$N$8,"")</f>
        <v/>
      </c>
      <c r="M74" s="24" t="str">
        <f>IF(Table1130[[#This Row],[Account]]&lt;&gt;"",J74+L74-$N$7,"")</f>
        <v/>
      </c>
      <c r="N74" s="25" t="str">
        <f>IF(Table1130[[#This Row],[Account]]&lt;&gt;"",IF(Table1130[[#This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IF(Table1130[[#This Row],[Account]]&lt;&gt;"",$N$8,"")</f>
        <v/>
      </c>
      <c r="M75" s="18" t="str">
        <f>IF(Table1130[[#This Row],[Account]]&lt;&gt;"",J75+L75-$N$7,"")</f>
        <v/>
      </c>
      <c r="N75" s="19" t="str">
        <f>IF(Table1130[[#This Row],[Account]]&lt;&gt;"",IF(Table1130[[#This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IF(Table1130[[#This Row],[Account]]&lt;&gt;"",$N$8,"")</f>
        <v/>
      </c>
      <c r="M76" s="24" t="str">
        <f>IF(Table1130[[#This Row],[Account]]&lt;&gt;"",J76+L76-$N$7,"")</f>
        <v/>
      </c>
      <c r="N76" s="25" t="str">
        <f>IF(Table1130[[#This Row],[Account]]&lt;&gt;"",IF(Table1130[[#This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IF(Table1130[[#This Row],[Account]]&lt;&gt;"",$N$8,"")</f>
        <v/>
      </c>
      <c r="M77" s="18" t="str">
        <f>IF(Table1130[[#This Row],[Account]]&lt;&gt;"",J77+L77-$N$7,"")</f>
        <v/>
      </c>
      <c r="N77" s="19" t="str">
        <f>IF(Table1130[[#This Row],[Account]]&lt;&gt;"",IF(Table1130[[#This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IF(Table1130[[#This Row],[Account]]&lt;&gt;"",$N$8,"")</f>
        <v/>
      </c>
      <c r="M78" s="24" t="str">
        <f>IF(Table1130[[#This Row],[Account]]&lt;&gt;"",J78+L78-$N$7,"")</f>
        <v/>
      </c>
      <c r="N78" s="25" t="str">
        <f>IF(Table1130[[#This Row],[Account]]&lt;&gt;"",IF(Table1130[[#This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IF(Table1130[[#This Row],[Account]]&lt;&gt;"",$N$8,"")</f>
        <v/>
      </c>
      <c r="M79" s="18" t="str">
        <f>IF(Table1130[[#This Row],[Account]]&lt;&gt;"",J79+L79-$N$7,"")</f>
        <v/>
      </c>
      <c r="N79" s="19" t="str">
        <f>IF(Table1130[[#This Row],[Account]]&lt;&gt;"",IF(Table1130[[#This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IF(Table1130[[#This Row],[Account]]&lt;&gt;"",$N$8,"")</f>
        <v/>
      </c>
      <c r="M80" s="24" t="str">
        <f>IF(Table1130[[#This Row],[Account]]&lt;&gt;"",J80+L80-$N$7,"")</f>
        <v/>
      </c>
      <c r="N80" s="25" t="str">
        <f>IF(Table1130[[#This Row],[Account]]&lt;&gt;"",IF(Table1130[[#This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IF(Table1130[[#This Row],[Account]]&lt;&gt;"",$N$8,"")</f>
        <v/>
      </c>
      <c r="M81" s="18" t="str">
        <f>IF(Table1130[[#This Row],[Account]]&lt;&gt;"",J81+L81-$N$7,"")</f>
        <v/>
      </c>
      <c r="N81" s="19" t="str">
        <f>IF(Table1130[[#This Row],[Account]]&lt;&gt;"",IF(Table1130[[#This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IF(Table1130[[#This Row],[Account]]&lt;&gt;"",$N$8,"")</f>
        <v/>
      </c>
      <c r="M82" s="24" t="str">
        <f>IF(Table1130[[#This Row],[Account]]&lt;&gt;"",J82+L82-$N$7,"")</f>
        <v/>
      </c>
      <c r="N82" s="25" t="str">
        <f>IF(Table1130[[#This Row],[Account]]&lt;&gt;"",IF(Table1130[[#This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IF(Table1130[[#This Row],[Account]]&lt;&gt;"",$N$8,"")</f>
        <v/>
      </c>
      <c r="M83" s="18" t="str">
        <f>IF(Table1130[[#This Row],[Account]]&lt;&gt;"",J83+L83-$N$7,"")</f>
        <v/>
      </c>
      <c r="N83" s="19" t="str">
        <f>IF(Table1130[[#This Row],[Account]]&lt;&gt;"",IF(Table1130[[#This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IF(Table1130[[#This Row],[Account]]&lt;&gt;"",$N$8,"")</f>
        <v/>
      </c>
      <c r="M84" s="24" t="str">
        <f>IF(Table1130[[#This Row],[Account]]&lt;&gt;"",J84+L84-$N$7,"")</f>
        <v/>
      </c>
      <c r="N84" s="25" t="str">
        <f>IF(Table1130[[#This Row],[Account]]&lt;&gt;"",IF(Table1130[[#This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IF(Table1130[[#This Row],[Account]]&lt;&gt;"",$N$8,"")</f>
        <v/>
      </c>
      <c r="M85" s="18" t="str">
        <f>IF(Table1130[[#This Row],[Account]]&lt;&gt;"",J85+L85-$N$7,"")</f>
        <v/>
      </c>
      <c r="N85" s="19" t="str">
        <f>IF(Table1130[[#This Row],[Account]]&lt;&gt;"",IF(Table1130[[#This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IF(Table1130[[#This Row],[Account]]&lt;&gt;"",$N$8,"")</f>
        <v/>
      </c>
      <c r="M86" s="24" t="str">
        <f>IF(Table1130[[#This Row],[Account]]&lt;&gt;"",J86+L86-$N$7,"")</f>
        <v/>
      </c>
      <c r="N86" s="25" t="str">
        <f>IF(Table1130[[#This Row],[Account]]&lt;&gt;"",IF(Table1130[[#This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IF(Table1130[[#This Row],[Account]]&lt;&gt;"",$N$8,"")</f>
        <v/>
      </c>
      <c r="M87" s="18" t="str">
        <f>IF(Table1130[[#This Row],[Account]]&lt;&gt;"",J87+L87-$N$7,"")</f>
        <v/>
      </c>
      <c r="N87" s="19" t="str">
        <f>IF(Table1130[[#This Row],[Account]]&lt;&gt;"",IF(Table1130[[#This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IF(Table1130[[#This Row],[Account]]&lt;&gt;"",$N$8,"")</f>
        <v/>
      </c>
      <c r="M88" s="24" t="str">
        <f>IF(Table1130[[#This Row],[Account]]&lt;&gt;"",J88+L88-$N$7,"")</f>
        <v/>
      </c>
      <c r="N88" s="25" t="str">
        <f>IF(Table1130[[#This Row],[Account]]&lt;&gt;"",IF(Table1130[[#This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IF(Table1130[[#This Row],[Account]]&lt;&gt;"",$N$8,"")</f>
        <v/>
      </c>
      <c r="M89" s="18" t="str">
        <f>IF(Table1130[[#This Row],[Account]]&lt;&gt;"",J89+L89-$N$7,"")</f>
        <v/>
      </c>
      <c r="N89" s="19" t="str">
        <f>IF(Table1130[[#This Row],[Account]]&lt;&gt;"",IF(Table1130[[#This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IF(Table1130[[#This Row],[Account]]&lt;&gt;"",$N$8,"")</f>
        <v/>
      </c>
      <c r="M90" s="24" t="str">
        <f>IF(Table1130[[#This Row],[Account]]&lt;&gt;"",J90+L90-$N$7,"")</f>
        <v/>
      </c>
      <c r="N90" s="25" t="str">
        <f>IF(Table1130[[#This Row],[Account]]&lt;&gt;"",IF(Table1130[[#This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IF(Table1130[[#This Row],[Account]]&lt;&gt;"",$N$8,"")</f>
        <v/>
      </c>
      <c r="M91" s="18" t="str">
        <f>IF(Table1130[[#This Row],[Account]]&lt;&gt;"",J91+L91-$N$7,"")</f>
        <v/>
      </c>
      <c r="N91" s="19" t="str">
        <f>IF(Table1130[[#This Row],[Account]]&lt;&gt;"",IF(Table1130[[#This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IF(Table1130[[#This Row],[Account]]&lt;&gt;"",$N$8,"")</f>
        <v/>
      </c>
      <c r="M92" s="24" t="str">
        <f>IF(Table1130[[#This Row],[Account]]&lt;&gt;"",J92+L92-$N$7,"")</f>
        <v/>
      </c>
      <c r="N92" s="25" t="str">
        <f>IF(Table1130[[#This Row],[Account]]&lt;&gt;"",IF(Table1130[[#This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IF(Table1130[[#This Row],[Account]]&lt;&gt;"",$N$8,"")</f>
        <v/>
      </c>
      <c r="M93" s="18" t="str">
        <f>IF(Table1130[[#This Row],[Account]]&lt;&gt;"",J93+L93-$N$7,"")</f>
        <v/>
      </c>
      <c r="N93" s="19" t="str">
        <f>IF(Table1130[[#This Row],[Account]]&lt;&gt;"",IF(Table1130[[#This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IF(Table1130[[#This Row],[Account]]&lt;&gt;"",$N$8,"")</f>
        <v/>
      </c>
      <c r="M94" s="24" t="str">
        <f>IF(Table1130[[#This Row],[Account]]&lt;&gt;"",J94+L94-$N$7,"")</f>
        <v/>
      </c>
      <c r="N94" s="25" t="str">
        <f>IF(Table1130[[#This Row],[Account]]&lt;&gt;"",IF(Table1130[[#This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IF(Table1130[[#This Row],[Account]]&lt;&gt;"",$N$8,"")</f>
        <v/>
      </c>
      <c r="M95" s="18" t="str">
        <f>IF(Table1130[[#This Row],[Account]]&lt;&gt;"",J95+L95-$N$7,"")</f>
        <v/>
      </c>
      <c r="N95" s="19" t="str">
        <f>IF(Table1130[[#This Row],[Account]]&lt;&gt;"",IF(Table1130[[#This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IF(Table1130[[#This Row],[Account]]&lt;&gt;"",$N$8,"")</f>
        <v/>
      </c>
      <c r="M96" s="24" t="str">
        <f>IF(Table1130[[#This Row],[Account]]&lt;&gt;"",J96+L96-$N$7,"")</f>
        <v/>
      </c>
      <c r="N96" s="25" t="str">
        <f>IF(Table1130[[#This Row],[Account]]&lt;&gt;"",IF(Table1130[[#This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IF(Table1130[[#This Row],[Account]]&lt;&gt;"",$N$8,"")</f>
        <v/>
      </c>
      <c r="M97" s="18" t="str">
        <f>IF(Table1130[[#This Row],[Account]]&lt;&gt;"",J97+L97-$N$7,"")</f>
        <v/>
      </c>
      <c r="N97" s="19" t="str">
        <f>IF(Table1130[[#This Row],[Account]]&lt;&gt;"",IF(Table1130[[#This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IF(Table1130[[#This Row],[Account]]&lt;&gt;"",$N$8,"")</f>
        <v/>
      </c>
      <c r="M98" s="24" t="str">
        <f>IF(Table1130[[#This Row],[Account]]&lt;&gt;"",J98+L98-$N$7,"")</f>
        <v/>
      </c>
      <c r="N98" s="25" t="str">
        <f>IF(Table1130[[#This Row],[Account]]&lt;&gt;"",IF(Table1130[[#This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IF(Table1130[[#This Row],[Account]]&lt;&gt;"",$N$8,"")</f>
        <v/>
      </c>
      <c r="M99" s="18" t="str">
        <f>IF(Table1130[[#This Row],[Account]]&lt;&gt;"",J99+L99-$N$7,"")</f>
        <v/>
      </c>
      <c r="N99" s="19" t="str">
        <f>IF(Table1130[[#This Row],[Account]]&lt;&gt;"",IF(Table1130[[#This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IF(Table1130[[#This Row],[Account]]&lt;&gt;"",$N$8,"")</f>
        <v/>
      </c>
      <c r="M100" s="24" t="str">
        <f>IF(Table1130[[#This Row],[Account]]&lt;&gt;"",J100+L100-$N$7,"")</f>
        <v/>
      </c>
      <c r="N100" s="25" t="str">
        <f>IF(Table1130[[#This Row],[Account]]&lt;&gt;"",IF(Table1130[[#This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IF(Table1130[[#This Row],[Account]]&lt;&gt;"",$N$8,"")</f>
        <v/>
      </c>
      <c r="M101" s="18" t="str">
        <f>IF(Table1130[[#This Row],[Account]]&lt;&gt;"",J101+L101-$N$7,"")</f>
        <v/>
      </c>
      <c r="N101" s="19" t="str">
        <f>IF(Table1130[[#This Row],[Account]]&lt;&gt;"",IF(Table1130[[#This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IF(Table1130[[#This Row],[Account]]&lt;&gt;"",$N$8,"")</f>
        <v/>
      </c>
      <c r="M102" s="24" t="str">
        <f>IF(Table1130[[#This Row],[Account]]&lt;&gt;"",J102+L102-$N$7,"")</f>
        <v/>
      </c>
      <c r="N102" s="25" t="str">
        <f>IF(Table1130[[#This Row],[Account]]&lt;&gt;"",IF(Table1130[[#This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IF(Table1130[[#This Row],[Account]]&lt;&gt;"",$N$8,"")</f>
        <v/>
      </c>
      <c r="M103" s="18" t="str">
        <f>IF(Table1130[[#This Row],[Account]]&lt;&gt;"",J103+L103-$N$7,"")</f>
        <v/>
      </c>
      <c r="N103" s="19" t="str">
        <f>IF(Table1130[[#This Row],[Account]]&lt;&gt;"",IF(Table1130[[#This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IF(Table1130[[#This Row],[Account]]&lt;&gt;"",$N$8,"")</f>
        <v/>
      </c>
      <c r="M104" s="24" t="str">
        <f>IF(Table1130[[#This Row],[Account]]&lt;&gt;"",J104+L104-$N$7,"")</f>
        <v/>
      </c>
      <c r="N104" s="25" t="str">
        <f>IF(Table1130[[#This Row],[Account]]&lt;&gt;"",IF(Table1130[[#This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IF(Table1130[[#This Row],[Account]]&lt;&gt;"",$N$8,"")</f>
        <v/>
      </c>
      <c r="M105" s="18" t="str">
        <f>IF(Table1130[[#This Row],[Account]]&lt;&gt;"",J105+L105-$N$7,"")</f>
        <v/>
      </c>
      <c r="N105" s="19" t="str">
        <f>IF(Table1130[[#This Row],[Account]]&lt;&gt;"",IF(Table1130[[#This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IF(Table1130[[#This Row],[Account]]&lt;&gt;"",$N$8,"")</f>
        <v/>
      </c>
      <c r="M106" s="24" t="str">
        <f>IF(Table1130[[#This Row],[Account]]&lt;&gt;"",J106+L106-$N$7,"")</f>
        <v/>
      </c>
      <c r="N106" s="25" t="str">
        <f>IF(Table1130[[#This Row],[Account]]&lt;&gt;"",IF(Table1130[[#This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IF(Table1130[[#This Row],[Account]]&lt;&gt;"",$N$8,"")</f>
        <v/>
      </c>
      <c r="M107" s="18" t="str">
        <f>IF(Table1130[[#This Row],[Account]]&lt;&gt;"",J107+L107-$N$7,"")</f>
        <v/>
      </c>
      <c r="N107" s="19" t="str">
        <f>IF(Table1130[[#This Row],[Account]]&lt;&gt;"",IF(Table1130[[#This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IF(Table1130[[#This Row],[Account]]&lt;&gt;"",$N$8,"")</f>
        <v/>
      </c>
      <c r="M108" s="24" t="str">
        <f>IF(Table1130[[#This Row],[Account]]&lt;&gt;"",J108+L108-$N$7,"")</f>
        <v/>
      </c>
      <c r="N108" s="25" t="str">
        <f>IF(Table1130[[#This Row],[Account]]&lt;&gt;"",IF(Table1130[[#This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IF(Table1130[[#This Row],[Account]]&lt;&gt;"",$N$8,"")</f>
        <v/>
      </c>
      <c r="M109" s="18" t="str">
        <f>IF(Table1130[[#This Row],[Account]]&lt;&gt;"",J109+L109-$N$7,"")</f>
        <v/>
      </c>
      <c r="N109" s="19" t="str">
        <f>IF(Table1130[[#This Row],[Account]]&lt;&gt;"",IF(Table1130[[#This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IF(Table1130[[#This Row],[Account]]&lt;&gt;"",$N$8,"")</f>
        <v/>
      </c>
      <c r="M110" s="24" t="str">
        <f>IF(Table1130[[#This Row],[Account]]&lt;&gt;"",J110+L110-$N$7,"")</f>
        <v/>
      </c>
      <c r="N110" s="25" t="str">
        <f>IF(Table1130[[#This Row],[Account]]&lt;&gt;"",IF(Table1130[[#This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IF(Table1130[[#This Row],[Account]]&lt;&gt;"",$N$8,"")</f>
        <v/>
      </c>
      <c r="M111" s="18" t="str">
        <f>IF(Table1130[[#This Row],[Account]]&lt;&gt;"",J111+L111-$N$7,"")</f>
        <v/>
      </c>
      <c r="N111" s="19" t="str">
        <f>IF(Table1130[[#This Row],[Account]]&lt;&gt;"",IF(Table1130[[#This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IF(Table1130[[#This Row],[Account]]&lt;&gt;"",$N$8,"")</f>
        <v/>
      </c>
      <c r="M112" s="24" t="str">
        <f>IF(Table1130[[#This Row],[Account]]&lt;&gt;"",J112+L112-$N$7,"")</f>
        <v/>
      </c>
      <c r="N112" s="25" t="str">
        <f>IF(Table1130[[#This Row],[Account]]&lt;&gt;"",IF(Table1130[[#This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IF(Table1130[[#This Row],[Account]]&lt;&gt;"",$N$8,"")</f>
        <v/>
      </c>
      <c r="M113" s="18" t="str">
        <f>IF(Table1130[[#This Row],[Account]]&lt;&gt;"",J113+L113-$N$7,"")</f>
        <v/>
      </c>
      <c r="N113" s="19" t="str">
        <f>IF(Table1130[[#This Row],[Account]]&lt;&gt;"",IF(Table1130[[#This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916775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916775</v>
      </c>
      <c r="D15" s="15" t="s">
        <v>1807</v>
      </c>
      <c r="E15" s="15" t="s">
        <v>1808</v>
      </c>
      <c r="F15" s="14" t="s">
        <v>1809</v>
      </c>
      <c r="G15" s="17">
        <v>43189</v>
      </c>
      <c r="H15" s="14"/>
      <c r="I15" s="16">
        <v>-300</v>
      </c>
      <c r="J15" s="17">
        <v>43189</v>
      </c>
      <c r="K15" s="17">
        <v>43189</v>
      </c>
      <c r="L15" s="14">
        <f>IF(Table1129[[#This Row],[Account]]&lt;&gt;"",$N$8,"")</f>
        <v>0</v>
      </c>
      <c r="M15" s="105">
        <f>IF(Table1129[[#This Row],[Account]]&lt;&gt;"",J15+L15-$N$7,"")</f>
        <v>-347</v>
      </c>
      <c r="N15" s="74" t="str">
        <f>IF(Table1129[[#This Row],[Account]]&lt;&gt;"",IF(Table1129[[#This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IF(Table1129[[#This Row],[Account]]&lt;&gt;"",$N$8,"")</f>
        <v/>
      </c>
      <c r="M16" s="24" t="str">
        <f>IF(Table1129[[#This Row],[Account]]&lt;&gt;"",J16+L16-$N$7,"")</f>
        <v/>
      </c>
      <c r="N16" s="25" t="str">
        <f>IF(Table1129[[#This Row],[Account]]&lt;&gt;"",IF(Table1129[[#This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IF(Table1129[[#This Row],[Account]]&lt;&gt;"",$N$8,"")</f>
        <v/>
      </c>
      <c r="M17" s="18" t="str">
        <f>IF(Table1129[[#This Row],[Account]]&lt;&gt;"",J17+L17-$N$7,"")</f>
        <v/>
      </c>
      <c r="N17" s="19" t="str">
        <f>IF(Table1129[[#This Row],[Account]]&lt;&gt;"",IF(Table1129[[#This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IF(Table1129[[#This Row],[Account]]&lt;&gt;"",$N$8,"")</f>
        <v/>
      </c>
      <c r="M18" s="24" t="str">
        <f>IF(Table1129[[#This Row],[Account]]&lt;&gt;"",J18+L18-$N$7,"")</f>
        <v/>
      </c>
      <c r="N18" s="25" t="str">
        <f>IF(Table1129[[#This Row],[Account]]&lt;&gt;"",IF(Table1129[[#This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IF(Table1129[[#This Row],[Account]]&lt;&gt;"",$N$8,"")</f>
        <v/>
      </c>
      <c r="M19" s="18" t="str">
        <f>IF(Table1129[[#This Row],[Account]]&lt;&gt;"",J19+L19-$N$7,"")</f>
        <v/>
      </c>
      <c r="N19" s="19" t="str">
        <f>IF(Table1129[[#This Row],[Account]]&lt;&gt;"",IF(Table1129[[#This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IF(Table1129[[#This Row],[Account]]&lt;&gt;"",$N$8,"")</f>
        <v/>
      </c>
      <c r="M20" s="24" t="str">
        <f>IF(Table1129[[#This Row],[Account]]&lt;&gt;"",J20+L20-$N$7,"")</f>
        <v/>
      </c>
      <c r="N20" s="25" t="str">
        <f>IF(Table1129[[#This Row],[Account]]&lt;&gt;"",IF(Table1129[[#This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IF(Table1129[[#This Row],[Account]]&lt;&gt;"",$N$8,"")</f>
        <v/>
      </c>
      <c r="M21" s="18" t="str">
        <f>IF(Table1129[[#This Row],[Account]]&lt;&gt;"",J21+L21-$N$7,"")</f>
        <v/>
      </c>
      <c r="N21" s="19" t="str">
        <f>IF(Table1129[[#This Row],[Account]]&lt;&gt;"",IF(Table1129[[#This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IF(Table1129[[#This Row],[Account]]&lt;&gt;"",$N$8,"")</f>
        <v/>
      </c>
      <c r="M22" s="24" t="str">
        <f>IF(Table1129[[#This Row],[Account]]&lt;&gt;"",J22+L22-$N$7,"")</f>
        <v/>
      </c>
      <c r="N22" s="25" t="str">
        <f>IF(Table1129[[#This Row],[Account]]&lt;&gt;"",IF(Table1129[[#This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IF(Table1129[[#This Row],[Account]]&lt;&gt;"",$N$8,"")</f>
        <v/>
      </c>
      <c r="M23" s="18" t="str">
        <f>IF(Table1129[[#This Row],[Account]]&lt;&gt;"",J23+L23-$N$7,"")</f>
        <v/>
      </c>
      <c r="N23" s="19" t="str">
        <f>IF(Table1129[[#This Row],[Account]]&lt;&gt;"",IF(Table1129[[#This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IF(Table1129[[#This Row],[Account]]&lt;&gt;"",$N$8,"")</f>
        <v/>
      </c>
      <c r="M24" s="24" t="str">
        <f>IF(Table1129[[#This Row],[Account]]&lt;&gt;"",J24+L24-$N$7,"")</f>
        <v/>
      </c>
      <c r="N24" s="25" t="str">
        <f>IF(Table1129[[#This Row],[Account]]&lt;&gt;"",IF(Table1129[[#This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IF(Table1129[[#This Row],[Account]]&lt;&gt;"",$N$8,"")</f>
        <v/>
      </c>
      <c r="M25" s="18" t="str">
        <f>IF(Table1129[[#This Row],[Account]]&lt;&gt;"",J25+L25-$N$7,"")</f>
        <v/>
      </c>
      <c r="N25" s="19" t="str">
        <f>IF(Table1129[[#This Row],[Account]]&lt;&gt;"",IF(Table1129[[#This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IF(Table1129[[#This Row],[Account]]&lt;&gt;"",$N$8,"")</f>
        <v/>
      </c>
      <c r="M26" s="24" t="str">
        <f>IF(Table1129[[#This Row],[Account]]&lt;&gt;"",J26+L26-$N$7,"")</f>
        <v/>
      </c>
      <c r="N26" s="25" t="str">
        <f>IF(Table1129[[#This Row],[Account]]&lt;&gt;"",IF(Table1129[[#This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IF(Table1129[[#This Row],[Account]]&lt;&gt;"",$N$8,"")</f>
        <v/>
      </c>
      <c r="M27" s="18" t="str">
        <f>IF(Table1129[[#This Row],[Account]]&lt;&gt;"",J27+L27-$N$7,"")</f>
        <v/>
      </c>
      <c r="N27" s="19" t="str">
        <f>IF(Table1129[[#This Row],[Account]]&lt;&gt;"",IF(Table1129[[#This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IF(Table1129[[#This Row],[Account]]&lt;&gt;"",$N$8,"")</f>
        <v/>
      </c>
      <c r="M28" s="24" t="str">
        <f>IF(Table1129[[#This Row],[Account]]&lt;&gt;"",J28+L28-$N$7,"")</f>
        <v/>
      </c>
      <c r="N28" s="25" t="str">
        <f>IF(Table1129[[#This Row],[Account]]&lt;&gt;"",IF(Table1129[[#This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IF(Table1129[[#This Row],[Account]]&lt;&gt;"",$N$8,"")</f>
        <v/>
      </c>
      <c r="M29" s="18" t="str">
        <f>IF(Table1129[[#This Row],[Account]]&lt;&gt;"",J29+L29-$N$7,"")</f>
        <v/>
      </c>
      <c r="N29" s="19" t="str">
        <f>IF(Table1129[[#This Row],[Account]]&lt;&gt;"",IF(Table1129[[#This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IF(Table1129[[#This Row],[Account]]&lt;&gt;"",$N$8,"")</f>
        <v/>
      </c>
      <c r="M30" s="24" t="str">
        <f>IF(Table1129[[#This Row],[Account]]&lt;&gt;"",J30+L30-$N$7,"")</f>
        <v/>
      </c>
      <c r="N30" s="25" t="str">
        <f>IF(Table1129[[#This Row],[Account]]&lt;&gt;"",IF(Table1129[[#This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IF(Table1129[[#This Row],[Account]]&lt;&gt;"",$N$8,"")</f>
        <v/>
      </c>
      <c r="M31" s="18" t="str">
        <f>IF(Table1129[[#This Row],[Account]]&lt;&gt;"",J31+L31-$N$7,"")</f>
        <v/>
      </c>
      <c r="N31" s="19" t="str">
        <f>IF(Table1129[[#This Row],[Account]]&lt;&gt;"",IF(Table1129[[#This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IF(Table1129[[#This Row],[Account]]&lt;&gt;"",$N$8,"")</f>
        <v/>
      </c>
      <c r="M32" s="24" t="str">
        <f>IF(Table1129[[#This Row],[Account]]&lt;&gt;"",J32+L32-$N$7,"")</f>
        <v/>
      </c>
      <c r="N32" s="25" t="str">
        <f>IF(Table1129[[#This Row],[Account]]&lt;&gt;"",IF(Table1129[[#This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IF(Table1129[[#This Row],[Account]]&lt;&gt;"",$N$8,"")</f>
        <v/>
      </c>
      <c r="M33" s="18" t="str">
        <f>IF(Table1129[[#This Row],[Account]]&lt;&gt;"",J33+L33-$N$7,"")</f>
        <v/>
      </c>
      <c r="N33" s="19" t="str">
        <f>IF(Table1129[[#This Row],[Account]]&lt;&gt;"",IF(Table1129[[#This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IF(Table1129[[#This Row],[Account]]&lt;&gt;"",$N$8,"")</f>
        <v/>
      </c>
      <c r="M34" s="24" t="str">
        <f>IF(Table1129[[#This Row],[Account]]&lt;&gt;"",J34+L34-$N$7,"")</f>
        <v/>
      </c>
      <c r="N34" s="25" t="str">
        <f>IF(Table1129[[#This Row],[Account]]&lt;&gt;"",IF(Table1129[[#This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IF(Table1129[[#This Row],[Account]]&lt;&gt;"",$N$8,"")</f>
        <v/>
      </c>
      <c r="M35" s="18" t="str">
        <f>IF(Table1129[[#This Row],[Account]]&lt;&gt;"",J35+L35-$N$7,"")</f>
        <v/>
      </c>
      <c r="N35" s="19" t="str">
        <f>IF(Table1129[[#This Row],[Account]]&lt;&gt;"",IF(Table1129[[#This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IF(Table1129[[#This Row],[Account]]&lt;&gt;"",$N$8,"")</f>
        <v/>
      </c>
      <c r="M36" s="24" t="str">
        <f>IF(Table1129[[#This Row],[Account]]&lt;&gt;"",J36+L36-$N$7,"")</f>
        <v/>
      </c>
      <c r="N36" s="25" t="str">
        <f>IF(Table1129[[#This Row],[Account]]&lt;&gt;"",IF(Table1129[[#This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IF(Table1129[[#This Row],[Account]]&lt;&gt;"",$N$8,"")</f>
        <v/>
      </c>
      <c r="M37" s="18" t="str">
        <f>IF(Table1129[[#This Row],[Account]]&lt;&gt;"",J37+L37-$N$7,"")</f>
        <v/>
      </c>
      <c r="N37" s="19" t="str">
        <f>IF(Table1129[[#This Row],[Account]]&lt;&gt;"",IF(Table1129[[#This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IF(Table1129[[#This Row],[Account]]&lt;&gt;"",$N$8,"")</f>
        <v/>
      </c>
      <c r="M38" s="24" t="str">
        <f>IF(Table1129[[#This Row],[Account]]&lt;&gt;"",J38+L38-$N$7,"")</f>
        <v/>
      </c>
      <c r="N38" s="25" t="str">
        <f>IF(Table1129[[#This Row],[Account]]&lt;&gt;"",IF(Table1129[[#This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IF(Table1129[[#This Row],[Account]]&lt;&gt;"",$N$8,"")</f>
        <v/>
      </c>
      <c r="M39" s="18" t="str">
        <f>IF(Table1129[[#This Row],[Account]]&lt;&gt;"",J39+L39-$N$7,"")</f>
        <v/>
      </c>
      <c r="N39" s="19" t="str">
        <f>IF(Table1129[[#This Row],[Account]]&lt;&gt;"",IF(Table1129[[#This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IF(Table1129[[#This Row],[Account]]&lt;&gt;"",$N$8,"")</f>
        <v/>
      </c>
      <c r="M40" s="24" t="str">
        <f>IF(Table1129[[#This Row],[Account]]&lt;&gt;"",J40+L40-$N$7,"")</f>
        <v/>
      </c>
      <c r="N40" s="25" t="str">
        <f>IF(Table1129[[#This Row],[Account]]&lt;&gt;"",IF(Table1129[[#This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IF(Table1129[[#This Row],[Account]]&lt;&gt;"",$N$8,"")</f>
        <v/>
      </c>
      <c r="M41" s="18" t="str">
        <f>IF(Table1129[[#This Row],[Account]]&lt;&gt;"",J41+L41-$N$7,"")</f>
        <v/>
      </c>
      <c r="N41" s="19" t="str">
        <f>IF(Table1129[[#This Row],[Account]]&lt;&gt;"",IF(Table1129[[#This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IF(Table1129[[#This Row],[Account]]&lt;&gt;"",$N$8,"")</f>
        <v/>
      </c>
      <c r="M42" s="24" t="str">
        <f>IF(Table1129[[#This Row],[Account]]&lt;&gt;"",J42+L42-$N$7,"")</f>
        <v/>
      </c>
      <c r="N42" s="25" t="str">
        <f>IF(Table1129[[#This Row],[Account]]&lt;&gt;"",IF(Table1129[[#This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IF(Table1129[[#This Row],[Account]]&lt;&gt;"",$N$8,"")</f>
        <v/>
      </c>
      <c r="M43" s="18" t="str">
        <f>IF(Table1129[[#This Row],[Account]]&lt;&gt;"",J43+L43-$N$7,"")</f>
        <v/>
      </c>
      <c r="N43" s="19" t="str">
        <f>IF(Table1129[[#This Row],[Account]]&lt;&gt;"",IF(Table1129[[#This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IF(Table1129[[#This Row],[Account]]&lt;&gt;"",$N$8,"")</f>
        <v/>
      </c>
      <c r="M44" s="24" t="str">
        <f>IF(Table1129[[#This Row],[Account]]&lt;&gt;"",J44+L44-$N$7,"")</f>
        <v/>
      </c>
      <c r="N44" s="25" t="str">
        <f>IF(Table1129[[#This Row],[Account]]&lt;&gt;"",IF(Table1129[[#This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IF(Table1129[[#This Row],[Account]]&lt;&gt;"",$N$8,"")</f>
        <v/>
      </c>
      <c r="M45" s="18" t="str">
        <f>IF(Table1129[[#This Row],[Account]]&lt;&gt;"",J45+L45-$N$7,"")</f>
        <v/>
      </c>
      <c r="N45" s="19" t="str">
        <f>IF(Table1129[[#This Row],[Account]]&lt;&gt;"",IF(Table1129[[#This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IF(Table1129[[#This Row],[Account]]&lt;&gt;"",$N$8,"")</f>
        <v/>
      </c>
      <c r="M46" s="24" t="str">
        <f>IF(Table1129[[#This Row],[Account]]&lt;&gt;"",J46+L46-$N$7,"")</f>
        <v/>
      </c>
      <c r="N46" s="25" t="str">
        <f>IF(Table1129[[#This Row],[Account]]&lt;&gt;"",IF(Table1129[[#This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IF(Table1129[[#This Row],[Account]]&lt;&gt;"",$N$8,"")</f>
        <v/>
      </c>
      <c r="M47" s="18" t="str">
        <f>IF(Table1129[[#This Row],[Account]]&lt;&gt;"",J47+L47-$N$7,"")</f>
        <v/>
      </c>
      <c r="N47" s="19" t="str">
        <f>IF(Table1129[[#This Row],[Account]]&lt;&gt;"",IF(Table1129[[#This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IF(Table1129[[#This Row],[Account]]&lt;&gt;"",$N$8,"")</f>
        <v/>
      </c>
      <c r="M48" s="24" t="str">
        <f>IF(Table1129[[#This Row],[Account]]&lt;&gt;"",J48+L48-$N$7,"")</f>
        <v/>
      </c>
      <c r="N48" s="25" t="str">
        <f>IF(Table1129[[#This Row],[Account]]&lt;&gt;"",IF(Table1129[[#This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IF(Table1129[[#This Row],[Account]]&lt;&gt;"",$N$8,"")</f>
        <v/>
      </c>
      <c r="M49" s="18" t="str">
        <f>IF(Table1129[[#This Row],[Account]]&lt;&gt;"",J49+L49-$N$7,"")</f>
        <v/>
      </c>
      <c r="N49" s="19" t="str">
        <f>IF(Table1129[[#This Row],[Account]]&lt;&gt;"",IF(Table1129[[#This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IF(Table1129[[#This Row],[Account]]&lt;&gt;"",$N$8,"")</f>
        <v/>
      </c>
      <c r="M50" s="24" t="str">
        <f>IF(Table1129[[#This Row],[Account]]&lt;&gt;"",J50+L50-$N$7,"")</f>
        <v/>
      </c>
      <c r="N50" s="25" t="str">
        <f>IF(Table1129[[#This Row],[Account]]&lt;&gt;"",IF(Table1129[[#This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IF(Table1129[[#This Row],[Account]]&lt;&gt;"",$N$8,"")</f>
        <v/>
      </c>
      <c r="M51" s="18" t="str">
        <f>IF(Table1129[[#This Row],[Account]]&lt;&gt;"",J51+L51-$N$7,"")</f>
        <v/>
      </c>
      <c r="N51" s="19" t="str">
        <f>IF(Table1129[[#This Row],[Account]]&lt;&gt;"",IF(Table1129[[#This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IF(Table1129[[#This Row],[Account]]&lt;&gt;"",$N$8,"")</f>
        <v/>
      </c>
      <c r="M52" s="24" t="str">
        <f>IF(Table1129[[#This Row],[Account]]&lt;&gt;"",J52+L52-$N$7,"")</f>
        <v/>
      </c>
      <c r="N52" s="25" t="str">
        <f>IF(Table1129[[#This Row],[Account]]&lt;&gt;"",IF(Table1129[[#This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IF(Table1129[[#This Row],[Account]]&lt;&gt;"",$N$8,"")</f>
        <v/>
      </c>
      <c r="M53" s="18" t="str">
        <f>IF(Table1129[[#This Row],[Account]]&lt;&gt;"",J53+L53-$N$7,"")</f>
        <v/>
      </c>
      <c r="N53" s="19" t="str">
        <f>IF(Table1129[[#This Row],[Account]]&lt;&gt;"",IF(Table1129[[#This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IF(Table1129[[#This Row],[Account]]&lt;&gt;"",$N$8,"")</f>
        <v/>
      </c>
      <c r="M54" s="24" t="str">
        <f>IF(Table1129[[#This Row],[Account]]&lt;&gt;"",J54+L54-$N$7,"")</f>
        <v/>
      </c>
      <c r="N54" s="25" t="str">
        <f>IF(Table1129[[#This Row],[Account]]&lt;&gt;"",IF(Table1129[[#This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IF(Table1129[[#This Row],[Account]]&lt;&gt;"",$N$8,"")</f>
        <v/>
      </c>
      <c r="M55" s="18" t="str">
        <f>IF(Table1129[[#This Row],[Account]]&lt;&gt;"",J55+L55-$N$7,"")</f>
        <v/>
      </c>
      <c r="N55" s="19" t="str">
        <f>IF(Table1129[[#This Row],[Account]]&lt;&gt;"",IF(Table1129[[#This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IF(Table1129[[#This Row],[Account]]&lt;&gt;"",$N$8,"")</f>
        <v/>
      </c>
      <c r="M56" s="24" t="str">
        <f>IF(Table1129[[#This Row],[Account]]&lt;&gt;"",J56+L56-$N$7,"")</f>
        <v/>
      </c>
      <c r="N56" s="25" t="str">
        <f>IF(Table1129[[#This Row],[Account]]&lt;&gt;"",IF(Table1129[[#This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IF(Table1129[[#This Row],[Account]]&lt;&gt;"",$N$8,"")</f>
        <v/>
      </c>
      <c r="M57" s="18" t="str">
        <f>IF(Table1129[[#This Row],[Account]]&lt;&gt;"",J57+L57-$N$7,"")</f>
        <v/>
      </c>
      <c r="N57" s="19" t="str">
        <f>IF(Table1129[[#This Row],[Account]]&lt;&gt;"",IF(Table1129[[#This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IF(Table1129[[#This Row],[Account]]&lt;&gt;"",$N$8,"")</f>
        <v/>
      </c>
      <c r="M58" s="24" t="str">
        <f>IF(Table1129[[#This Row],[Account]]&lt;&gt;"",J58+L58-$N$7,"")</f>
        <v/>
      </c>
      <c r="N58" s="25" t="str">
        <f>IF(Table1129[[#This Row],[Account]]&lt;&gt;"",IF(Table1129[[#This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IF(Table1129[[#This Row],[Account]]&lt;&gt;"",$N$8,"")</f>
        <v/>
      </c>
      <c r="M59" s="18" t="str">
        <f>IF(Table1129[[#This Row],[Account]]&lt;&gt;"",J59+L59-$N$7,"")</f>
        <v/>
      </c>
      <c r="N59" s="19" t="str">
        <f>IF(Table1129[[#This Row],[Account]]&lt;&gt;"",IF(Table1129[[#This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IF(Table1129[[#This Row],[Account]]&lt;&gt;"",$N$8,"")</f>
        <v/>
      </c>
      <c r="M60" s="24" t="str">
        <f>IF(Table1129[[#This Row],[Account]]&lt;&gt;"",J60+L60-$N$7,"")</f>
        <v/>
      </c>
      <c r="N60" s="25" t="str">
        <f>IF(Table1129[[#This Row],[Account]]&lt;&gt;"",IF(Table1129[[#This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IF(Table1129[[#This Row],[Account]]&lt;&gt;"",$N$8,"")</f>
        <v/>
      </c>
      <c r="M61" s="18" t="str">
        <f>IF(Table1129[[#This Row],[Account]]&lt;&gt;"",J61+L61-$N$7,"")</f>
        <v/>
      </c>
      <c r="N61" s="19" t="str">
        <f>IF(Table1129[[#This Row],[Account]]&lt;&gt;"",IF(Table1129[[#This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IF(Table1129[[#This Row],[Account]]&lt;&gt;"",$N$8,"")</f>
        <v/>
      </c>
      <c r="M62" s="24" t="str">
        <f>IF(Table1129[[#This Row],[Account]]&lt;&gt;"",J62+L62-$N$7,"")</f>
        <v/>
      </c>
      <c r="N62" s="25" t="str">
        <f>IF(Table1129[[#This Row],[Account]]&lt;&gt;"",IF(Table1129[[#This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IF(Table1129[[#This Row],[Account]]&lt;&gt;"",$N$8,"")</f>
        <v/>
      </c>
      <c r="M63" s="18" t="str">
        <f>IF(Table1129[[#This Row],[Account]]&lt;&gt;"",J63+L63-$N$7,"")</f>
        <v/>
      </c>
      <c r="N63" s="19" t="str">
        <f>IF(Table1129[[#This Row],[Account]]&lt;&gt;"",IF(Table1129[[#This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IF(Table1129[[#This Row],[Account]]&lt;&gt;"",$N$8,"")</f>
        <v/>
      </c>
      <c r="M64" s="24" t="str">
        <f>IF(Table1129[[#This Row],[Account]]&lt;&gt;"",J64+L64-$N$7,"")</f>
        <v/>
      </c>
      <c r="N64" s="25" t="str">
        <f>IF(Table1129[[#This Row],[Account]]&lt;&gt;"",IF(Table1129[[#This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IF(Table1129[[#This Row],[Account]]&lt;&gt;"",$N$8,"")</f>
        <v/>
      </c>
      <c r="M65" s="18" t="str">
        <f>IF(Table1129[[#This Row],[Account]]&lt;&gt;"",J65+L65-$N$7,"")</f>
        <v/>
      </c>
      <c r="N65" s="19" t="str">
        <f>IF(Table1129[[#This Row],[Account]]&lt;&gt;"",IF(Table1129[[#This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IF(Table1129[[#This Row],[Account]]&lt;&gt;"",$N$8,"")</f>
        <v/>
      </c>
      <c r="M66" s="24" t="str">
        <f>IF(Table1129[[#This Row],[Account]]&lt;&gt;"",J66+L66-$N$7,"")</f>
        <v/>
      </c>
      <c r="N66" s="25" t="str">
        <f>IF(Table1129[[#This Row],[Account]]&lt;&gt;"",IF(Table1129[[#This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IF(Table1129[[#This Row],[Account]]&lt;&gt;"",$N$8,"")</f>
        <v/>
      </c>
      <c r="M67" s="18" t="str">
        <f>IF(Table1129[[#This Row],[Account]]&lt;&gt;"",J67+L67-$N$7,"")</f>
        <v/>
      </c>
      <c r="N67" s="19" t="str">
        <f>IF(Table1129[[#This Row],[Account]]&lt;&gt;"",IF(Table1129[[#This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IF(Table1129[[#This Row],[Account]]&lt;&gt;"",$N$8,"")</f>
        <v/>
      </c>
      <c r="M68" s="24" t="str">
        <f>IF(Table1129[[#This Row],[Account]]&lt;&gt;"",J68+L68-$N$7,"")</f>
        <v/>
      </c>
      <c r="N68" s="25" t="str">
        <f>IF(Table1129[[#This Row],[Account]]&lt;&gt;"",IF(Table1129[[#This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IF(Table1129[[#This Row],[Account]]&lt;&gt;"",$N$8,"")</f>
        <v/>
      </c>
      <c r="M69" s="18" t="str">
        <f>IF(Table1129[[#This Row],[Account]]&lt;&gt;"",J69+L69-$N$7,"")</f>
        <v/>
      </c>
      <c r="N69" s="19" t="str">
        <f>IF(Table1129[[#This Row],[Account]]&lt;&gt;"",IF(Table1129[[#This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IF(Table1129[[#This Row],[Account]]&lt;&gt;"",$N$8,"")</f>
        <v/>
      </c>
      <c r="M70" s="24" t="str">
        <f>IF(Table1129[[#This Row],[Account]]&lt;&gt;"",J70+L70-$N$7,"")</f>
        <v/>
      </c>
      <c r="N70" s="25" t="str">
        <f>IF(Table1129[[#This Row],[Account]]&lt;&gt;"",IF(Table1129[[#This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IF(Table1129[[#This Row],[Account]]&lt;&gt;"",$N$8,"")</f>
        <v/>
      </c>
      <c r="M71" s="18" t="str">
        <f>IF(Table1129[[#This Row],[Account]]&lt;&gt;"",J71+L71-$N$7,"")</f>
        <v/>
      </c>
      <c r="N71" s="19" t="str">
        <f>IF(Table1129[[#This Row],[Account]]&lt;&gt;"",IF(Table1129[[#This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IF(Table1129[[#This Row],[Account]]&lt;&gt;"",$N$8,"")</f>
        <v/>
      </c>
      <c r="M72" s="24" t="str">
        <f>IF(Table1129[[#This Row],[Account]]&lt;&gt;"",J72+L72-$N$7,"")</f>
        <v/>
      </c>
      <c r="N72" s="25" t="str">
        <f>IF(Table1129[[#This Row],[Account]]&lt;&gt;"",IF(Table1129[[#This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IF(Table1129[[#This Row],[Account]]&lt;&gt;"",$N$8,"")</f>
        <v/>
      </c>
      <c r="M73" s="18" t="str">
        <f>IF(Table1129[[#This Row],[Account]]&lt;&gt;"",J73+L73-$N$7,"")</f>
        <v/>
      </c>
      <c r="N73" s="19" t="str">
        <f>IF(Table1129[[#This Row],[Account]]&lt;&gt;"",IF(Table1129[[#This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IF(Table1129[[#This Row],[Account]]&lt;&gt;"",$N$8,"")</f>
        <v/>
      </c>
      <c r="M74" s="24" t="str">
        <f>IF(Table1129[[#This Row],[Account]]&lt;&gt;"",J74+L74-$N$7,"")</f>
        <v/>
      </c>
      <c r="N74" s="25" t="str">
        <f>IF(Table1129[[#This Row],[Account]]&lt;&gt;"",IF(Table1129[[#This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IF(Table1129[[#This Row],[Account]]&lt;&gt;"",$N$8,"")</f>
        <v/>
      </c>
      <c r="M75" s="18" t="str">
        <f>IF(Table1129[[#This Row],[Account]]&lt;&gt;"",J75+L75-$N$7,"")</f>
        <v/>
      </c>
      <c r="N75" s="19" t="str">
        <f>IF(Table1129[[#This Row],[Account]]&lt;&gt;"",IF(Table1129[[#This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IF(Table1129[[#This Row],[Account]]&lt;&gt;"",$N$8,"")</f>
        <v/>
      </c>
      <c r="M76" s="24" t="str">
        <f>IF(Table1129[[#This Row],[Account]]&lt;&gt;"",J76+L76-$N$7,"")</f>
        <v/>
      </c>
      <c r="N76" s="25" t="str">
        <f>IF(Table1129[[#This Row],[Account]]&lt;&gt;"",IF(Table1129[[#This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IF(Table1129[[#This Row],[Account]]&lt;&gt;"",$N$8,"")</f>
        <v/>
      </c>
      <c r="M77" s="18" t="str">
        <f>IF(Table1129[[#This Row],[Account]]&lt;&gt;"",J77+L77-$N$7,"")</f>
        <v/>
      </c>
      <c r="N77" s="19" t="str">
        <f>IF(Table1129[[#This Row],[Account]]&lt;&gt;"",IF(Table1129[[#This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IF(Table1129[[#This Row],[Account]]&lt;&gt;"",$N$8,"")</f>
        <v/>
      </c>
      <c r="M78" s="24" t="str">
        <f>IF(Table1129[[#This Row],[Account]]&lt;&gt;"",J78+L78-$N$7,"")</f>
        <v/>
      </c>
      <c r="N78" s="25" t="str">
        <f>IF(Table1129[[#This Row],[Account]]&lt;&gt;"",IF(Table1129[[#This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IF(Table1129[[#This Row],[Account]]&lt;&gt;"",$N$8,"")</f>
        <v/>
      </c>
      <c r="M79" s="18" t="str">
        <f>IF(Table1129[[#This Row],[Account]]&lt;&gt;"",J79+L79-$N$7,"")</f>
        <v/>
      </c>
      <c r="N79" s="19" t="str">
        <f>IF(Table1129[[#This Row],[Account]]&lt;&gt;"",IF(Table1129[[#This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IF(Table1129[[#This Row],[Account]]&lt;&gt;"",$N$8,"")</f>
        <v/>
      </c>
      <c r="M80" s="24" t="str">
        <f>IF(Table1129[[#This Row],[Account]]&lt;&gt;"",J80+L80-$N$7,"")</f>
        <v/>
      </c>
      <c r="N80" s="25" t="str">
        <f>IF(Table1129[[#This Row],[Account]]&lt;&gt;"",IF(Table1129[[#This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IF(Table1129[[#This Row],[Account]]&lt;&gt;"",$N$8,"")</f>
        <v/>
      </c>
      <c r="M81" s="18" t="str">
        <f>IF(Table1129[[#This Row],[Account]]&lt;&gt;"",J81+L81-$N$7,"")</f>
        <v/>
      </c>
      <c r="N81" s="19" t="str">
        <f>IF(Table1129[[#This Row],[Account]]&lt;&gt;"",IF(Table1129[[#This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IF(Table1129[[#This Row],[Account]]&lt;&gt;"",$N$8,"")</f>
        <v/>
      </c>
      <c r="M82" s="24" t="str">
        <f>IF(Table1129[[#This Row],[Account]]&lt;&gt;"",J82+L82-$N$7,"")</f>
        <v/>
      </c>
      <c r="N82" s="25" t="str">
        <f>IF(Table1129[[#This Row],[Account]]&lt;&gt;"",IF(Table1129[[#This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IF(Table1129[[#This Row],[Account]]&lt;&gt;"",$N$8,"")</f>
        <v/>
      </c>
      <c r="M83" s="18" t="str">
        <f>IF(Table1129[[#This Row],[Account]]&lt;&gt;"",J83+L83-$N$7,"")</f>
        <v/>
      </c>
      <c r="N83" s="19" t="str">
        <f>IF(Table1129[[#This Row],[Account]]&lt;&gt;"",IF(Table1129[[#This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IF(Table1129[[#This Row],[Account]]&lt;&gt;"",$N$8,"")</f>
        <v/>
      </c>
      <c r="M84" s="24" t="str">
        <f>IF(Table1129[[#This Row],[Account]]&lt;&gt;"",J84+L84-$N$7,"")</f>
        <v/>
      </c>
      <c r="N84" s="25" t="str">
        <f>IF(Table1129[[#This Row],[Account]]&lt;&gt;"",IF(Table1129[[#This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IF(Table1129[[#This Row],[Account]]&lt;&gt;"",$N$8,"")</f>
        <v/>
      </c>
      <c r="M85" s="18" t="str">
        <f>IF(Table1129[[#This Row],[Account]]&lt;&gt;"",J85+L85-$N$7,"")</f>
        <v/>
      </c>
      <c r="N85" s="19" t="str">
        <f>IF(Table1129[[#This Row],[Account]]&lt;&gt;"",IF(Table1129[[#This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IF(Table1129[[#This Row],[Account]]&lt;&gt;"",$N$8,"")</f>
        <v/>
      </c>
      <c r="M86" s="24" t="str">
        <f>IF(Table1129[[#This Row],[Account]]&lt;&gt;"",J86+L86-$N$7,"")</f>
        <v/>
      </c>
      <c r="N86" s="25" t="str">
        <f>IF(Table1129[[#This Row],[Account]]&lt;&gt;"",IF(Table1129[[#This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IF(Table1129[[#This Row],[Account]]&lt;&gt;"",$N$8,"")</f>
        <v/>
      </c>
      <c r="M87" s="18" t="str">
        <f>IF(Table1129[[#This Row],[Account]]&lt;&gt;"",J87+L87-$N$7,"")</f>
        <v/>
      </c>
      <c r="N87" s="19" t="str">
        <f>IF(Table1129[[#This Row],[Account]]&lt;&gt;"",IF(Table1129[[#This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IF(Table1129[[#This Row],[Account]]&lt;&gt;"",$N$8,"")</f>
        <v/>
      </c>
      <c r="M88" s="24" t="str">
        <f>IF(Table1129[[#This Row],[Account]]&lt;&gt;"",J88+L88-$N$7,"")</f>
        <v/>
      </c>
      <c r="N88" s="25" t="str">
        <f>IF(Table1129[[#This Row],[Account]]&lt;&gt;"",IF(Table1129[[#This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IF(Table1129[[#This Row],[Account]]&lt;&gt;"",$N$8,"")</f>
        <v/>
      </c>
      <c r="M89" s="18" t="str">
        <f>IF(Table1129[[#This Row],[Account]]&lt;&gt;"",J89+L89-$N$7,"")</f>
        <v/>
      </c>
      <c r="N89" s="19" t="str">
        <f>IF(Table1129[[#This Row],[Account]]&lt;&gt;"",IF(Table1129[[#This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IF(Table1129[[#This Row],[Account]]&lt;&gt;"",$N$8,"")</f>
        <v/>
      </c>
      <c r="M90" s="24" t="str">
        <f>IF(Table1129[[#This Row],[Account]]&lt;&gt;"",J90+L90-$N$7,"")</f>
        <v/>
      </c>
      <c r="N90" s="25" t="str">
        <f>IF(Table1129[[#This Row],[Account]]&lt;&gt;"",IF(Table1129[[#This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IF(Table1129[[#This Row],[Account]]&lt;&gt;"",$N$8,"")</f>
        <v/>
      </c>
      <c r="M91" s="18" t="str">
        <f>IF(Table1129[[#This Row],[Account]]&lt;&gt;"",J91+L91-$N$7,"")</f>
        <v/>
      </c>
      <c r="N91" s="19" t="str">
        <f>IF(Table1129[[#This Row],[Account]]&lt;&gt;"",IF(Table1129[[#This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IF(Table1129[[#This Row],[Account]]&lt;&gt;"",$N$8,"")</f>
        <v/>
      </c>
      <c r="M92" s="24" t="str">
        <f>IF(Table1129[[#This Row],[Account]]&lt;&gt;"",J92+L92-$N$7,"")</f>
        <v/>
      </c>
      <c r="N92" s="25" t="str">
        <f>IF(Table1129[[#This Row],[Account]]&lt;&gt;"",IF(Table1129[[#This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IF(Table1129[[#This Row],[Account]]&lt;&gt;"",$N$8,"")</f>
        <v/>
      </c>
      <c r="M93" s="18" t="str">
        <f>IF(Table1129[[#This Row],[Account]]&lt;&gt;"",J93+L93-$N$7,"")</f>
        <v/>
      </c>
      <c r="N93" s="19" t="str">
        <f>IF(Table1129[[#This Row],[Account]]&lt;&gt;"",IF(Table1129[[#This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IF(Table1129[[#This Row],[Account]]&lt;&gt;"",$N$8,"")</f>
        <v/>
      </c>
      <c r="M94" s="24" t="str">
        <f>IF(Table1129[[#This Row],[Account]]&lt;&gt;"",J94+L94-$N$7,"")</f>
        <v/>
      </c>
      <c r="N94" s="25" t="str">
        <f>IF(Table1129[[#This Row],[Account]]&lt;&gt;"",IF(Table1129[[#This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IF(Table1129[[#This Row],[Account]]&lt;&gt;"",$N$8,"")</f>
        <v/>
      </c>
      <c r="M95" s="18" t="str">
        <f>IF(Table1129[[#This Row],[Account]]&lt;&gt;"",J95+L95-$N$7,"")</f>
        <v/>
      </c>
      <c r="N95" s="19" t="str">
        <f>IF(Table1129[[#This Row],[Account]]&lt;&gt;"",IF(Table1129[[#This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IF(Table1129[[#This Row],[Account]]&lt;&gt;"",$N$8,"")</f>
        <v/>
      </c>
      <c r="M96" s="24" t="str">
        <f>IF(Table1129[[#This Row],[Account]]&lt;&gt;"",J96+L96-$N$7,"")</f>
        <v/>
      </c>
      <c r="N96" s="25" t="str">
        <f>IF(Table1129[[#This Row],[Account]]&lt;&gt;"",IF(Table1129[[#This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IF(Table1129[[#This Row],[Account]]&lt;&gt;"",$N$8,"")</f>
        <v/>
      </c>
      <c r="M97" s="18" t="str">
        <f>IF(Table1129[[#This Row],[Account]]&lt;&gt;"",J97+L97-$N$7,"")</f>
        <v/>
      </c>
      <c r="N97" s="19" t="str">
        <f>IF(Table1129[[#This Row],[Account]]&lt;&gt;"",IF(Table1129[[#This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IF(Table1129[[#This Row],[Account]]&lt;&gt;"",$N$8,"")</f>
        <v/>
      </c>
      <c r="M98" s="24" t="str">
        <f>IF(Table1129[[#This Row],[Account]]&lt;&gt;"",J98+L98-$N$7,"")</f>
        <v/>
      </c>
      <c r="N98" s="25" t="str">
        <f>IF(Table1129[[#This Row],[Account]]&lt;&gt;"",IF(Table1129[[#This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IF(Table1129[[#This Row],[Account]]&lt;&gt;"",$N$8,"")</f>
        <v/>
      </c>
      <c r="M99" s="18" t="str">
        <f>IF(Table1129[[#This Row],[Account]]&lt;&gt;"",J99+L99-$N$7,"")</f>
        <v/>
      </c>
      <c r="N99" s="19" t="str">
        <f>IF(Table1129[[#This Row],[Account]]&lt;&gt;"",IF(Table1129[[#This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IF(Table1129[[#This Row],[Account]]&lt;&gt;"",$N$8,"")</f>
        <v/>
      </c>
      <c r="M100" s="24" t="str">
        <f>IF(Table1129[[#This Row],[Account]]&lt;&gt;"",J100+L100-$N$7,"")</f>
        <v/>
      </c>
      <c r="N100" s="25" t="str">
        <f>IF(Table1129[[#This Row],[Account]]&lt;&gt;"",IF(Table1129[[#This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IF(Table1129[[#This Row],[Account]]&lt;&gt;"",$N$8,"")</f>
        <v/>
      </c>
      <c r="M101" s="18" t="str">
        <f>IF(Table1129[[#This Row],[Account]]&lt;&gt;"",J101+L101-$N$7,"")</f>
        <v/>
      </c>
      <c r="N101" s="19" t="str">
        <f>IF(Table1129[[#This Row],[Account]]&lt;&gt;"",IF(Table1129[[#This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IF(Table1129[[#This Row],[Account]]&lt;&gt;"",$N$8,"")</f>
        <v/>
      </c>
      <c r="M102" s="24" t="str">
        <f>IF(Table1129[[#This Row],[Account]]&lt;&gt;"",J102+L102-$N$7,"")</f>
        <v/>
      </c>
      <c r="N102" s="25" t="str">
        <f>IF(Table1129[[#This Row],[Account]]&lt;&gt;"",IF(Table1129[[#This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IF(Table1129[[#This Row],[Account]]&lt;&gt;"",$N$8,"")</f>
        <v/>
      </c>
      <c r="M103" s="18" t="str">
        <f>IF(Table1129[[#This Row],[Account]]&lt;&gt;"",J103+L103-$N$7,"")</f>
        <v/>
      </c>
      <c r="N103" s="19" t="str">
        <f>IF(Table1129[[#This Row],[Account]]&lt;&gt;"",IF(Table1129[[#This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IF(Table1129[[#This Row],[Account]]&lt;&gt;"",$N$8,"")</f>
        <v/>
      </c>
      <c r="M104" s="24" t="str">
        <f>IF(Table1129[[#This Row],[Account]]&lt;&gt;"",J104+L104-$N$7,"")</f>
        <v/>
      </c>
      <c r="N104" s="25" t="str">
        <f>IF(Table1129[[#This Row],[Account]]&lt;&gt;"",IF(Table1129[[#This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IF(Table1129[[#This Row],[Account]]&lt;&gt;"",$N$8,"")</f>
        <v/>
      </c>
      <c r="M105" s="18" t="str">
        <f>IF(Table1129[[#This Row],[Account]]&lt;&gt;"",J105+L105-$N$7,"")</f>
        <v/>
      </c>
      <c r="N105" s="19" t="str">
        <f>IF(Table1129[[#This Row],[Account]]&lt;&gt;"",IF(Table1129[[#This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IF(Table1129[[#This Row],[Account]]&lt;&gt;"",$N$8,"")</f>
        <v/>
      </c>
      <c r="M106" s="24" t="str">
        <f>IF(Table1129[[#This Row],[Account]]&lt;&gt;"",J106+L106-$N$7,"")</f>
        <v/>
      </c>
      <c r="N106" s="25" t="str">
        <f>IF(Table1129[[#This Row],[Account]]&lt;&gt;"",IF(Table1129[[#This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IF(Table1129[[#This Row],[Account]]&lt;&gt;"",$N$8,"")</f>
        <v/>
      </c>
      <c r="M107" s="18" t="str">
        <f>IF(Table1129[[#This Row],[Account]]&lt;&gt;"",J107+L107-$N$7,"")</f>
        <v/>
      </c>
      <c r="N107" s="19" t="str">
        <f>IF(Table1129[[#This Row],[Account]]&lt;&gt;"",IF(Table1129[[#This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IF(Table1129[[#This Row],[Account]]&lt;&gt;"",$N$8,"")</f>
        <v/>
      </c>
      <c r="M108" s="24" t="str">
        <f>IF(Table1129[[#This Row],[Account]]&lt;&gt;"",J108+L108-$N$7,"")</f>
        <v/>
      </c>
      <c r="N108" s="25" t="str">
        <f>IF(Table1129[[#This Row],[Account]]&lt;&gt;"",IF(Table1129[[#This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IF(Table1129[[#This Row],[Account]]&lt;&gt;"",$N$8,"")</f>
        <v/>
      </c>
      <c r="M109" s="18" t="str">
        <f>IF(Table1129[[#This Row],[Account]]&lt;&gt;"",J109+L109-$N$7,"")</f>
        <v/>
      </c>
      <c r="N109" s="19" t="str">
        <f>IF(Table1129[[#This Row],[Account]]&lt;&gt;"",IF(Table1129[[#This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IF(Table1129[[#This Row],[Account]]&lt;&gt;"",$N$8,"")</f>
        <v/>
      </c>
      <c r="M110" s="24" t="str">
        <f>IF(Table1129[[#This Row],[Account]]&lt;&gt;"",J110+L110-$N$7,"")</f>
        <v/>
      </c>
      <c r="N110" s="25" t="str">
        <f>IF(Table1129[[#This Row],[Account]]&lt;&gt;"",IF(Table1129[[#This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IF(Table1129[[#This Row],[Account]]&lt;&gt;"",$N$8,"")</f>
        <v/>
      </c>
      <c r="M111" s="18" t="str">
        <f>IF(Table1129[[#This Row],[Account]]&lt;&gt;"",J111+L111-$N$7,"")</f>
        <v/>
      </c>
      <c r="N111" s="19" t="str">
        <f>IF(Table1129[[#This Row],[Account]]&lt;&gt;"",IF(Table1129[[#This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IF(Table1129[[#This Row],[Account]]&lt;&gt;"",$N$8,"")</f>
        <v/>
      </c>
      <c r="M112" s="24" t="str">
        <f>IF(Table1129[[#This Row],[Account]]&lt;&gt;"",J112+L112-$N$7,"")</f>
        <v/>
      </c>
      <c r="N112" s="25" t="str">
        <f>IF(Table1129[[#This Row],[Account]]&lt;&gt;"",IF(Table1129[[#This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IF(Table1129[[#This Row],[Account]]&lt;&gt;"",$N$8,"")</f>
        <v/>
      </c>
      <c r="M113" s="18" t="str">
        <f>IF(Table1129[[#This Row],[Account]]&lt;&gt;"",J113+L113-$N$7,"")</f>
        <v/>
      </c>
      <c r="N113" s="19" t="str">
        <f>IF(Table1129[[#This Row],[Account]]&lt;&gt;"",IF(Table1129[[#This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916703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1800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1801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916703</v>
      </c>
      <c r="D15" s="15" t="s">
        <v>1802</v>
      </c>
      <c r="E15" s="15" t="s">
        <v>1803</v>
      </c>
      <c r="F15" s="14" t="s">
        <v>1804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IF(Table1128[[#This Row],[Account]]&lt;&gt;"",$N$8,"")</f>
        <v>0</v>
      </c>
      <c r="M15" s="105">
        <f>IF(Table1128[[#This Row],[Account]]&lt;&gt;"",J15+L15-$N$7,"")</f>
        <v>-239</v>
      </c>
      <c r="N15" s="74" t="str">
        <f>IF(Table1128[[#This Row],[Account]]&lt;&gt;"",IF(Table1128[[#This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IF(Table1128[[#This Row],[Account]]&lt;&gt;"",$N$8,"")</f>
        <v/>
      </c>
      <c r="M16" s="24" t="str">
        <f>IF(Table1128[[#This Row],[Account]]&lt;&gt;"",J16+L16-$N$7,"")</f>
        <v/>
      </c>
      <c r="N16" s="25" t="str">
        <f>IF(Table1128[[#This Row],[Account]]&lt;&gt;"",IF(Table1128[[#This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IF(Table1128[[#This Row],[Account]]&lt;&gt;"",$N$8,"")</f>
        <v/>
      </c>
      <c r="M17" s="18" t="str">
        <f>IF(Table1128[[#This Row],[Account]]&lt;&gt;"",J17+L17-$N$7,"")</f>
        <v/>
      </c>
      <c r="N17" s="19" t="str">
        <f>IF(Table1128[[#This Row],[Account]]&lt;&gt;"",IF(Table1128[[#This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IF(Table1128[[#This Row],[Account]]&lt;&gt;"",$N$8,"")</f>
        <v/>
      </c>
      <c r="M18" s="24" t="str">
        <f>IF(Table1128[[#This Row],[Account]]&lt;&gt;"",J18+L18-$N$7,"")</f>
        <v/>
      </c>
      <c r="N18" s="25" t="str">
        <f>IF(Table1128[[#This Row],[Account]]&lt;&gt;"",IF(Table1128[[#This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IF(Table1128[[#This Row],[Account]]&lt;&gt;"",$N$8,"")</f>
        <v/>
      </c>
      <c r="M19" s="18" t="str">
        <f>IF(Table1128[[#This Row],[Account]]&lt;&gt;"",J19+L19-$N$7,"")</f>
        <v/>
      </c>
      <c r="N19" s="19" t="str">
        <f>IF(Table1128[[#This Row],[Account]]&lt;&gt;"",IF(Table1128[[#This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IF(Table1128[[#This Row],[Account]]&lt;&gt;"",$N$8,"")</f>
        <v/>
      </c>
      <c r="M20" s="24" t="str">
        <f>IF(Table1128[[#This Row],[Account]]&lt;&gt;"",J20+L20-$N$7,"")</f>
        <v/>
      </c>
      <c r="N20" s="25" t="str">
        <f>IF(Table1128[[#This Row],[Account]]&lt;&gt;"",IF(Table1128[[#This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IF(Table1128[[#This Row],[Account]]&lt;&gt;"",$N$8,"")</f>
        <v/>
      </c>
      <c r="M21" s="18" t="str">
        <f>IF(Table1128[[#This Row],[Account]]&lt;&gt;"",J21+L21-$N$7,"")</f>
        <v/>
      </c>
      <c r="N21" s="19" t="str">
        <f>IF(Table1128[[#This Row],[Account]]&lt;&gt;"",IF(Table1128[[#This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IF(Table1128[[#This Row],[Account]]&lt;&gt;"",$N$8,"")</f>
        <v/>
      </c>
      <c r="M22" s="24" t="str">
        <f>IF(Table1128[[#This Row],[Account]]&lt;&gt;"",J22+L22-$N$7,"")</f>
        <v/>
      </c>
      <c r="N22" s="25" t="str">
        <f>IF(Table1128[[#This Row],[Account]]&lt;&gt;"",IF(Table1128[[#This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IF(Table1128[[#This Row],[Account]]&lt;&gt;"",$N$8,"")</f>
        <v/>
      </c>
      <c r="M23" s="18" t="str">
        <f>IF(Table1128[[#This Row],[Account]]&lt;&gt;"",J23+L23-$N$7,"")</f>
        <v/>
      </c>
      <c r="N23" s="19" t="str">
        <f>IF(Table1128[[#This Row],[Account]]&lt;&gt;"",IF(Table1128[[#This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IF(Table1128[[#This Row],[Account]]&lt;&gt;"",$N$8,"")</f>
        <v/>
      </c>
      <c r="M24" s="24" t="str">
        <f>IF(Table1128[[#This Row],[Account]]&lt;&gt;"",J24+L24-$N$7,"")</f>
        <v/>
      </c>
      <c r="N24" s="25" t="str">
        <f>IF(Table1128[[#This Row],[Account]]&lt;&gt;"",IF(Table1128[[#This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IF(Table1128[[#This Row],[Account]]&lt;&gt;"",$N$8,"")</f>
        <v/>
      </c>
      <c r="M25" s="18" t="str">
        <f>IF(Table1128[[#This Row],[Account]]&lt;&gt;"",J25+L25-$N$7,"")</f>
        <v/>
      </c>
      <c r="N25" s="19" t="str">
        <f>IF(Table1128[[#This Row],[Account]]&lt;&gt;"",IF(Table1128[[#This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IF(Table1128[[#This Row],[Account]]&lt;&gt;"",$N$8,"")</f>
        <v/>
      </c>
      <c r="M26" s="24" t="str">
        <f>IF(Table1128[[#This Row],[Account]]&lt;&gt;"",J26+L26-$N$7,"")</f>
        <v/>
      </c>
      <c r="N26" s="25" t="str">
        <f>IF(Table1128[[#This Row],[Account]]&lt;&gt;"",IF(Table1128[[#This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IF(Table1128[[#This Row],[Account]]&lt;&gt;"",$N$8,"")</f>
        <v/>
      </c>
      <c r="M27" s="18" t="str">
        <f>IF(Table1128[[#This Row],[Account]]&lt;&gt;"",J27+L27-$N$7,"")</f>
        <v/>
      </c>
      <c r="N27" s="19" t="str">
        <f>IF(Table1128[[#This Row],[Account]]&lt;&gt;"",IF(Table1128[[#This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IF(Table1128[[#This Row],[Account]]&lt;&gt;"",$N$8,"")</f>
        <v/>
      </c>
      <c r="M28" s="24" t="str">
        <f>IF(Table1128[[#This Row],[Account]]&lt;&gt;"",J28+L28-$N$7,"")</f>
        <v/>
      </c>
      <c r="N28" s="25" t="str">
        <f>IF(Table1128[[#This Row],[Account]]&lt;&gt;"",IF(Table1128[[#This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IF(Table1128[[#This Row],[Account]]&lt;&gt;"",$N$8,"")</f>
        <v/>
      </c>
      <c r="M29" s="18" t="str">
        <f>IF(Table1128[[#This Row],[Account]]&lt;&gt;"",J29+L29-$N$7,"")</f>
        <v/>
      </c>
      <c r="N29" s="19" t="str">
        <f>IF(Table1128[[#This Row],[Account]]&lt;&gt;"",IF(Table1128[[#This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IF(Table1128[[#This Row],[Account]]&lt;&gt;"",$N$8,"")</f>
        <v/>
      </c>
      <c r="M30" s="24" t="str">
        <f>IF(Table1128[[#This Row],[Account]]&lt;&gt;"",J30+L30-$N$7,"")</f>
        <v/>
      </c>
      <c r="N30" s="25" t="str">
        <f>IF(Table1128[[#This Row],[Account]]&lt;&gt;"",IF(Table1128[[#This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IF(Table1128[[#This Row],[Account]]&lt;&gt;"",$N$8,"")</f>
        <v/>
      </c>
      <c r="M31" s="18" t="str">
        <f>IF(Table1128[[#This Row],[Account]]&lt;&gt;"",J31+L31-$N$7,"")</f>
        <v/>
      </c>
      <c r="N31" s="19" t="str">
        <f>IF(Table1128[[#This Row],[Account]]&lt;&gt;"",IF(Table1128[[#This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IF(Table1128[[#This Row],[Account]]&lt;&gt;"",$N$8,"")</f>
        <v/>
      </c>
      <c r="M32" s="24" t="str">
        <f>IF(Table1128[[#This Row],[Account]]&lt;&gt;"",J32+L32-$N$7,"")</f>
        <v/>
      </c>
      <c r="N32" s="25" t="str">
        <f>IF(Table1128[[#This Row],[Account]]&lt;&gt;"",IF(Table1128[[#This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IF(Table1128[[#This Row],[Account]]&lt;&gt;"",$N$8,"")</f>
        <v/>
      </c>
      <c r="M33" s="18" t="str">
        <f>IF(Table1128[[#This Row],[Account]]&lt;&gt;"",J33+L33-$N$7,"")</f>
        <v/>
      </c>
      <c r="N33" s="19" t="str">
        <f>IF(Table1128[[#This Row],[Account]]&lt;&gt;"",IF(Table1128[[#This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IF(Table1128[[#This Row],[Account]]&lt;&gt;"",$N$8,"")</f>
        <v/>
      </c>
      <c r="M34" s="24" t="str">
        <f>IF(Table1128[[#This Row],[Account]]&lt;&gt;"",J34+L34-$N$7,"")</f>
        <v/>
      </c>
      <c r="N34" s="25" t="str">
        <f>IF(Table1128[[#This Row],[Account]]&lt;&gt;"",IF(Table1128[[#This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IF(Table1128[[#This Row],[Account]]&lt;&gt;"",$N$8,"")</f>
        <v/>
      </c>
      <c r="M35" s="18" t="str">
        <f>IF(Table1128[[#This Row],[Account]]&lt;&gt;"",J35+L35-$N$7,"")</f>
        <v/>
      </c>
      <c r="N35" s="19" t="str">
        <f>IF(Table1128[[#This Row],[Account]]&lt;&gt;"",IF(Table1128[[#This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IF(Table1128[[#This Row],[Account]]&lt;&gt;"",$N$8,"")</f>
        <v/>
      </c>
      <c r="M36" s="24" t="str">
        <f>IF(Table1128[[#This Row],[Account]]&lt;&gt;"",J36+L36-$N$7,"")</f>
        <v/>
      </c>
      <c r="N36" s="25" t="str">
        <f>IF(Table1128[[#This Row],[Account]]&lt;&gt;"",IF(Table1128[[#This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IF(Table1128[[#This Row],[Account]]&lt;&gt;"",$N$8,"")</f>
        <v/>
      </c>
      <c r="M37" s="18" t="str">
        <f>IF(Table1128[[#This Row],[Account]]&lt;&gt;"",J37+L37-$N$7,"")</f>
        <v/>
      </c>
      <c r="N37" s="19" t="str">
        <f>IF(Table1128[[#This Row],[Account]]&lt;&gt;"",IF(Table1128[[#This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IF(Table1128[[#This Row],[Account]]&lt;&gt;"",$N$8,"")</f>
        <v/>
      </c>
      <c r="M38" s="24" t="str">
        <f>IF(Table1128[[#This Row],[Account]]&lt;&gt;"",J38+L38-$N$7,"")</f>
        <v/>
      </c>
      <c r="N38" s="25" t="str">
        <f>IF(Table1128[[#This Row],[Account]]&lt;&gt;"",IF(Table1128[[#This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IF(Table1128[[#This Row],[Account]]&lt;&gt;"",$N$8,"")</f>
        <v/>
      </c>
      <c r="M39" s="18" t="str">
        <f>IF(Table1128[[#This Row],[Account]]&lt;&gt;"",J39+L39-$N$7,"")</f>
        <v/>
      </c>
      <c r="N39" s="19" t="str">
        <f>IF(Table1128[[#This Row],[Account]]&lt;&gt;"",IF(Table1128[[#This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IF(Table1128[[#This Row],[Account]]&lt;&gt;"",$N$8,"")</f>
        <v/>
      </c>
      <c r="M40" s="24" t="str">
        <f>IF(Table1128[[#This Row],[Account]]&lt;&gt;"",J40+L40-$N$7,"")</f>
        <v/>
      </c>
      <c r="N40" s="25" t="str">
        <f>IF(Table1128[[#This Row],[Account]]&lt;&gt;"",IF(Table1128[[#This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IF(Table1128[[#This Row],[Account]]&lt;&gt;"",$N$8,"")</f>
        <v/>
      </c>
      <c r="M41" s="18" t="str">
        <f>IF(Table1128[[#This Row],[Account]]&lt;&gt;"",J41+L41-$N$7,"")</f>
        <v/>
      </c>
      <c r="N41" s="19" t="str">
        <f>IF(Table1128[[#This Row],[Account]]&lt;&gt;"",IF(Table1128[[#This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IF(Table1128[[#This Row],[Account]]&lt;&gt;"",$N$8,"")</f>
        <v/>
      </c>
      <c r="M42" s="24" t="str">
        <f>IF(Table1128[[#This Row],[Account]]&lt;&gt;"",J42+L42-$N$7,"")</f>
        <v/>
      </c>
      <c r="N42" s="25" t="str">
        <f>IF(Table1128[[#This Row],[Account]]&lt;&gt;"",IF(Table1128[[#This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IF(Table1128[[#This Row],[Account]]&lt;&gt;"",$N$8,"")</f>
        <v/>
      </c>
      <c r="M43" s="18" t="str">
        <f>IF(Table1128[[#This Row],[Account]]&lt;&gt;"",J43+L43-$N$7,"")</f>
        <v/>
      </c>
      <c r="N43" s="19" t="str">
        <f>IF(Table1128[[#This Row],[Account]]&lt;&gt;"",IF(Table1128[[#This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IF(Table1128[[#This Row],[Account]]&lt;&gt;"",$N$8,"")</f>
        <v/>
      </c>
      <c r="M44" s="24" t="str">
        <f>IF(Table1128[[#This Row],[Account]]&lt;&gt;"",J44+L44-$N$7,"")</f>
        <v/>
      </c>
      <c r="N44" s="25" t="str">
        <f>IF(Table1128[[#This Row],[Account]]&lt;&gt;"",IF(Table1128[[#This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IF(Table1128[[#This Row],[Account]]&lt;&gt;"",$N$8,"")</f>
        <v/>
      </c>
      <c r="M45" s="18" t="str">
        <f>IF(Table1128[[#This Row],[Account]]&lt;&gt;"",J45+L45-$N$7,"")</f>
        <v/>
      </c>
      <c r="N45" s="19" t="str">
        <f>IF(Table1128[[#This Row],[Account]]&lt;&gt;"",IF(Table1128[[#This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IF(Table1128[[#This Row],[Account]]&lt;&gt;"",$N$8,"")</f>
        <v/>
      </c>
      <c r="M46" s="24" t="str">
        <f>IF(Table1128[[#This Row],[Account]]&lt;&gt;"",J46+L46-$N$7,"")</f>
        <v/>
      </c>
      <c r="N46" s="25" t="str">
        <f>IF(Table1128[[#This Row],[Account]]&lt;&gt;"",IF(Table1128[[#This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IF(Table1128[[#This Row],[Account]]&lt;&gt;"",$N$8,"")</f>
        <v/>
      </c>
      <c r="M47" s="18" t="str">
        <f>IF(Table1128[[#This Row],[Account]]&lt;&gt;"",J47+L47-$N$7,"")</f>
        <v/>
      </c>
      <c r="N47" s="19" t="str">
        <f>IF(Table1128[[#This Row],[Account]]&lt;&gt;"",IF(Table1128[[#This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IF(Table1128[[#This Row],[Account]]&lt;&gt;"",$N$8,"")</f>
        <v/>
      </c>
      <c r="M48" s="24" t="str">
        <f>IF(Table1128[[#This Row],[Account]]&lt;&gt;"",J48+L48-$N$7,"")</f>
        <v/>
      </c>
      <c r="N48" s="25" t="str">
        <f>IF(Table1128[[#This Row],[Account]]&lt;&gt;"",IF(Table1128[[#This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IF(Table1128[[#This Row],[Account]]&lt;&gt;"",$N$8,"")</f>
        <v/>
      </c>
      <c r="M49" s="18" t="str">
        <f>IF(Table1128[[#This Row],[Account]]&lt;&gt;"",J49+L49-$N$7,"")</f>
        <v/>
      </c>
      <c r="N49" s="19" t="str">
        <f>IF(Table1128[[#This Row],[Account]]&lt;&gt;"",IF(Table1128[[#This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IF(Table1128[[#This Row],[Account]]&lt;&gt;"",$N$8,"")</f>
        <v/>
      </c>
      <c r="M50" s="24" t="str">
        <f>IF(Table1128[[#This Row],[Account]]&lt;&gt;"",J50+L50-$N$7,"")</f>
        <v/>
      </c>
      <c r="N50" s="25" t="str">
        <f>IF(Table1128[[#This Row],[Account]]&lt;&gt;"",IF(Table1128[[#This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IF(Table1128[[#This Row],[Account]]&lt;&gt;"",$N$8,"")</f>
        <v/>
      </c>
      <c r="M51" s="18" t="str">
        <f>IF(Table1128[[#This Row],[Account]]&lt;&gt;"",J51+L51-$N$7,"")</f>
        <v/>
      </c>
      <c r="N51" s="19" t="str">
        <f>IF(Table1128[[#This Row],[Account]]&lt;&gt;"",IF(Table1128[[#This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IF(Table1128[[#This Row],[Account]]&lt;&gt;"",$N$8,"")</f>
        <v/>
      </c>
      <c r="M52" s="24" t="str">
        <f>IF(Table1128[[#This Row],[Account]]&lt;&gt;"",J52+L52-$N$7,"")</f>
        <v/>
      </c>
      <c r="N52" s="25" t="str">
        <f>IF(Table1128[[#This Row],[Account]]&lt;&gt;"",IF(Table1128[[#This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IF(Table1128[[#This Row],[Account]]&lt;&gt;"",$N$8,"")</f>
        <v/>
      </c>
      <c r="M53" s="18" t="str">
        <f>IF(Table1128[[#This Row],[Account]]&lt;&gt;"",J53+L53-$N$7,"")</f>
        <v/>
      </c>
      <c r="N53" s="19" t="str">
        <f>IF(Table1128[[#This Row],[Account]]&lt;&gt;"",IF(Table1128[[#This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IF(Table1128[[#This Row],[Account]]&lt;&gt;"",$N$8,"")</f>
        <v/>
      </c>
      <c r="M54" s="24" t="str">
        <f>IF(Table1128[[#This Row],[Account]]&lt;&gt;"",J54+L54-$N$7,"")</f>
        <v/>
      </c>
      <c r="N54" s="25" t="str">
        <f>IF(Table1128[[#This Row],[Account]]&lt;&gt;"",IF(Table1128[[#This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IF(Table1128[[#This Row],[Account]]&lt;&gt;"",$N$8,"")</f>
        <v/>
      </c>
      <c r="M55" s="18" t="str">
        <f>IF(Table1128[[#This Row],[Account]]&lt;&gt;"",J55+L55-$N$7,"")</f>
        <v/>
      </c>
      <c r="N55" s="19" t="str">
        <f>IF(Table1128[[#This Row],[Account]]&lt;&gt;"",IF(Table1128[[#This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IF(Table1128[[#This Row],[Account]]&lt;&gt;"",$N$8,"")</f>
        <v/>
      </c>
      <c r="M56" s="24" t="str">
        <f>IF(Table1128[[#This Row],[Account]]&lt;&gt;"",J56+L56-$N$7,"")</f>
        <v/>
      </c>
      <c r="N56" s="25" t="str">
        <f>IF(Table1128[[#This Row],[Account]]&lt;&gt;"",IF(Table1128[[#This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IF(Table1128[[#This Row],[Account]]&lt;&gt;"",$N$8,"")</f>
        <v/>
      </c>
      <c r="M57" s="18" t="str">
        <f>IF(Table1128[[#This Row],[Account]]&lt;&gt;"",J57+L57-$N$7,"")</f>
        <v/>
      </c>
      <c r="N57" s="19" t="str">
        <f>IF(Table1128[[#This Row],[Account]]&lt;&gt;"",IF(Table1128[[#This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IF(Table1128[[#This Row],[Account]]&lt;&gt;"",$N$8,"")</f>
        <v/>
      </c>
      <c r="M58" s="24" t="str">
        <f>IF(Table1128[[#This Row],[Account]]&lt;&gt;"",J58+L58-$N$7,"")</f>
        <v/>
      </c>
      <c r="N58" s="25" t="str">
        <f>IF(Table1128[[#This Row],[Account]]&lt;&gt;"",IF(Table1128[[#This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IF(Table1128[[#This Row],[Account]]&lt;&gt;"",$N$8,"")</f>
        <v/>
      </c>
      <c r="M59" s="18" t="str">
        <f>IF(Table1128[[#This Row],[Account]]&lt;&gt;"",J59+L59-$N$7,"")</f>
        <v/>
      </c>
      <c r="N59" s="19" t="str">
        <f>IF(Table1128[[#This Row],[Account]]&lt;&gt;"",IF(Table1128[[#This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IF(Table1128[[#This Row],[Account]]&lt;&gt;"",$N$8,"")</f>
        <v/>
      </c>
      <c r="M60" s="24" t="str">
        <f>IF(Table1128[[#This Row],[Account]]&lt;&gt;"",J60+L60-$N$7,"")</f>
        <v/>
      </c>
      <c r="N60" s="25" t="str">
        <f>IF(Table1128[[#This Row],[Account]]&lt;&gt;"",IF(Table1128[[#This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IF(Table1128[[#This Row],[Account]]&lt;&gt;"",$N$8,"")</f>
        <v/>
      </c>
      <c r="M61" s="18" t="str">
        <f>IF(Table1128[[#This Row],[Account]]&lt;&gt;"",J61+L61-$N$7,"")</f>
        <v/>
      </c>
      <c r="N61" s="19" t="str">
        <f>IF(Table1128[[#This Row],[Account]]&lt;&gt;"",IF(Table1128[[#This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IF(Table1128[[#This Row],[Account]]&lt;&gt;"",$N$8,"")</f>
        <v/>
      </c>
      <c r="M62" s="24" t="str">
        <f>IF(Table1128[[#This Row],[Account]]&lt;&gt;"",J62+L62-$N$7,"")</f>
        <v/>
      </c>
      <c r="N62" s="25" t="str">
        <f>IF(Table1128[[#This Row],[Account]]&lt;&gt;"",IF(Table1128[[#This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IF(Table1128[[#This Row],[Account]]&lt;&gt;"",$N$8,"")</f>
        <v/>
      </c>
      <c r="M63" s="18" t="str">
        <f>IF(Table1128[[#This Row],[Account]]&lt;&gt;"",J63+L63-$N$7,"")</f>
        <v/>
      </c>
      <c r="N63" s="19" t="str">
        <f>IF(Table1128[[#This Row],[Account]]&lt;&gt;"",IF(Table1128[[#This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IF(Table1128[[#This Row],[Account]]&lt;&gt;"",$N$8,"")</f>
        <v/>
      </c>
      <c r="M64" s="24" t="str">
        <f>IF(Table1128[[#This Row],[Account]]&lt;&gt;"",J64+L64-$N$7,"")</f>
        <v/>
      </c>
      <c r="N64" s="25" t="str">
        <f>IF(Table1128[[#This Row],[Account]]&lt;&gt;"",IF(Table1128[[#This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IF(Table1128[[#This Row],[Account]]&lt;&gt;"",$N$8,"")</f>
        <v/>
      </c>
      <c r="M65" s="18" t="str">
        <f>IF(Table1128[[#This Row],[Account]]&lt;&gt;"",J65+L65-$N$7,"")</f>
        <v/>
      </c>
      <c r="N65" s="19" t="str">
        <f>IF(Table1128[[#This Row],[Account]]&lt;&gt;"",IF(Table1128[[#This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IF(Table1128[[#This Row],[Account]]&lt;&gt;"",$N$8,"")</f>
        <v/>
      </c>
      <c r="M66" s="24" t="str">
        <f>IF(Table1128[[#This Row],[Account]]&lt;&gt;"",J66+L66-$N$7,"")</f>
        <v/>
      </c>
      <c r="N66" s="25" t="str">
        <f>IF(Table1128[[#This Row],[Account]]&lt;&gt;"",IF(Table1128[[#This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IF(Table1128[[#This Row],[Account]]&lt;&gt;"",$N$8,"")</f>
        <v/>
      </c>
      <c r="M67" s="18" t="str">
        <f>IF(Table1128[[#This Row],[Account]]&lt;&gt;"",J67+L67-$N$7,"")</f>
        <v/>
      </c>
      <c r="N67" s="19" t="str">
        <f>IF(Table1128[[#This Row],[Account]]&lt;&gt;"",IF(Table1128[[#This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IF(Table1128[[#This Row],[Account]]&lt;&gt;"",$N$8,"")</f>
        <v/>
      </c>
      <c r="M68" s="24" t="str">
        <f>IF(Table1128[[#This Row],[Account]]&lt;&gt;"",J68+L68-$N$7,"")</f>
        <v/>
      </c>
      <c r="N68" s="25" t="str">
        <f>IF(Table1128[[#This Row],[Account]]&lt;&gt;"",IF(Table1128[[#This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IF(Table1128[[#This Row],[Account]]&lt;&gt;"",$N$8,"")</f>
        <v/>
      </c>
      <c r="M69" s="18" t="str">
        <f>IF(Table1128[[#This Row],[Account]]&lt;&gt;"",J69+L69-$N$7,"")</f>
        <v/>
      </c>
      <c r="N69" s="19" t="str">
        <f>IF(Table1128[[#This Row],[Account]]&lt;&gt;"",IF(Table1128[[#This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IF(Table1128[[#This Row],[Account]]&lt;&gt;"",$N$8,"")</f>
        <v/>
      </c>
      <c r="M70" s="24" t="str">
        <f>IF(Table1128[[#This Row],[Account]]&lt;&gt;"",J70+L70-$N$7,"")</f>
        <v/>
      </c>
      <c r="N70" s="25" t="str">
        <f>IF(Table1128[[#This Row],[Account]]&lt;&gt;"",IF(Table1128[[#This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IF(Table1128[[#This Row],[Account]]&lt;&gt;"",$N$8,"")</f>
        <v/>
      </c>
      <c r="M71" s="18" t="str">
        <f>IF(Table1128[[#This Row],[Account]]&lt;&gt;"",J71+L71-$N$7,"")</f>
        <v/>
      </c>
      <c r="N71" s="19" t="str">
        <f>IF(Table1128[[#This Row],[Account]]&lt;&gt;"",IF(Table1128[[#This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IF(Table1128[[#This Row],[Account]]&lt;&gt;"",$N$8,"")</f>
        <v/>
      </c>
      <c r="M72" s="24" t="str">
        <f>IF(Table1128[[#This Row],[Account]]&lt;&gt;"",J72+L72-$N$7,"")</f>
        <v/>
      </c>
      <c r="N72" s="25" t="str">
        <f>IF(Table1128[[#This Row],[Account]]&lt;&gt;"",IF(Table1128[[#This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IF(Table1128[[#This Row],[Account]]&lt;&gt;"",$N$8,"")</f>
        <v/>
      </c>
      <c r="M73" s="18" t="str">
        <f>IF(Table1128[[#This Row],[Account]]&lt;&gt;"",J73+L73-$N$7,"")</f>
        <v/>
      </c>
      <c r="N73" s="19" t="str">
        <f>IF(Table1128[[#This Row],[Account]]&lt;&gt;"",IF(Table1128[[#This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IF(Table1128[[#This Row],[Account]]&lt;&gt;"",$N$8,"")</f>
        <v/>
      </c>
      <c r="M74" s="24" t="str">
        <f>IF(Table1128[[#This Row],[Account]]&lt;&gt;"",J74+L74-$N$7,"")</f>
        <v/>
      </c>
      <c r="N74" s="25" t="str">
        <f>IF(Table1128[[#This Row],[Account]]&lt;&gt;"",IF(Table1128[[#This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IF(Table1128[[#This Row],[Account]]&lt;&gt;"",$N$8,"")</f>
        <v/>
      </c>
      <c r="M75" s="18" t="str">
        <f>IF(Table1128[[#This Row],[Account]]&lt;&gt;"",J75+L75-$N$7,"")</f>
        <v/>
      </c>
      <c r="N75" s="19" t="str">
        <f>IF(Table1128[[#This Row],[Account]]&lt;&gt;"",IF(Table1128[[#This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IF(Table1128[[#This Row],[Account]]&lt;&gt;"",$N$8,"")</f>
        <v/>
      </c>
      <c r="M76" s="24" t="str">
        <f>IF(Table1128[[#This Row],[Account]]&lt;&gt;"",J76+L76-$N$7,"")</f>
        <v/>
      </c>
      <c r="N76" s="25" t="str">
        <f>IF(Table1128[[#This Row],[Account]]&lt;&gt;"",IF(Table1128[[#This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IF(Table1128[[#This Row],[Account]]&lt;&gt;"",$N$8,"")</f>
        <v/>
      </c>
      <c r="M77" s="18" t="str">
        <f>IF(Table1128[[#This Row],[Account]]&lt;&gt;"",J77+L77-$N$7,"")</f>
        <v/>
      </c>
      <c r="N77" s="19" t="str">
        <f>IF(Table1128[[#This Row],[Account]]&lt;&gt;"",IF(Table1128[[#This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IF(Table1128[[#This Row],[Account]]&lt;&gt;"",$N$8,"")</f>
        <v/>
      </c>
      <c r="M78" s="24" t="str">
        <f>IF(Table1128[[#This Row],[Account]]&lt;&gt;"",J78+L78-$N$7,"")</f>
        <v/>
      </c>
      <c r="N78" s="25" t="str">
        <f>IF(Table1128[[#This Row],[Account]]&lt;&gt;"",IF(Table1128[[#This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IF(Table1128[[#This Row],[Account]]&lt;&gt;"",$N$8,"")</f>
        <v/>
      </c>
      <c r="M79" s="18" t="str">
        <f>IF(Table1128[[#This Row],[Account]]&lt;&gt;"",J79+L79-$N$7,"")</f>
        <v/>
      </c>
      <c r="N79" s="19" t="str">
        <f>IF(Table1128[[#This Row],[Account]]&lt;&gt;"",IF(Table1128[[#This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IF(Table1128[[#This Row],[Account]]&lt;&gt;"",$N$8,"")</f>
        <v/>
      </c>
      <c r="M80" s="24" t="str">
        <f>IF(Table1128[[#This Row],[Account]]&lt;&gt;"",J80+L80-$N$7,"")</f>
        <v/>
      </c>
      <c r="N80" s="25" t="str">
        <f>IF(Table1128[[#This Row],[Account]]&lt;&gt;"",IF(Table1128[[#This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IF(Table1128[[#This Row],[Account]]&lt;&gt;"",$N$8,"")</f>
        <v/>
      </c>
      <c r="M81" s="18" t="str">
        <f>IF(Table1128[[#This Row],[Account]]&lt;&gt;"",J81+L81-$N$7,"")</f>
        <v/>
      </c>
      <c r="N81" s="19" t="str">
        <f>IF(Table1128[[#This Row],[Account]]&lt;&gt;"",IF(Table1128[[#This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IF(Table1128[[#This Row],[Account]]&lt;&gt;"",$N$8,"")</f>
        <v/>
      </c>
      <c r="M82" s="24" t="str">
        <f>IF(Table1128[[#This Row],[Account]]&lt;&gt;"",J82+L82-$N$7,"")</f>
        <v/>
      </c>
      <c r="N82" s="25" t="str">
        <f>IF(Table1128[[#This Row],[Account]]&lt;&gt;"",IF(Table1128[[#This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IF(Table1128[[#This Row],[Account]]&lt;&gt;"",$N$8,"")</f>
        <v/>
      </c>
      <c r="M83" s="18" t="str">
        <f>IF(Table1128[[#This Row],[Account]]&lt;&gt;"",J83+L83-$N$7,"")</f>
        <v/>
      </c>
      <c r="N83" s="19" t="str">
        <f>IF(Table1128[[#This Row],[Account]]&lt;&gt;"",IF(Table1128[[#This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IF(Table1128[[#This Row],[Account]]&lt;&gt;"",$N$8,"")</f>
        <v/>
      </c>
      <c r="M84" s="24" t="str">
        <f>IF(Table1128[[#This Row],[Account]]&lt;&gt;"",J84+L84-$N$7,"")</f>
        <v/>
      </c>
      <c r="N84" s="25" t="str">
        <f>IF(Table1128[[#This Row],[Account]]&lt;&gt;"",IF(Table1128[[#This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IF(Table1128[[#This Row],[Account]]&lt;&gt;"",$N$8,"")</f>
        <v/>
      </c>
      <c r="M85" s="18" t="str">
        <f>IF(Table1128[[#This Row],[Account]]&lt;&gt;"",J85+L85-$N$7,"")</f>
        <v/>
      </c>
      <c r="N85" s="19" t="str">
        <f>IF(Table1128[[#This Row],[Account]]&lt;&gt;"",IF(Table1128[[#This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IF(Table1128[[#This Row],[Account]]&lt;&gt;"",$N$8,"")</f>
        <v/>
      </c>
      <c r="M86" s="24" t="str">
        <f>IF(Table1128[[#This Row],[Account]]&lt;&gt;"",J86+L86-$N$7,"")</f>
        <v/>
      </c>
      <c r="N86" s="25" t="str">
        <f>IF(Table1128[[#This Row],[Account]]&lt;&gt;"",IF(Table1128[[#This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IF(Table1128[[#This Row],[Account]]&lt;&gt;"",$N$8,"")</f>
        <v/>
      </c>
      <c r="M87" s="18" t="str">
        <f>IF(Table1128[[#This Row],[Account]]&lt;&gt;"",J87+L87-$N$7,"")</f>
        <v/>
      </c>
      <c r="N87" s="19" t="str">
        <f>IF(Table1128[[#This Row],[Account]]&lt;&gt;"",IF(Table1128[[#This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IF(Table1128[[#This Row],[Account]]&lt;&gt;"",$N$8,"")</f>
        <v/>
      </c>
      <c r="M88" s="24" t="str">
        <f>IF(Table1128[[#This Row],[Account]]&lt;&gt;"",J88+L88-$N$7,"")</f>
        <v/>
      </c>
      <c r="N88" s="25" t="str">
        <f>IF(Table1128[[#This Row],[Account]]&lt;&gt;"",IF(Table1128[[#This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IF(Table1128[[#This Row],[Account]]&lt;&gt;"",$N$8,"")</f>
        <v/>
      </c>
      <c r="M89" s="18" t="str">
        <f>IF(Table1128[[#This Row],[Account]]&lt;&gt;"",J89+L89-$N$7,"")</f>
        <v/>
      </c>
      <c r="N89" s="19" t="str">
        <f>IF(Table1128[[#This Row],[Account]]&lt;&gt;"",IF(Table1128[[#This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IF(Table1128[[#This Row],[Account]]&lt;&gt;"",$N$8,"")</f>
        <v/>
      </c>
      <c r="M90" s="24" t="str">
        <f>IF(Table1128[[#This Row],[Account]]&lt;&gt;"",J90+L90-$N$7,"")</f>
        <v/>
      </c>
      <c r="N90" s="25" t="str">
        <f>IF(Table1128[[#This Row],[Account]]&lt;&gt;"",IF(Table1128[[#This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IF(Table1128[[#This Row],[Account]]&lt;&gt;"",$N$8,"")</f>
        <v/>
      </c>
      <c r="M91" s="18" t="str">
        <f>IF(Table1128[[#This Row],[Account]]&lt;&gt;"",J91+L91-$N$7,"")</f>
        <v/>
      </c>
      <c r="N91" s="19" t="str">
        <f>IF(Table1128[[#This Row],[Account]]&lt;&gt;"",IF(Table1128[[#This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IF(Table1128[[#This Row],[Account]]&lt;&gt;"",$N$8,"")</f>
        <v/>
      </c>
      <c r="M92" s="24" t="str">
        <f>IF(Table1128[[#This Row],[Account]]&lt;&gt;"",J92+L92-$N$7,"")</f>
        <v/>
      </c>
      <c r="N92" s="25" t="str">
        <f>IF(Table1128[[#This Row],[Account]]&lt;&gt;"",IF(Table1128[[#This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IF(Table1128[[#This Row],[Account]]&lt;&gt;"",$N$8,"")</f>
        <v/>
      </c>
      <c r="M93" s="18" t="str">
        <f>IF(Table1128[[#This Row],[Account]]&lt;&gt;"",J93+L93-$N$7,"")</f>
        <v/>
      </c>
      <c r="N93" s="19" t="str">
        <f>IF(Table1128[[#This Row],[Account]]&lt;&gt;"",IF(Table1128[[#This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IF(Table1128[[#This Row],[Account]]&lt;&gt;"",$N$8,"")</f>
        <v/>
      </c>
      <c r="M94" s="24" t="str">
        <f>IF(Table1128[[#This Row],[Account]]&lt;&gt;"",J94+L94-$N$7,"")</f>
        <v/>
      </c>
      <c r="N94" s="25" t="str">
        <f>IF(Table1128[[#This Row],[Account]]&lt;&gt;"",IF(Table1128[[#This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IF(Table1128[[#This Row],[Account]]&lt;&gt;"",$N$8,"")</f>
        <v/>
      </c>
      <c r="M95" s="18" t="str">
        <f>IF(Table1128[[#This Row],[Account]]&lt;&gt;"",J95+L95-$N$7,"")</f>
        <v/>
      </c>
      <c r="N95" s="19" t="str">
        <f>IF(Table1128[[#This Row],[Account]]&lt;&gt;"",IF(Table1128[[#This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IF(Table1128[[#This Row],[Account]]&lt;&gt;"",$N$8,"")</f>
        <v/>
      </c>
      <c r="M96" s="24" t="str">
        <f>IF(Table1128[[#This Row],[Account]]&lt;&gt;"",J96+L96-$N$7,"")</f>
        <v/>
      </c>
      <c r="N96" s="25" t="str">
        <f>IF(Table1128[[#This Row],[Account]]&lt;&gt;"",IF(Table1128[[#This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IF(Table1128[[#This Row],[Account]]&lt;&gt;"",$N$8,"")</f>
        <v/>
      </c>
      <c r="M97" s="18" t="str">
        <f>IF(Table1128[[#This Row],[Account]]&lt;&gt;"",J97+L97-$N$7,"")</f>
        <v/>
      </c>
      <c r="N97" s="19" t="str">
        <f>IF(Table1128[[#This Row],[Account]]&lt;&gt;"",IF(Table1128[[#This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IF(Table1128[[#This Row],[Account]]&lt;&gt;"",$N$8,"")</f>
        <v/>
      </c>
      <c r="M98" s="24" t="str">
        <f>IF(Table1128[[#This Row],[Account]]&lt;&gt;"",J98+L98-$N$7,"")</f>
        <v/>
      </c>
      <c r="N98" s="25" t="str">
        <f>IF(Table1128[[#This Row],[Account]]&lt;&gt;"",IF(Table1128[[#This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IF(Table1128[[#This Row],[Account]]&lt;&gt;"",$N$8,"")</f>
        <v/>
      </c>
      <c r="M99" s="18" t="str">
        <f>IF(Table1128[[#This Row],[Account]]&lt;&gt;"",J99+L99-$N$7,"")</f>
        <v/>
      </c>
      <c r="N99" s="19" t="str">
        <f>IF(Table1128[[#This Row],[Account]]&lt;&gt;"",IF(Table1128[[#This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IF(Table1128[[#This Row],[Account]]&lt;&gt;"",$N$8,"")</f>
        <v/>
      </c>
      <c r="M100" s="24" t="str">
        <f>IF(Table1128[[#This Row],[Account]]&lt;&gt;"",J100+L100-$N$7,"")</f>
        <v/>
      </c>
      <c r="N100" s="25" t="str">
        <f>IF(Table1128[[#This Row],[Account]]&lt;&gt;"",IF(Table1128[[#This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IF(Table1128[[#This Row],[Account]]&lt;&gt;"",$N$8,"")</f>
        <v/>
      </c>
      <c r="M101" s="18" t="str">
        <f>IF(Table1128[[#This Row],[Account]]&lt;&gt;"",J101+L101-$N$7,"")</f>
        <v/>
      </c>
      <c r="N101" s="19" t="str">
        <f>IF(Table1128[[#This Row],[Account]]&lt;&gt;"",IF(Table1128[[#This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IF(Table1128[[#This Row],[Account]]&lt;&gt;"",$N$8,"")</f>
        <v/>
      </c>
      <c r="M102" s="24" t="str">
        <f>IF(Table1128[[#This Row],[Account]]&lt;&gt;"",J102+L102-$N$7,"")</f>
        <v/>
      </c>
      <c r="N102" s="25" t="str">
        <f>IF(Table1128[[#This Row],[Account]]&lt;&gt;"",IF(Table1128[[#This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IF(Table1128[[#This Row],[Account]]&lt;&gt;"",$N$8,"")</f>
        <v/>
      </c>
      <c r="M103" s="18" t="str">
        <f>IF(Table1128[[#This Row],[Account]]&lt;&gt;"",J103+L103-$N$7,"")</f>
        <v/>
      </c>
      <c r="N103" s="19" t="str">
        <f>IF(Table1128[[#This Row],[Account]]&lt;&gt;"",IF(Table1128[[#This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IF(Table1128[[#This Row],[Account]]&lt;&gt;"",$N$8,"")</f>
        <v/>
      </c>
      <c r="M104" s="24" t="str">
        <f>IF(Table1128[[#This Row],[Account]]&lt;&gt;"",J104+L104-$N$7,"")</f>
        <v/>
      </c>
      <c r="N104" s="25" t="str">
        <f>IF(Table1128[[#This Row],[Account]]&lt;&gt;"",IF(Table1128[[#This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IF(Table1128[[#This Row],[Account]]&lt;&gt;"",$N$8,"")</f>
        <v/>
      </c>
      <c r="M105" s="18" t="str">
        <f>IF(Table1128[[#This Row],[Account]]&lt;&gt;"",J105+L105-$N$7,"")</f>
        <v/>
      </c>
      <c r="N105" s="19" t="str">
        <f>IF(Table1128[[#This Row],[Account]]&lt;&gt;"",IF(Table1128[[#This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IF(Table1128[[#This Row],[Account]]&lt;&gt;"",$N$8,"")</f>
        <v/>
      </c>
      <c r="M106" s="24" t="str">
        <f>IF(Table1128[[#This Row],[Account]]&lt;&gt;"",J106+L106-$N$7,"")</f>
        <v/>
      </c>
      <c r="N106" s="25" t="str">
        <f>IF(Table1128[[#This Row],[Account]]&lt;&gt;"",IF(Table1128[[#This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IF(Table1128[[#This Row],[Account]]&lt;&gt;"",$N$8,"")</f>
        <v/>
      </c>
      <c r="M107" s="18" t="str">
        <f>IF(Table1128[[#This Row],[Account]]&lt;&gt;"",J107+L107-$N$7,"")</f>
        <v/>
      </c>
      <c r="N107" s="19" t="str">
        <f>IF(Table1128[[#This Row],[Account]]&lt;&gt;"",IF(Table1128[[#This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IF(Table1128[[#This Row],[Account]]&lt;&gt;"",$N$8,"")</f>
        <v/>
      </c>
      <c r="M108" s="24" t="str">
        <f>IF(Table1128[[#This Row],[Account]]&lt;&gt;"",J108+L108-$N$7,"")</f>
        <v/>
      </c>
      <c r="N108" s="25" t="str">
        <f>IF(Table1128[[#This Row],[Account]]&lt;&gt;"",IF(Table1128[[#This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IF(Table1128[[#This Row],[Account]]&lt;&gt;"",$N$8,"")</f>
        <v/>
      </c>
      <c r="M109" s="18" t="str">
        <f>IF(Table1128[[#This Row],[Account]]&lt;&gt;"",J109+L109-$N$7,"")</f>
        <v/>
      </c>
      <c r="N109" s="19" t="str">
        <f>IF(Table1128[[#This Row],[Account]]&lt;&gt;"",IF(Table1128[[#This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IF(Table1128[[#This Row],[Account]]&lt;&gt;"",$N$8,"")</f>
        <v/>
      </c>
      <c r="M110" s="24" t="str">
        <f>IF(Table1128[[#This Row],[Account]]&lt;&gt;"",J110+L110-$N$7,"")</f>
        <v/>
      </c>
      <c r="N110" s="25" t="str">
        <f>IF(Table1128[[#This Row],[Account]]&lt;&gt;"",IF(Table1128[[#This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IF(Table1128[[#This Row],[Account]]&lt;&gt;"",$N$8,"")</f>
        <v/>
      </c>
      <c r="M111" s="18" t="str">
        <f>IF(Table1128[[#This Row],[Account]]&lt;&gt;"",J111+L111-$N$7,"")</f>
        <v/>
      </c>
      <c r="N111" s="19" t="str">
        <f>IF(Table1128[[#This Row],[Account]]&lt;&gt;"",IF(Table1128[[#This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IF(Table1128[[#This Row],[Account]]&lt;&gt;"",$N$8,"")</f>
        <v/>
      </c>
      <c r="M112" s="24" t="str">
        <f>IF(Table1128[[#This Row],[Account]]&lt;&gt;"",J112+L112-$N$7,"")</f>
        <v/>
      </c>
      <c r="N112" s="25" t="str">
        <f>IF(Table1128[[#This Row],[Account]]&lt;&gt;"",IF(Table1128[[#This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IF(Table1128[[#This Row],[Account]]&lt;&gt;"",$N$8,"")</f>
        <v/>
      </c>
      <c r="M113" s="18" t="str">
        <f>IF(Table1128[[#This Row],[Account]]&lt;&gt;"",J113+L113-$N$7,"")</f>
        <v/>
      </c>
      <c r="N113" s="19" t="str">
        <f>IF(Table1128[[#This Row],[Account]]&lt;&gt;"",IF(Table1128[[#This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916417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1795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1796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916417</v>
      </c>
      <c r="D15" s="15" t="s">
        <v>1797</v>
      </c>
      <c r="E15" s="15" t="s">
        <v>1798</v>
      </c>
      <c r="F15" s="14" t="s">
        <v>1799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IF(Table1127[[#This Row],[Account]]&lt;&gt;"",$N$8,"")</f>
        <v>0</v>
      </c>
      <c r="M15" s="105">
        <f>IF(Table1127[[#This Row],[Account]]&lt;&gt;"",J15+L15-$N$7,"")</f>
        <v>-239</v>
      </c>
      <c r="N15" s="74" t="str">
        <f>IF(Table1127[[#This Row],[Account]]&lt;&gt;"",IF(Table1127[[#This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IF(Table1127[[#This Row],[Account]]&lt;&gt;"",$N$8,"")</f>
        <v/>
      </c>
      <c r="M16" s="24" t="str">
        <f>IF(Table1127[[#This Row],[Account]]&lt;&gt;"",J16+L16-$N$7,"")</f>
        <v/>
      </c>
      <c r="N16" s="25" t="str">
        <f>IF(Table1127[[#This Row],[Account]]&lt;&gt;"",IF(Table1127[[#This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IF(Table1127[[#This Row],[Account]]&lt;&gt;"",$N$8,"")</f>
        <v/>
      </c>
      <c r="M17" s="18" t="str">
        <f>IF(Table1127[[#This Row],[Account]]&lt;&gt;"",J17+L17-$N$7,"")</f>
        <v/>
      </c>
      <c r="N17" s="19" t="str">
        <f>IF(Table1127[[#This Row],[Account]]&lt;&gt;"",IF(Table1127[[#This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IF(Table1127[[#This Row],[Account]]&lt;&gt;"",$N$8,"")</f>
        <v/>
      </c>
      <c r="M18" s="24" t="str">
        <f>IF(Table1127[[#This Row],[Account]]&lt;&gt;"",J18+L18-$N$7,"")</f>
        <v/>
      </c>
      <c r="N18" s="25" t="str">
        <f>IF(Table1127[[#This Row],[Account]]&lt;&gt;"",IF(Table1127[[#This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IF(Table1127[[#This Row],[Account]]&lt;&gt;"",$N$8,"")</f>
        <v/>
      </c>
      <c r="M19" s="18" t="str">
        <f>IF(Table1127[[#This Row],[Account]]&lt;&gt;"",J19+L19-$N$7,"")</f>
        <v/>
      </c>
      <c r="N19" s="19" t="str">
        <f>IF(Table1127[[#This Row],[Account]]&lt;&gt;"",IF(Table1127[[#This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IF(Table1127[[#This Row],[Account]]&lt;&gt;"",$N$8,"")</f>
        <v/>
      </c>
      <c r="M20" s="24" t="str">
        <f>IF(Table1127[[#This Row],[Account]]&lt;&gt;"",J20+L20-$N$7,"")</f>
        <v/>
      </c>
      <c r="N20" s="25" t="str">
        <f>IF(Table1127[[#This Row],[Account]]&lt;&gt;"",IF(Table1127[[#This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IF(Table1127[[#This Row],[Account]]&lt;&gt;"",$N$8,"")</f>
        <v/>
      </c>
      <c r="M21" s="18" t="str">
        <f>IF(Table1127[[#This Row],[Account]]&lt;&gt;"",J21+L21-$N$7,"")</f>
        <v/>
      </c>
      <c r="N21" s="19" t="str">
        <f>IF(Table1127[[#This Row],[Account]]&lt;&gt;"",IF(Table1127[[#This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IF(Table1127[[#This Row],[Account]]&lt;&gt;"",$N$8,"")</f>
        <v/>
      </c>
      <c r="M22" s="24" t="str">
        <f>IF(Table1127[[#This Row],[Account]]&lt;&gt;"",J22+L22-$N$7,"")</f>
        <v/>
      </c>
      <c r="N22" s="25" t="str">
        <f>IF(Table1127[[#This Row],[Account]]&lt;&gt;"",IF(Table1127[[#This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IF(Table1127[[#This Row],[Account]]&lt;&gt;"",$N$8,"")</f>
        <v/>
      </c>
      <c r="M23" s="18" t="str">
        <f>IF(Table1127[[#This Row],[Account]]&lt;&gt;"",J23+L23-$N$7,"")</f>
        <v/>
      </c>
      <c r="N23" s="19" t="str">
        <f>IF(Table1127[[#This Row],[Account]]&lt;&gt;"",IF(Table1127[[#This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IF(Table1127[[#This Row],[Account]]&lt;&gt;"",$N$8,"")</f>
        <v/>
      </c>
      <c r="M24" s="24" t="str">
        <f>IF(Table1127[[#This Row],[Account]]&lt;&gt;"",J24+L24-$N$7,"")</f>
        <v/>
      </c>
      <c r="N24" s="25" t="str">
        <f>IF(Table1127[[#This Row],[Account]]&lt;&gt;"",IF(Table1127[[#This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IF(Table1127[[#This Row],[Account]]&lt;&gt;"",$N$8,"")</f>
        <v/>
      </c>
      <c r="M25" s="18" t="str">
        <f>IF(Table1127[[#This Row],[Account]]&lt;&gt;"",J25+L25-$N$7,"")</f>
        <v/>
      </c>
      <c r="N25" s="19" t="str">
        <f>IF(Table1127[[#This Row],[Account]]&lt;&gt;"",IF(Table1127[[#This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IF(Table1127[[#This Row],[Account]]&lt;&gt;"",$N$8,"")</f>
        <v/>
      </c>
      <c r="M26" s="24" t="str">
        <f>IF(Table1127[[#This Row],[Account]]&lt;&gt;"",J26+L26-$N$7,"")</f>
        <v/>
      </c>
      <c r="N26" s="25" t="str">
        <f>IF(Table1127[[#This Row],[Account]]&lt;&gt;"",IF(Table1127[[#This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IF(Table1127[[#This Row],[Account]]&lt;&gt;"",$N$8,"")</f>
        <v/>
      </c>
      <c r="M27" s="18" t="str">
        <f>IF(Table1127[[#This Row],[Account]]&lt;&gt;"",J27+L27-$N$7,"")</f>
        <v/>
      </c>
      <c r="N27" s="19" t="str">
        <f>IF(Table1127[[#This Row],[Account]]&lt;&gt;"",IF(Table1127[[#This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IF(Table1127[[#This Row],[Account]]&lt;&gt;"",$N$8,"")</f>
        <v/>
      </c>
      <c r="M28" s="24" t="str">
        <f>IF(Table1127[[#This Row],[Account]]&lt;&gt;"",J28+L28-$N$7,"")</f>
        <v/>
      </c>
      <c r="N28" s="25" t="str">
        <f>IF(Table1127[[#This Row],[Account]]&lt;&gt;"",IF(Table1127[[#This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IF(Table1127[[#This Row],[Account]]&lt;&gt;"",$N$8,"")</f>
        <v/>
      </c>
      <c r="M29" s="18" t="str">
        <f>IF(Table1127[[#This Row],[Account]]&lt;&gt;"",J29+L29-$N$7,"")</f>
        <v/>
      </c>
      <c r="N29" s="19" t="str">
        <f>IF(Table1127[[#This Row],[Account]]&lt;&gt;"",IF(Table1127[[#This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IF(Table1127[[#This Row],[Account]]&lt;&gt;"",$N$8,"")</f>
        <v/>
      </c>
      <c r="M30" s="24" t="str">
        <f>IF(Table1127[[#This Row],[Account]]&lt;&gt;"",J30+L30-$N$7,"")</f>
        <v/>
      </c>
      <c r="N30" s="25" t="str">
        <f>IF(Table1127[[#This Row],[Account]]&lt;&gt;"",IF(Table1127[[#This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IF(Table1127[[#This Row],[Account]]&lt;&gt;"",$N$8,"")</f>
        <v/>
      </c>
      <c r="M31" s="18" t="str">
        <f>IF(Table1127[[#This Row],[Account]]&lt;&gt;"",J31+L31-$N$7,"")</f>
        <v/>
      </c>
      <c r="N31" s="19" t="str">
        <f>IF(Table1127[[#This Row],[Account]]&lt;&gt;"",IF(Table1127[[#This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IF(Table1127[[#This Row],[Account]]&lt;&gt;"",$N$8,"")</f>
        <v/>
      </c>
      <c r="M32" s="24" t="str">
        <f>IF(Table1127[[#This Row],[Account]]&lt;&gt;"",J32+L32-$N$7,"")</f>
        <v/>
      </c>
      <c r="N32" s="25" t="str">
        <f>IF(Table1127[[#This Row],[Account]]&lt;&gt;"",IF(Table1127[[#This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IF(Table1127[[#This Row],[Account]]&lt;&gt;"",$N$8,"")</f>
        <v/>
      </c>
      <c r="M33" s="18" t="str">
        <f>IF(Table1127[[#This Row],[Account]]&lt;&gt;"",J33+L33-$N$7,"")</f>
        <v/>
      </c>
      <c r="N33" s="19" t="str">
        <f>IF(Table1127[[#This Row],[Account]]&lt;&gt;"",IF(Table1127[[#This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IF(Table1127[[#This Row],[Account]]&lt;&gt;"",$N$8,"")</f>
        <v/>
      </c>
      <c r="M34" s="24" t="str">
        <f>IF(Table1127[[#This Row],[Account]]&lt;&gt;"",J34+L34-$N$7,"")</f>
        <v/>
      </c>
      <c r="N34" s="25" t="str">
        <f>IF(Table1127[[#This Row],[Account]]&lt;&gt;"",IF(Table1127[[#This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IF(Table1127[[#This Row],[Account]]&lt;&gt;"",$N$8,"")</f>
        <v/>
      </c>
      <c r="M35" s="18" t="str">
        <f>IF(Table1127[[#This Row],[Account]]&lt;&gt;"",J35+L35-$N$7,"")</f>
        <v/>
      </c>
      <c r="N35" s="19" t="str">
        <f>IF(Table1127[[#This Row],[Account]]&lt;&gt;"",IF(Table1127[[#This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IF(Table1127[[#This Row],[Account]]&lt;&gt;"",$N$8,"")</f>
        <v/>
      </c>
      <c r="M36" s="24" t="str">
        <f>IF(Table1127[[#This Row],[Account]]&lt;&gt;"",J36+L36-$N$7,"")</f>
        <v/>
      </c>
      <c r="N36" s="25" t="str">
        <f>IF(Table1127[[#This Row],[Account]]&lt;&gt;"",IF(Table1127[[#This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IF(Table1127[[#This Row],[Account]]&lt;&gt;"",$N$8,"")</f>
        <v/>
      </c>
      <c r="M37" s="18" t="str">
        <f>IF(Table1127[[#This Row],[Account]]&lt;&gt;"",J37+L37-$N$7,"")</f>
        <v/>
      </c>
      <c r="N37" s="19" t="str">
        <f>IF(Table1127[[#This Row],[Account]]&lt;&gt;"",IF(Table1127[[#This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IF(Table1127[[#This Row],[Account]]&lt;&gt;"",$N$8,"")</f>
        <v/>
      </c>
      <c r="M38" s="24" t="str">
        <f>IF(Table1127[[#This Row],[Account]]&lt;&gt;"",J38+L38-$N$7,"")</f>
        <v/>
      </c>
      <c r="N38" s="25" t="str">
        <f>IF(Table1127[[#This Row],[Account]]&lt;&gt;"",IF(Table1127[[#This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IF(Table1127[[#This Row],[Account]]&lt;&gt;"",$N$8,"")</f>
        <v/>
      </c>
      <c r="M39" s="18" t="str">
        <f>IF(Table1127[[#This Row],[Account]]&lt;&gt;"",J39+L39-$N$7,"")</f>
        <v/>
      </c>
      <c r="N39" s="19" t="str">
        <f>IF(Table1127[[#This Row],[Account]]&lt;&gt;"",IF(Table1127[[#This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IF(Table1127[[#This Row],[Account]]&lt;&gt;"",$N$8,"")</f>
        <v/>
      </c>
      <c r="M40" s="24" t="str">
        <f>IF(Table1127[[#This Row],[Account]]&lt;&gt;"",J40+L40-$N$7,"")</f>
        <v/>
      </c>
      <c r="N40" s="25" t="str">
        <f>IF(Table1127[[#This Row],[Account]]&lt;&gt;"",IF(Table1127[[#This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IF(Table1127[[#This Row],[Account]]&lt;&gt;"",$N$8,"")</f>
        <v/>
      </c>
      <c r="M41" s="18" t="str">
        <f>IF(Table1127[[#This Row],[Account]]&lt;&gt;"",J41+L41-$N$7,"")</f>
        <v/>
      </c>
      <c r="N41" s="19" t="str">
        <f>IF(Table1127[[#This Row],[Account]]&lt;&gt;"",IF(Table1127[[#This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IF(Table1127[[#This Row],[Account]]&lt;&gt;"",$N$8,"")</f>
        <v/>
      </c>
      <c r="M42" s="24" t="str">
        <f>IF(Table1127[[#This Row],[Account]]&lt;&gt;"",J42+L42-$N$7,"")</f>
        <v/>
      </c>
      <c r="N42" s="25" t="str">
        <f>IF(Table1127[[#This Row],[Account]]&lt;&gt;"",IF(Table1127[[#This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IF(Table1127[[#This Row],[Account]]&lt;&gt;"",$N$8,"")</f>
        <v/>
      </c>
      <c r="M43" s="18" t="str">
        <f>IF(Table1127[[#This Row],[Account]]&lt;&gt;"",J43+L43-$N$7,"")</f>
        <v/>
      </c>
      <c r="N43" s="19" t="str">
        <f>IF(Table1127[[#This Row],[Account]]&lt;&gt;"",IF(Table1127[[#This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IF(Table1127[[#This Row],[Account]]&lt;&gt;"",$N$8,"")</f>
        <v/>
      </c>
      <c r="M44" s="24" t="str">
        <f>IF(Table1127[[#This Row],[Account]]&lt;&gt;"",J44+L44-$N$7,"")</f>
        <v/>
      </c>
      <c r="N44" s="25" t="str">
        <f>IF(Table1127[[#This Row],[Account]]&lt;&gt;"",IF(Table1127[[#This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IF(Table1127[[#This Row],[Account]]&lt;&gt;"",$N$8,"")</f>
        <v/>
      </c>
      <c r="M45" s="18" t="str">
        <f>IF(Table1127[[#This Row],[Account]]&lt;&gt;"",J45+L45-$N$7,"")</f>
        <v/>
      </c>
      <c r="N45" s="19" t="str">
        <f>IF(Table1127[[#This Row],[Account]]&lt;&gt;"",IF(Table1127[[#This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IF(Table1127[[#This Row],[Account]]&lt;&gt;"",$N$8,"")</f>
        <v/>
      </c>
      <c r="M46" s="24" t="str">
        <f>IF(Table1127[[#This Row],[Account]]&lt;&gt;"",J46+L46-$N$7,"")</f>
        <v/>
      </c>
      <c r="N46" s="25" t="str">
        <f>IF(Table1127[[#This Row],[Account]]&lt;&gt;"",IF(Table1127[[#This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IF(Table1127[[#This Row],[Account]]&lt;&gt;"",$N$8,"")</f>
        <v/>
      </c>
      <c r="M47" s="18" t="str">
        <f>IF(Table1127[[#This Row],[Account]]&lt;&gt;"",J47+L47-$N$7,"")</f>
        <v/>
      </c>
      <c r="N47" s="19" t="str">
        <f>IF(Table1127[[#This Row],[Account]]&lt;&gt;"",IF(Table1127[[#This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IF(Table1127[[#This Row],[Account]]&lt;&gt;"",$N$8,"")</f>
        <v/>
      </c>
      <c r="M48" s="24" t="str">
        <f>IF(Table1127[[#This Row],[Account]]&lt;&gt;"",J48+L48-$N$7,"")</f>
        <v/>
      </c>
      <c r="N48" s="25" t="str">
        <f>IF(Table1127[[#This Row],[Account]]&lt;&gt;"",IF(Table1127[[#This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IF(Table1127[[#This Row],[Account]]&lt;&gt;"",$N$8,"")</f>
        <v/>
      </c>
      <c r="M49" s="18" t="str">
        <f>IF(Table1127[[#This Row],[Account]]&lt;&gt;"",J49+L49-$N$7,"")</f>
        <v/>
      </c>
      <c r="N49" s="19" t="str">
        <f>IF(Table1127[[#This Row],[Account]]&lt;&gt;"",IF(Table1127[[#This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IF(Table1127[[#This Row],[Account]]&lt;&gt;"",$N$8,"")</f>
        <v/>
      </c>
      <c r="M50" s="24" t="str">
        <f>IF(Table1127[[#This Row],[Account]]&lt;&gt;"",J50+L50-$N$7,"")</f>
        <v/>
      </c>
      <c r="N50" s="25" t="str">
        <f>IF(Table1127[[#This Row],[Account]]&lt;&gt;"",IF(Table1127[[#This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IF(Table1127[[#This Row],[Account]]&lt;&gt;"",$N$8,"")</f>
        <v/>
      </c>
      <c r="M51" s="18" t="str">
        <f>IF(Table1127[[#This Row],[Account]]&lt;&gt;"",J51+L51-$N$7,"")</f>
        <v/>
      </c>
      <c r="N51" s="19" t="str">
        <f>IF(Table1127[[#This Row],[Account]]&lt;&gt;"",IF(Table1127[[#This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IF(Table1127[[#This Row],[Account]]&lt;&gt;"",$N$8,"")</f>
        <v/>
      </c>
      <c r="M52" s="24" t="str">
        <f>IF(Table1127[[#This Row],[Account]]&lt;&gt;"",J52+L52-$N$7,"")</f>
        <v/>
      </c>
      <c r="N52" s="25" t="str">
        <f>IF(Table1127[[#This Row],[Account]]&lt;&gt;"",IF(Table1127[[#This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IF(Table1127[[#This Row],[Account]]&lt;&gt;"",$N$8,"")</f>
        <v/>
      </c>
      <c r="M53" s="18" t="str">
        <f>IF(Table1127[[#This Row],[Account]]&lt;&gt;"",J53+L53-$N$7,"")</f>
        <v/>
      </c>
      <c r="N53" s="19" t="str">
        <f>IF(Table1127[[#This Row],[Account]]&lt;&gt;"",IF(Table1127[[#This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IF(Table1127[[#This Row],[Account]]&lt;&gt;"",$N$8,"")</f>
        <v/>
      </c>
      <c r="M54" s="24" t="str">
        <f>IF(Table1127[[#This Row],[Account]]&lt;&gt;"",J54+L54-$N$7,"")</f>
        <v/>
      </c>
      <c r="N54" s="25" t="str">
        <f>IF(Table1127[[#This Row],[Account]]&lt;&gt;"",IF(Table1127[[#This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IF(Table1127[[#This Row],[Account]]&lt;&gt;"",$N$8,"")</f>
        <v/>
      </c>
      <c r="M55" s="18" t="str">
        <f>IF(Table1127[[#This Row],[Account]]&lt;&gt;"",J55+L55-$N$7,"")</f>
        <v/>
      </c>
      <c r="N55" s="19" t="str">
        <f>IF(Table1127[[#This Row],[Account]]&lt;&gt;"",IF(Table1127[[#This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IF(Table1127[[#This Row],[Account]]&lt;&gt;"",$N$8,"")</f>
        <v/>
      </c>
      <c r="M56" s="24" t="str">
        <f>IF(Table1127[[#This Row],[Account]]&lt;&gt;"",J56+L56-$N$7,"")</f>
        <v/>
      </c>
      <c r="N56" s="25" t="str">
        <f>IF(Table1127[[#This Row],[Account]]&lt;&gt;"",IF(Table1127[[#This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IF(Table1127[[#This Row],[Account]]&lt;&gt;"",$N$8,"")</f>
        <v/>
      </c>
      <c r="M57" s="18" t="str">
        <f>IF(Table1127[[#This Row],[Account]]&lt;&gt;"",J57+L57-$N$7,"")</f>
        <v/>
      </c>
      <c r="N57" s="19" t="str">
        <f>IF(Table1127[[#This Row],[Account]]&lt;&gt;"",IF(Table1127[[#This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IF(Table1127[[#This Row],[Account]]&lt;&gt;"",$N$8,"")</f>
        <v/>
      </c>
      <c r="M58" s="24" t="str">
        <f>IF(Table1127[[#This Row],[Account]]&lt;&gt;"",J58+L58-$N$7,"")</f>
        <v/>
      </c>
      <c r="N58" s="25" t="str">
        <f>IF(Table1127[[#This Row],[Account]]&lt;&gt;"",IF(Table1127[[#This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IF(Table1127[[#This Row],[Account]]&lt;&gt;"",$N$8,"")</f>
        <v/>
      </c>
      <c r="M59" s="18" t="str">
        <f>IF(Table1127[[#This Row],[Account]]&lt;&gt;"",J59+L59-$N$7,"")</f>
        <v/>
      </c>
      <c r="N59" s="19" t="str">
        <f>IF(Table1127[[#This Row],[Account]]&lt;&gt;"",IF(Table1127[[#This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IF(Table1127[[#This Row],[Account]]&lt;&gt;"",$N$8,"")</f>
        <v/>
      </c>
      <c r="M60" s="24" t="str">
        <f>IF(Table1127[[#This Row],[Account]]&lt;&gt;"",J60+L60-$N$7,"")</f>
        <v/>
      </c>
      <c r="N60" s="25" t="str">
        <f>IF(Table1127[[#This Row],[Account]]&lt;&gt;"",IF(Table1127[[#This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IF(Table1127[[#This Row],[Account]]&lt;&gt;"",$N$8,"")</f>
        <v/>
      </c>
      <c r="M61" s="18" t="str">
        <f>IF(Table1127[[#This Row],[Account]]&lt;&gt;"",J61+L61-$N$7,"")</f>
        <v/>
      </c>
      <c r="N61" s="19" t="str">
        <f>IF(Table1127[[#This Row],[Account]]&lt;&gt;"",IF(Table1127[[#This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IF(Table1127[[#This Row],[Account]]&lt;&gt;"",$N$8,"")</f>
        <v/>
      </c>
      <c r="M62" s="24" t="str">
        <f>IF(Table1127[[#This Row],[Account]]&lt;&gt;"",J62+L62-$N$7,"")</f>
        <v/>
      </c>
      <c r="N62" s="25" t="str">
        <f>IF(Table1127[[#This Row],[Account]]&lt;&gt;"",IF(Table1127[[#This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IF(Table1127[[#This Row],[Account]]&lt;&gt;"",$N$8,"")</f>
        <v/>
      </c>
      <c r="M63" s="18" t="str">
        <f>IF(Table1127[[#This Row],[Account]]&lt;&gt;"",J63+L63-$N$7,"")</f>
        <v/>
      </c>
      <c r="N63" s="19" t="str">
        <f>IF(Table1127[[#This Row],[Account]]&lt;&gt;"",IF(Table1127[[#This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IF(Table1127[[#This Row],[Account]]&lt;&gt;"",$N$8,"")</f>
        <v/>
      </c>
      <c r="M64" s="24" t="str">
        <f>IF(Table1127[[#This Row],[Account]]&lt;&gt;"",J64+L64-$N$7,"")</f>
        <v/>
      </c>
      <c r="N64" s="25" t="str">
        <f>IF(Table1127[[#This Row],[Account]]&lt;&gt;"",IF(Table1127[[#This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IF(Table1127[[#This Row],[Account]]&lt;&gt;"",$N$8,"")</f>
        <v/>
      </c>
      <c r="M65" s="18" t="str">
        <f>IF(Table1127[[#This Row],[Account]]&lt;&gt;"",J65+L65-$N$7,"")</f>
        <v/>
      </c>
      <c r="N65" s="19" t="str">
        <f>IF(Table1127[[#This Row],[Account]]&lt;&gt;"",IF(Table1127[[#This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IF(Table1127[[#This Row],[Account]]&lt;&gt;"",$N$8,"")</f>
        <v/>
      </c>
      <c r="M66" s="24" t="str">
        <f>IF(Table1127[[#This Row],[Account]]&lt;&gt;"",J66+L66-$N$7,"")</f>
        <v/>
      </c>
      <c r="N66" s="25" t="str">
        <f>IF(Table1127[[#This Row],[Account]]&lt;&gt;"",IF(Table1127[[#This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IF(Table1127[[#This Row],[Account]]&lt;&gt;"",$N$8,"")</f>
        <v/>
      </c>
      <c r="M67" s="18" t="str">
        <f>IF(Table1127[[#This Row],[Account]]&lt;&gt;"",J67+L67-$N$7,"")</f>
        <v/>
      </c>
      <c r="N67" s="19" t="str">
        <f>IF(Table1127[[#This Row],[Account]]&lt;&gt;"",IF(Table1127[[#This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IF(Table1127[[#This Row],[Account]]&lt;&gt;"",$N$8,"")</f>
        <v/>
      </c>
      <c r="M68" s="24" t="str">
        <f>IF(Table1127[[#This Row],[Account]]&lt;&gt;"",J68+L68-$N$7,"")</f>
        <v/>
      </c>
      <c r="N68" s="25" t="str">
        <f>IF(Table1127[[#This Row],[Account]]&lt;&gt;"",IF(Table1127[[#This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IF(Table1127[[#This Row],[Account]]&lt;&gt;"",$N$8,"")</f>
        <v/>
      </c>
      <c r="M69" s="18" t="str">
        <f>IF(Table1127[[#This Row],[Account]]&lt;&gt;"",J69+L69-$N$7,"")</f>
        <v/>
      </c>
      <c r="N69" s="19" t="str">
        <f>IF(Table1127[[#This Row],[Account]]&lt;&gt;"",IF(Table1127[[#This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IF(Table1127[[#This Row],[Account]]&lt;&gt;"",$N$8,"")</f>
        <v/>
      </c>
      <c r="M70" s="24" t="str">
        <f>IF(Table1127[[#This Row],[Account]]&lt;&gt;"",J70+L70-$N$7,"")</f>
        <v/>
      </c>
      <c r="N70" s="25" t="str">
        <f>IF(Table1127[[#This Row],[Account]]&lt;&gt;"",IF(Table1127[[#This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IF(Table1127[[#This Row],[Account]]&lt;&gt;"",$N$8,"")</f>
        <v/>
      </c>
      <c r="M71" s="18" t="str">
        <f>IF(Table1127[[#This Row],[Account]]&lt;&gt;"",J71+L71-$N$7,"")</f>
        <v/>
      </c>
      <c r="N71" s="19" t="str">
        <f>IF(Table1127[[#This Row],[Account]]&lt;&gt;"",IF(Table1127[[#This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IF(Table1127[[#This Row],[Account]]&lt;&gt;"",$N$8,"")</f>
        <v/>
      </c>
      <c r="M72" s="24" t="str">
        <f>IF(Table1127[[#This Row],[Account]]&lt;&gt;"",J72+L72-$N$7,"")</f>
        <v/>
      </c>
      <c r="N72" s="25" t="str">
        <f>IF(Table1127[[#This Row],[Account]]&lt;&gt;"",IF(Table1127[[#This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IF(Table1127[[#This Row],[Account]]&lt;&gt;"",$N$8,"")</f>
        <v/>
      </c>
      <c r="M73" s="18" t="str">
        <f>IF(Table1127[[#This Row],[Account]]&lt;&gt;"",J73+L73-$N$7,"")</f>
        <v/>
      </c>
      <c r="N73" s="19" t="str">
        <f>IF(Table1127[[#This Row],[Account]]&lt;&gt;"",IF(Table1127[[#This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IF(Table1127[[#This Row],[Account]]&lt;&gt;"",$N$8,"")</f>
        <v/>
      </c>
      <c r="M74" s="24" t="str">
        <f>IF(Table1127[[#This Row],[Account]]&lt;&gt;"",J74+L74-$N$7,"")</f>
        <v/>
      </c>
      <c r="N74" s="25" t="str">
        <f>IF(Table1127[[#This Row],[Account]]&lt;&gt;"",IF(Table1127[[#This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IF(Table1127[[#This Row],[Account]]&lt;&gt;"",$N$8,"")</f>
        <v/>
      </c>
      <c r="M75" s="18" t="str">
        <f>IF(Table1127[[#This Row],[Account]]&lt;&gt;"",J75+L75-$N$7,"")</f>
        <v/>
      </c>
      <c r="N75" s="19" t="str">
        <f>IF(Table1127[[#This Row],[Account]]&lt;&gt;"",IF(Table1127[[#This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IF(Table1127[[#This Row],[Account]]&lt;&gt;"",$N$8,"")</f>
        <v/>
      </c>
      <c r="M76" s="24" t="str">
        <f>IF(Table1127[[#This Row],[Account]]&lt;&gt;"",J76+L76-$N$7,"")</f>
        <v/>
      </c>
      <c r="N76" s="25" t="str">
        <f>IF(Table1127[[#This Row],[Account]]&lt;&gt;"",IF(Table1127[[#This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IF(Table1127[[#This Row],[Account]]&lt;&gt;"",$N$8,"")</f>
        <v/>
      </c>
      <c r="M77" s="18" t="str">
        <f>IF(Table1127[[#This Row],[Account]]&lt;&gt;"",J77+L77-$N$7,"")</f>
        <v/>
      </c>
      <c r="N77" s="19" t="str">
        <f>IF(Table1127[[#This Row],[Account]]&lt;&gt;"",IF(Table1127[[#This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IF(Table1127[[#This Row],[Account]]&lt;&gt;"",$N$8,"")</f>
        <v/>
      </c>
      <c r="M78" s="24" t="str">
        <f>IF(Table1127[[#This Row],[Account]]&lt;&gt;"",J78+L78-$N$7,"")</f>
        <v/>
      </c>
      <c r="N78" s="25" t="str">
        <f>IF(Table1127[[#This Row],[Account]]&lt;&gt;"",IF(Table1127[[#This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IF(Table1127[[#This Row],[Account]]&lt;&gt;"",$N$8,"")</f>
        <v/>
      </c>
      <c r="M79" s="18" t="str">
        <f>IF(Table1127[[#This Row],[Account]]&lt;&gt;"",J79+L79-$N$7,"")</f>
        <v/>
      </c>
      <c r="N79" s="19" t="str">
        <f>IF(Table1127[[#This Row],[Account]]&lt;&gt;"",IF(Table1127[[#This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IF(Table1127[[#This Row],[Account]]&lt;&gt;"",$N$8,"")</f>
        <v/>
      </c>
      <c r="M80" s="24" t="str">
        <f>IF(Table1127[[#This Row],[Account]]&lt;&gt;"",J80+L80-$N$7,"")</f>
        <v/>
      </c>
      <c r="N80" s="25" t="str">
        <f>IF(Table1127[[#This Row],[Account]]&lt;&gt;"",IF(Table1127[[#This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IF(Table1127[[#This Row],[Account]]&lt;&gt;"",$N$8,"")</f>
        <v/>
      </c>
      <c r="M81" s="18" t="str">
        <f>IF(Table1127[[#This Row],[Account]]&lt;&gt;"",J81+L81-$N$7,"")</f>
        <v/>
      </c>
      <c r="N81" s="19" t="str">
        <f>IF(Table1127[[#This Row],[Account]]&lt;&gt;"",IF(Table1127[[#This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IF(Table1127[[#This Row],[Account]]&lt;&gt;"",$N$8,"")</f>
        <v/>
      </c>
      <c r="M82" s="24" t="str">
        <f>IF(Table1127[[#This Row],[Account]]&lt;&gt;"",J82+L82-$N$7,"")</f>
        <v/>
      </c>
      <c r="N82" s="25" t="str">
        <f>IF(Table1127[[#This Row],[Account]]&lt;&gt;"",IF(Table1127[[#This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IF(Table1127[[#This Row],[Account]]&lt;&gt;"",$N$8,"")</f>
        <v/>
      </c>
      <c r="M83" s="18" t="str">
        <f>IF(Table1127[[#This Row],[Account]]&lt;&gt;"",J83+L83-$N$7,"")</f>
        <v/>
      </c>
      <c r="N83" s="19" t="str">
        <f>IF(Table1127[[#This Row],[Account]]&lt;&gt;"",IF(Table1127[[#This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IF(Table1127[[#This Row],[Account]]&lt;&gt;"",$N$8,"")</f>
        <v/>
      </c>
      <c r="M84" s="24" t="str">
        <f>IF(Table1127[[#This Row],[Account]]&lt;&gt;"",J84+L84-$N$7,"")</f>
        <v/>
      </c>
      <c r="N84" s="25" t="str">
        <f>IF(Table1127[[#This Row],[Account]]&lt;&gt;"",IF(Table1127[[#This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IF(Table1127[[#This Row],[Account]]&lt;&gt;"",$N$8,"")</f>
        <v/>
      </c>
      <c r="M85" s="18" t="str">
        <f>IF(Table1127[[#This Row],[Account]]&lt;&gt;"",J85+L85-$N$7,"")</f>
        <v/>
      </c>
      <c r="N85" s="19" t="str">
        <f>IF(Table1127[[#This Row],[Account]]&lt;&gt;"",IF(Table1127[[#This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IF(Table1127[[#This Row],[Account]]&lt;&gt;"",$N$8,"")</f>
        <v/>
      </c>
      <c r="M86" s="24" t="str">
        <f>IF(Table1127[[#This Row],[Account]]&lt;&gt;"",J86+L86-$N$7,"")</f>
        <v/>
      </c>
      <c r="N86" s="25" t="str">
        <f>IF(Table1127[[#This Row],[Account]]&lt;&gt;"",IF(Table1127[[#This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IF(Table1127[[#This Row],[Account]]&lt;&gt;"",$N$8,"")</f>
        <v/>
      </c>
      <c r="M87" s="18" t="str">
        <f>IF(Table1127[[#This Row],[Account]]&lt;&gt;"",J87+L87-$N$7,"")</f>
        <v/>
      </c>
      <c r="N87" s="19" t="str">
        <f>IF(Table1127[[#This Row],[Account]]&lt;&gt;"",IF(Table1127[[#This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IF(Table1127[[#This Row],[Account]]&lt;&gt;"",$N$8,"")</f>
        <v/>
      </c>
      <c r="M88" s="24" t="str">
        <f>IF(Table1127[[#This Row],[Account]]&lt;&gt;"",J88+L88-$N$7,"")</f>
        <v/>
      </c>
      <c r="N88" s="25" t="str">
        <f>IF(Table1127[[#This Row],[Account]]&lt;&gt;"",IF(Table1127[[#This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IF(Table1127[[#This Row],[Account]]&lt;&gt;"",$N$8,"")</f>
        <v/>
      </c>
      <c r="M89" s="18" t="str">
        <f>IF(Table1127[[#This Row],[Account]]&lt;&gt;"",J89+L89-$N$7,"")</f>
        <v/>
      </c>
      <c r="N89" s="19" t="str">
        <f>IF(Table1127[[#This Row],[Account]]&lt;&gt;"",IF(Table1127[[#This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IF(Table1127[[#This Row],[Account]]&lt;&gt;"",$N$8,"")</f>
        <v/>
      </c>
      <c r="M90" s="24" t="str">
        <f>IF(Table1127[[#This Row],[Account]]&lt;&gt;"",J90+L90-$N$7,"")</f>
        <v/>
      </c>
      <c r="N90" s="25" t="str">
        <f>IF(Table1127[[#This Row],[Account]]&lt;&gt;"",IF(Table1127[[#This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IF(Table1127[[#This Row],[Account]]&lt;&gt;"",$N$8,"")</f>
        <v/>
      </c>
      <c r="M91" s="18" t="str">
        <f>IF(Table1127[[#This Row],[Account]]&lt;&gt;"",J91+L91-$N$7,"")</f>
        <v/>
      </c>
      <c r="N91" s="19" t="str">
        <f>IF(Table1127[[#This Row],[Account]]&lt;&gt;"",IF(Table1127[[#This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IF(Table1127[[#This Row],[Account]]&lt;&gt;"",$N$8,"")</f>
        <v/>
      </c>
      <c r="M92" s="24" t="str">
        <f>IF(Table1127[[#This Row],[Account]]&lt;&gt;"",J92+L92-$N$7,"")</f>
        <v/>
      </c>
      <c r="N92" s="25" t="str">
        <f>IF(Table1127[[#This Row],[Account]]&lt;&gt;"",IF(Table1127[[#This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IF(Table1127[[#This Row],[Account]]&lt;&gt;"",$N$8,"")</f>
        <v/>
      </c>
      <c r="M93" s="18" t="str">
        <f>IF(Table1127[[#This Row],[Account]]&lt;&gt;"",J93+L93-$N$7,"")</f>
        <v/>
      </c>
      <c r="N93" s="19" t="str">
        <f>IF(Table1127[[#This Row],[Account]]&lt;&gt;"",IF(Table1127[[#This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IF(Table1127[[#This Row],[Account]]&lt;&gt;"",$N$8,"")</f>
        <v/>
      </c>
      <c r="M94" s="24" t="str">
        <f>IF(Table1127[[#This Row],[Account]]&lt;&gt;"",J94+L94-$N$7,"")</f>
        <v/>
      </c>
      <c r="N94" s="25" t="str">
        <f>IF(Table1127[[#This Row],[Account]]&lt;&gt;"",IF(Table1127[[#This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IF(Table1127[[#This Row],[Account]]&lt;&gt;"",$N$8,"")</f>
        <v/>
      </c>
      <c r="M95" s="18" t="str">
        <f>IF(Table1127[[#This Row],[Account]]&lt;&gt;"",J95+L95-$N$7,"")</f>
        <v/>
      </c>
      <c r="N95" s="19" t="str">
        <f>IF(Table1127[[#This Row],[Account]]&lt;&gt;"",IF(Table1127[[#This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IF(Table1127[[#This Row],[Account]]&lt;&gt;"",$N$8,"")</f>
        <v/>
      </c>
      <c r="M96" s="24" t="str">
        <f>IF(Table1127[[#This Row],[Account]]&lt;&gt;"",J96+L96-$N$7,"")</f>
        <v/>
      </c>
      <c r="N96" s="25" t="str">
        <f>IF(Table1127[[#This Row],[Account]]&lt;&gt;"",IF(Table1127[[#This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IF(Table1127[[#This Row],[Account]]&lt;&gt;"",$N$8,"")</f>
        <v/>
      </c>
      <c r="M97" s="18" t="str">
        <f>IF(Table1127[[#This Row],[Account]]&lt;&gt;"",J97+L97-$N$7,"")</f>
        <v/>
      </c>
      <c r="N97" s="19" t="str">
        <f>IF(Table1127[[#This Row],[Account]]&lt;&gt;"",IF(Table1127[[#This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IF(Table1127[[#This Row],[Account]]&lt;&gt;"",$N$8,"")</f>
        <v/>
      </c>
      <c r="M98" s="24" t="str">
        <f>IF(Table1127[[#This Row],[Account]]&lt;&gt;"",J98+L98-$N$7,"")</f>
        <v/>
      </c>
      <c r="N98" s="25" t="str">
        <f>IF(Table1127[[#This Row],[Account]]&lt;&gt;"",IF(Table1127[[#This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IF(Table1127[[#This Row],[Account]]&lt;&gt;"",$N$8,"")</f>
        <v/>
      </c>
      <c r="M99" s="18" t="str">
        <f>IF(Table1127[[#This Row],[Account]]&lt;&gt;"",J99+L99-$N$7,"")</f>
        <v/>
      </c>
      <c r="N99" s="19" t="str">
        <f>IF(Table1127[[#This Row],[Account]]&lt;&gt;"",IF(Table1127[[#This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IF(Table1127[[#This Row],[Account]]&lt;&gt;"",$N$8,"")</f>
        <v/>
      </c>
      <c r="M100" s="24" t="str">
        <f>IF(Table1127[[#This Row],[Account]]&lt;&gt;"",J100+L100-$N$7,"")</f>
        <v/>
      </c>
      <c r="N100" s="25" t="str">
        <f>IF(Table1127[[#This Row],[Account]]&lt;&gt;"",IF(Table1127[[#This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IF(Table1127[[#This Row],[Account]]&lt;&gt;"",$N$8,"")</f>
        <v/>
      </c>
      <c r="M101" s="18" t="str">
        <f>IF(Table1127[[#This Row],[Account]]&lt;&gt;"",J101+L101-$N$7,"")</f>
        <v/>
      </c>
      <c r="N101" s="19" t="str">
        <f>IF(Table1127[[#This Row],[Account]]&lt;&gt;"",IF(Table1127[[#This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IF(Table1127[[#This Row],[Account]]&lt;&gt;"",$N$8,"")</f>
        <v/>
      </c>
      <c r="M102" s="24" t="str">
        <f>IF(Table1127[[#This Row],[Account]]&lt;&gt;"",J102+L102-$N$7,"")</f>
        <v/>
      </c>
      <c r="N102" s="25" t="str">
        <f>IF(Table1127[[#This Row],[Account]]&lt;&gt;"",IF(Table1127[[#This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IF(Table1127[[#This Row],[Account]]&lt;&gt;"",$N$8,"")</f>
        <v/>
      </c>
      <c r="M103" s="18" t="str">
        <f>IF(Table1127[[#This Row],[Account]]&lt;&gt;"",J103+L103-$N$7,"")</f>
        <v/>
      </c>
      <c r="N103" s="19" t="str">
        <f>IF(Table1127[[#This Row],[Account]]&lt;&gt;"",IF(Table1127[[#This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IF(Table1127[[#This Row],[Account]]&lt;&gt;"",$N$8,"")</f>
        <v/>
      </c>
      <c r="M104" s="24" t="str">
        <f>IF(Table1127[[#This Row],[Account]]&lt;&gt;"",J104+L104-$N$7,"")</f>
        <v/>
      </c>
      <c r="N104" s="25" t="str">
        <f>IF(Table1127[[#This Row],[Account]]&lt;&gt;"",IF(Table1127[[#This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IF(Table1127[[#This Row],[Account]]&lt;&gt;"",$N$8,"")</f>
        <v/>
      </c>
      <c r="M105" s="18" t="str">
        <f>IF(Table1127[[#This Row],[Account]]&lt;&gt;"",J105+L105-$N$7,"")</f>
        <v/>
      </c>
      <c r="N105" s="19" t="str">
        <f>IF(Table1127[[#This Row],[Account]]&lt;&gt;"",IF(Table1127[[#This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IF(Table1127[[#This Row],[Account]]&lt;&gt;"",$N$8,"")</f>
        <v/>
      </c>
      <c r="M106" s="24" t="str">
        <f>IF(Table1127[[#This Row],[Account]]&lt;&gt;"",J106+L106-$N$7,"")</f>
        <v/>
      </c>
      <c r="N106" s="25" t="str">
        <f>IF(Table1127[[#This Row],[Account]]&lt;&gt;"",IF(Table1127[[#This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IF(Table1127[[#This Row],[Account]]&lt;&gt;"",$N$8,"")</f>
        <v/>
      </c>
      <c r="M107" s="18" t="str">
        <f>IF(Table1127[[#This Row],[Account]]&lt;&gt;"",J107+L107-$N$7,"")</f>
        <v/>
      </c>
      <c r="N107" s="19" t="str">
        <f>IF(Table1127[[#This Row],[Account]]&lt;&gt;"",IF(Table1127[[#This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IF(Table1127[[#This Row],[Account]]&lt;&gt;"",$N$8,"")</f>
        <v/>
      </c>
      <c r="M108" s="24" t="str">
        <f>IF(Table1127[[#This Row],[Account]]&lt;&gt;"",J108+L108-$N$7,"")</f>
        <v/>
      </c>
      <c r="N108" s="25" t="str">
        <f>IF(Table1127[[#This Row],[Account]]&lt;&gt;"",IF(Table1127[[#This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IF(Table1127[[#This Row],[Account]]&lt;&gt;"",$N$8,"")</f>
        <v/>
      </c>
      <c r="M109" s="18" t="str">
        <f>IF(Table1127[[#This Row],[Account]]&lt;&gt;"",J109+L109-$N$7,"")</f>
        <v/>
      </c>
      <c r="N109" s="19" t="str">
        <f>IF(Table1127[[#This Row],[Account]]&lt;&gt;"",IF(Table1127[[#This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IF(Table1127[[#This Row],[Account]]&lt;&gt;"",$N$8,"")</f>
        <v/>
      </c>
      <c r="M110" s="24" t="str">
        <f>IF(Table1127[[#This Row],[Account]]&lt;&gt;"",J110+L110-$N$7,"")</f>
        <v/>
      </c>
      <c r="N110" s="25" t="str">
        <f>IF(Table1127[[#This Row],[Account]]&lt;&gt;"",IF(Table1127[[#This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IF(Table1127[[#This Row],[Account]]&lt;&gt;"",$N$8,"")</f>
        <v/>
      </c>
      <c r="M111" s="18" t="str">
        <f>IF(Table1127[[#This Row],[Account]]&lt;&gt;"",J111+L111-$N$7,"")</f>
        <v/>
      </c>
      <c r="N111" s="19" t="str">
        <f>IF(Table1127[[#This Row],[Account]]&lt;&gt;"",IF(Table1127[[#This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IF(Table1127[[#This Row],[Account]]&lt;&gt;"",$N$8,"")</f>
        <v/>
      </c>
      <c r="M112" s="24" t="str">
        <f>IF(Table1127[[#This Row],[Account]]&lt;&gt;"",J112+L112-$N$7,"")</f>
        <v/>
      </c>
      <c r="N112" s="25" t="str">
        <f>IF(Table1127[[#This Row],[Account]]&lt;&gt;"",IF(Table1127[[#This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IF(Table1127[[#This Row],[Account]]&lt;&gt;"",$N$8,"")</f>
        <v/>
      </c>
      <c r="M113" s="18" t="str">
        <f>IF(Table1127[[#This Row],[Account]]&lt;&gt;"",J113+L113-$N$7,"")</f>
        <v/>
      </c>
      <c r="N113" s="19" t="str">
        <f>IF(Table1127[[#This Row],[Account]]&lt;&gt;"",IF(Table1127[[#This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916414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916414</v>
      </c>
      <c r="D15" s="15" t="s">
        <v>1792</v>
      </c>
      <c r="E15" s="15" t="s">
        <v>1793</v>
      </c>
      <c r="F15" s="14" t="s">
        <v>1794</v>
      </c>
      <c r="G15" s="17">
        <v>43269</v>
      </c>
      <c r="H15" s="14"/>
      <c r="I15" s="16">
        <v>-300</v>
      </c>
      <c r="J15" s="17">
        <v>43269</v>
      </c>
      <c r="K15" s="17">
        <v>43269</v>
      </c>
      <c r="L15" s="14">
        <f>IF(Table1126[[#This Row],[Account]]&lt;&gt;"",$N$8,"")</f>
        <v>0</v>
      </c>
      <c r="M15" s="105">
        <f>IF(Table1126[[#This Row],[Account]]&lt;&gt;"",J15+L15-$N$7,"")</f>
        <v>-267</v>
      </c>
      <c r="N15" s="74" t="str">
        <f>IF(Table1126[[#This Row],[Account]]&lt;&gt;"",IF(Table1126[[#This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IF(Table1126[[#This Row],[Account]]&lt;&gt;"",$N$8,"")</f>
        <v/>
      </c>
      <c r="M16" s="24" t="str">
        <f>IF(Table1126[[#This Row],[Account]]&lt;&gt;"",J16+L16-$N$7,"")</f>
        <v/>
      </c>
      <c r="N16" s="25" t="str">
        <f>IF(Table1126[[#This Row],[Account]]&lt;&gt;"",IF(Table1126[[#This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IF(Table1126[[#This Row],[Account]]&lt;&gt;"",$N$8,"")</f>
        <v/>
      </c>
      <c r="M17" s="18" t="str">
        <f>IF(Table1126[[#This Row],[Account]]&lt;&gt;"",J17+L17-$N$7,"")</f>
        <v/>
      </c>
      <c r="N17" s="19" t="str">
        <f>IF(Table1126[[#This Row],[Account]]&lt;&gt;"",IF(Table1126[[#This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IF(Table1126[[#This Row],[Account]]&lt;&gt;"",$N$8,"")</f>
        <v/>
      </c>
      <c r="M18" s="24" t="str">
        <f>IF(Table1126[[#This Row],[Account]]&lt;&gt;"",J18+L18-$N$7,"")</f>
        <v/>
      </c>
      <c r="N18" s="25" t="str">
        <f>IF(Table1126[[#This Row],[Account]]&lt;&gt;"",IF(Table1126[[#This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IF(Table1126[[#This Row],[Account]]&lt;&gt;"",$N$8,"")</f>
        <v/>
      </c>
      <c r="M19" s="18" t="str">
        <f>IF(Table1126[[#This Row],[Account]]&lt;&gt;"",J19+L19-$N$7,"")</f>
        <v/>
      </c>
      <c r="N19" s="19" t="str">
        <f>IF(Table1126[[#This Row],[Account]]&lt;&gt;"",IF(Table1126[[#This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IF(Table1126[[#This Row],[Account]]&lt;&gt;"",$N$8,"")</f>
        <v/>
      </c>
      <c r="M20" s="24" t="str">
        <f>IF(Table1126[[#This Row],[Account]]&lt;&gt;"",J20+L20-$N$7,"")</f>
        <v/>
      </c>
      <c r="N20" s="25" t="str">
        <f>IF(Table1126[[#This Row],[Account]]&lt;&gt;"",IF(Table1126[[#This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IF(Table1126[[#This Row],[Account]]&lt;&gt;"",$N$8,"")</f>
        <v/>
      </c>
      <c r="M21" s="18" t="str">
        <f>IF(Table1126[[#This Row],[Account]]&lt;&gt;"",J21+L21-$N$7,"")</f>
        <v/>
      </c>
      <c r="N21" s="19" t="str">
        <f>IF(Table1126[[#This Row],[Account]]&lt;&gt;"",IF(Table1126[[#This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IF(Table1126[[#This Row],[Account]]&lt;&gt;"",$N$8,"")</f>
        <v/>
      </c>
      <c r="M22" s="24" t="str">
        <f>IF(Table1126[[#This Row],[Account]]&lt;&gt;"",J22+L22-$N$7,"")</f>
        <v/>
      </c>
      <c r="N22" s="25" t="str">
        <f>IF(Table1126[[#This Row],[Account]]&lt;&gt;"",IF(Table1126[[#This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IF(Table1126[[#This Row],[Account]]&lt;&gt;"",$N$8,"")</f>
        <v/>
      </c>
      <c r="M23" s="18" t="str">
        <f>IF(Table1126[[#This Row],[Account]]&lt;&gt;"",J23+L23-$N$7,"")</f>
        <v/>
      </c>
      <c r="N23" s="19" t="str">
        <f>IF(Table1126[[#This Row],[Account]]&lt;&gt;"",IF(Table1126[[#This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IF(Table1126[[#This Row],[Account]]&lt;&gt;"",$N$8,"")</f>
        <v/>
      </c>
      <c r="M24" s="24" t="str">
        <f>IF(Table1126[[#This Row],[Account]]&lt;&gt;"",J24+L24-$N$7,"")</f>
        <v/>
      </c>
      <c r="N24" s="25" t="str">
        <f>IF(Table1126[[#This Row],[Account]]&lt;&gt;"",IF(Table1126[[#This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IF(Table1126[[#This Row],[Account]]&lt;&gt;"",$N$8,"")</f>
        <v/>
      </c>
      <c r="M25" s="18" t="str">
        <f>IF(Table1126[[#This Row],[Account]]&lt;&gt;"",J25+L25-$N$7,"")</f>
        <v/>
      </c>
      <c r="N25" s="19" t="str">
        <f>IF(Table1126[[#This Row],[Account]]&lt;&gt;"",IF(Table1126[[#This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IF(Table1126[[#This Row],[Account]]&lt;&gt;"",$N$8,"")</f>
        <v/>
      </c>
      <c r="M26" s="24" t="str">
        <f>IF(Table1126[[#This Row],[Account]]&lt;&gt;"",J26+L26-$N$7,"")</f>
        <v/>
      </c>
      <c r="N26" s="25" t="str">
        <f>IF(Table1126[[#This Row],[Account]]&lt;&gt;"",IF(Table1126[[#This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IF(Table1126[[#This Row],[Account]]&lt;&gt;"",$N$8,"")</f>
        <v/>
      </c>
      <c r="M27" s="18" t="str">
        <f>IF(Table1126[[#This Row],[Account]]&lt;&gt;"",J27+L27-$N$7,"")</f>
        <v/>
      </c>
      <c r="N27" s="19" t="str">
        <f>IF(Table1126[[#This Row],[Account]]&lt;&gt;"",IF(Table1126[[#This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IF(Table1126[[#This Row],[Account]]&lt;&gt;"",$N$8,"")</f>
        <v/>
      </c>
      <c r="M28" s="24" t="str">
        <f>IF(Table1126[[#This Row],[Account]]&lt;&gt;"",J28+L28-$N$7,"")</f>
        <v/>
      </c>
      <c r="N28" s="25" t="str">
        <f>IF(Table1126[[#This Row],[Account]]&lt;&gt;"",IF(Table1126[[#This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IF(Table1126[[#This Row],[Account]]&lt;&gt;"",$N$8,"")</f>
        <v/>
      </c>
      <c r="M29" s="18" t="str">
        <f>IF(Table1126[[#This Row],[Account]]&lt;&gt;"",J29+L29-$N$7,"")</f>
        <v/>
      </c>
      <c r="N29" s="19" t="str">
        <f>IF(Table1126[[#This Row],[Account]]&lt;&gt;"",IF(Table1126[[#This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IF(Table1126[[#This Row],[Account]]&lt;&gt;"",$N$8,"")</f>
        <v/>
      </c>
      <c r="M30" s="24" t="str">
        <f>IF(Table1126[[#This Row],[Account]]&lt;&gt;"",J30+L30-$N$7,"")</f>
        <v/>
      </c>
      <c r="N30" s="25" t="str">
        <f>IF(Table1126[[#This Row],[Account]]&lt;&gt;"",IF(Table1126[[#This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IF(Table1126[[#This Row],[Account]]&lt;&gt;"",$N$8,"")</f>
        <v/>
      </c>
      <c r="M31" s="18" t="str">
        <f>IF(Table1126[[#This Row],[Account]]&lt;&gt;"",J31+L31-$N$7,"")</f>
        <v/>
      </c>
      <c r="N31" s="19" t="str">
        <f>IF(Table1126[[#This Row],[Account]]&lt;&gt;"",IF(Table1126[[#This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IF(Table1126[[#This Row],[Account]]&lt;&gt;"",$N$8,"")</f>
        <v/>
      </c>
      <c r="M32" s="24" t="str">
        <f>IF(Table1126[[#This Row],[Account]]&lt;&gt;"",J32+L32-$N$7,"")</f>
        <v/>
      </c>
      <c r="N32" s="25" t="str">
        <f>IF(Table1126[[#This Row],[Account]]&lt;&gt;"",IF(Table1126[[#This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IF(Table1126[[#This Row],[Account]]&lt;&gt;"",$N$8,"")</f>
        <v/>
      </c>
      <c r="M33" s="18" t="str">
        <f>IF(Table1126[[#This Row],[Account]]&lt;&gt;"",J33+L33-$N$7,"")</f>
        <v/>
      </c>
      <c r="N33" s="19" t="str">
        <f>IF(Table1126[[#This Row],[Account]]&lt;&gt;"",IF(Table1126[[#This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IF(Table1126[[#This Row],[Account]]&lt;&gt;"",$N$8,"")</f>
        <v/>
      </c>
      <c r="M34" s="24" t="str">
        <f>IF(Table1126[[#This Row],[Account]]&lt;&gt;"",J34+L34-$N$7,"")</f>
        <v/>
      </c>
      <c r="N34" s="25" t="str">
        <f>IF(Table1126[[#This Row],[Account]]&lt;&gt;"",IF(Table1126[[#This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IF(Table1126[[#This Row],[Account]]&lt;&gt;"",$N$8,"")</f>
        <v/>
      </c>
      <c r="M35" s="18" t="str">
        <f>IF(Table1126[[#This Row],[Account]]&lt;&gt;"",J35+L35-$N$7,"")</f>
        <v/>
      </c>
      <c r="N35" s="19" t="str">
        <f>IF(Table1126[[#This Row],[Account]]&lt;&gt;"",IF(Table1126[[#This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IF(Table1126[[#This Row],[Account]]&lt;&gt;"",$N$8,"")</f>
        <v/>
      </c>
      <c r="M36" s="24" t="str">
        <f>IF(Table1126[[#This Row],[Account]]&lt;&gt;"",J36+L36-$N$7,"")</f>
        <v/>
      </c>
      <c r="N36" s="25" t="str">
        <f>IF(Table1126[[#This Row],[Account]]&lt;&gt;"",IF(Table1126[[#This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IF(Table1126[[#This Row],[Account]]&lt;&gt;"",$N$8,"")</f>
        <v/>
      </c>
      <c r="M37" s="18" t="str">
        <f>IF(Table1126[[#This Row],[Account]]&lt;&gt;"",J37+L37-$N$7,"")</f>
        <v/>
      </c>
      <c r="N37" s="19" t="str">
        <f>IF(Table1126[[#This Row],[Account]]&lt;&gt;"",IF(Table1126[[#This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IF(Table1126[[#This Row],[Account]]&lt;&gt;"",$N$8,"")</f>
        <v/>
      </c>
      <c r="M38" s="24" t="str">
        <f>IF(Table1126[[#This Row],[Account]]&lt;&gt;"",J38+L38-$N$7,"")</f>
        <v/>
      </c>
      <c r="N38" s="25" t="str">
        <f>IF(Table1126[[#This Row],[Account]]&lt;&gt;"",IF(Table1126[[#This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IF(Table1126[[#This Row],[Account]]&lt;&gt;"",$N$8,"")</f>
        <v/>
      </c>
      <c r="M39" s="18" t="str">
        <f>IF(Table1126[[#This Row],[Account]]&lt;&gt;"",J39+L39-$N$7,"")</f>
        <v/>
      </c>
      <c r="N39" s="19" t="str">
        <f>IF(Table1126[[#This Row],[Account]]&lt;&gt;"",IF(Table1126[[#This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IF(Table1126[[#This Row],[Account]]&lt;&gt;"",$N$8,"")</f>
        <v/>
      </c>
      <c r="M40" s="24" t="str">
        <f>IF(Table1126[[#This Row],[Account]]&lt;&gt;"",J40+L40-$N$7,"")</f>
        <v/>
      </c>
      <c r="N40" s="25" t="str">
        <f>IF(Table1126[[#This Row],[Account]]&lt;&gt;"",IF(Table1126[[#This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IF(Table1126[[#This Row],[Account]]&lt;&gt;"",$N$8,"")</f>
        <v/>
      </c>
      <c r="M41" s="18" t="str">
        <f>IF(Table1126[[#This Row],[Account]]&lt;&gt;"",J41+L41-$N$7,"")</f>
        <v/>
      </c>
      <c r="N41" s="19" t="str">
        <f>IF(Table1126[[#This Row],[Account]]&lt;&gt;"",IF(Table1126[[#This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IF(Table1126[[#This Row],[Account]]&lt;&gt;"",$N$8,"")</f>
        <v/>
      </c>
      <c r="M42" s="24" t="str">
        <f>IF(Table1126[[#This Row],[Account]]&lt;&gt;"",J42+L42-$N$7,"")</f>
        <v/>
      </c>
      <c r="N42" s="25" t="str">
        <f>IF(Table1126[[#This Row],[Account]]&lt;&gt;"",IF(Table1126[[#This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IF(Table1126[[#This Row],[Account]]&lt;&gt;"",$N$8,"")</f>
        <v/>
      </c>
      <c r="M43" s="18" t="str">
        <f>IF(Table1126[[#This Row],[Account]]&lt;&gt;"",J43+L43-$N$7,"")</f>
        <v/>
      </c>
      <c r="N43" s="19" t="str">
        <f>IF(Table1126[[#This Row],[Account]]&lt;&gt;"",IF(Table1126[[#This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IF(Table1126[[#This Row],[Account]]&lt;&gt;"",$N$8,"")</f>
        <v/>
      </c>
      <c r="M44" s="24" t="str">
        <f>IF(Table1126[[#This Row],[Account]]&lt;&gt;"",J44+L44-$N$7,"")</f>
        <v/>
      </c>
      <c r="N44" s="25" t="str">
        <f>IF(Table1126[[#This Row],[Account]]&lt;&gt;"",IF(Table1126[[#This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IF(Table1126[[#This Row],[Account]]&lt;&gt;"",$N$8,"")</f>
        <v/>
      </c>
      <c r="M45" s="18" t="str">
        <f>IF(Table1126[[#This Row],[Account]]&lt;&gt;"",J45+L45-$N$7,"")</f>
        <v/>
      </c>
      <c r="N45" s="19" t="str">
        <f>IF(Table1126[[#This Row],[Account]]&lt;&gt;"",IF(Table1126[[#This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IF(Table1126[[#This Row],[Account]]&lt;&gt;"",$N$8,"")</f>
        <v/>
      </c>
      <c r="M46" s="24" t="str">
        <f>IF(Table1126[[#This Row],[Account]]&lt;&gt;"",J46+L46-$N$7,"")</f>
        <v/>
      </c>
      <c r="N46" s="25" t="str">
        <f>IF(Table1126[[#This Row],[Account]]&lt;&gt;"",IF(Table1126[[#This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IF(Table1126[[#This Row],[Account]]&lt;&gt;"",$N$8,"")</f>
        <v/>
      </c>
      <c r="M47" s="18" t="str">
        <f>IF(Table1126[[#This Row],[Account]]&lt;&gt;"",J47+L47-$N$7,"")</f>
        <v/>
      </c>
      <c r="N47" s="19" t="str">
        <f>IF(Table1126[[#This Row],[Account]]&lt;&gt;"",IF(Table1126[[#This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IF(Table1126[[#This Row],[Account]]&lt;&gt;"",$N$8,"")</f>
        <v/>
      </c>
      <c r="M48" s="24" t="str">
        <f>IF(Table1126[[#This Row],[Account]]&lt;&gt;"",J48+L48-$N$7,"")</f>
        <v/>
      </c>
      <c r="N48" s="25" t="str">
        <f>IF(Table1126[[#This Row],[Account]]&lt;&gt;"",IF(Table1126[[#This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IF(Table1126[[#This Row],[Account]]&lt;&gt;"",$N$8,"")</f>
        <v/>
      </c>
      <c r="M49" s="18" t="str">
        <f>IF(Table1126[[#This Row],[Account]]&lt;&gt;"",J49+L49-$N$7,"")</f>
        <v/>
      </c>
      <c r="N49" s="19" t="str">
        <f>IF(Table1126[[#This Row],[Account]]&lt;&gt;"",IF(Table1126[[#This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IF(Table1126[[#This Row],[Account]]&lt;&gt;"",$N$8,"")</f>
        <v/>
      </c>
      <c r="M50" s="24" t="str">
        <f>IF(Table1126[[#This Row],[Account]]&lt;&gt;"",J50+L50-$N$7,"")</f>
        <v/>
      </c>
      <c r="N50" s="25" t="str">
        <f>IF(Table1126[[#This Row],[Account]]&lt;&gt;"",IF(Table1126[[#This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IF(Table1126[[#This Row],[Account]]&lt;&gt;"",$N$8,"")</f>
        <v/>
      </c>
      <c r="M51" s="18" t="str">
        <f>IF(Table1126[[#This Row],[Account]]&lt;&gt;"",J51+L51-$N$7,"")</f>
        <v/>
      </c>
      <c r="N51" s="19" t="str">
        <f>IF(Table1126[[#This Row],[Account]]&lt;&gt;"",IF(Table1126[[#This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IF(Table1126[[#This Row],[Account]]&lt;&gt;"",$N$8,"")</f>
        <v/>
      </c>
      <c r="M52" s="24" t="str">
        <f>IF(Table1126[[#This Row],[Account]]&lt;&gt;"",J52+L52-$N$7,"")</f>
        <v/>
      </c>
      <c r="N52" s="25" t="str">
        <f>IF(Table1126[[#This Row],[Account]]&lt;&gt;"",IF(Table1126[[#This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IF(Table1126[[#This Row],[Account]]&lt;&gt;"",$N$8,"")</f>
        <v/>
      </c>
      <c r="M53" s="18" t="str">
        <f>IF(Table1126[[#This Row],[Account]]&lt;&gt;"",J53+L53-$N$7,"")</f>
        <v/>
      </c>
      <c r="N53" s="19" t="str">
        <f>IF(Table1126[[#This Row],[Account]]&lt;&gt;"",IF(Table1126[[#This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IF(Table1126[[#This Row],[Account]]&lt;&gt;"",$N$8,"")</f>
        <v/>
      </c>
      <c r="M54" s="24" t="str">
        <f>IF(Table1126[[#This Row],[Account]]&lt;&gt;"",J54+L54-$N$7,"")</f>
        <v/>
      </c>
      <c r="N54" s="25" t="str">
        <f>IF(Table1126[[#This Row],[Account]]&lt;&gt;"",IF(Table1126[[#This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IF(Table1126[[#This Row],[Account]]&lt;&gt;"",$N$8,"")</f>
        <v/>
      </c>
      <c r="M55" s="18" t="str">
        <f>IF(Table1126[[#This Row],[Account]]&lt;&gt;"",J55+L55-$N$7,"")</f>
        <v/>
      </c>
      <c r="N55" s="19" t="str">
        <f>IF(Table1126[[#This Row],[Account]]&lt;&gt;"",IF(Table1126[[#This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IF(Table1126[[#This Row],[Account]]&lt;&gt;"",$N$8,"")</f>
        <v/>
      </c>
      <c r="M56" s="24" t="str">
        <f>IF(Table1126[[#This Row],[Account]]&lt;&gt;"",J56+L56-$N$7,"")</f>
        <v/>
      </c>
      <c r="N56" s="25" t="str">
        <f>IF(Table1126[[#This Row],[Account]]&lt;&gt;"",IF(Table1126[[#This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IF(Table1126[[#This Row],[Account]]&lt;&gt;"",$N$8,"")</f>
        <v/>
      </c>
      <c r="M57" s="18" t="str">
        <f>IF(Table1126[[#This Row],[Account]]&lt;&gt;"",J57+L57-$N$7,"")</f>
        <v/>
      </c>
      <c r="N57" s="19" t="str">
        <f>IF(Table1126[[#This Row],[Account]]&lt;&gt;"",IF(Table1126[[#This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IF(Table1126[[#This Row],[Account]]&lt;&gt;"",$N$8,"")</f>
        <v/>
      </c>
      <c r="M58" s="24" t="str">
        <f>IF(Table1126[[#This Row],[Account]]&lt;&gt;"",J58+L58-$N$7,"")</f>
        <v/>
      </c>
      <c r="N58" s="25" t="str">
        <f>IF(Table1126[[#This Row],[Account]]&lt;&gt;"",IF(Table1126[[#This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IF(Table1126[[#This Row],[Account]]&lt;&gt;"",$N$8,"")</f>
        <v/>
      </c>
      <c r="M59" s="18" t="str">
        <f>IF(Table1126[[#This Row],[Account]]&lt;&gt;"",J59+L59-$N$7,"")</f>
        <v/>
      </c>
      <c r="N59" s="19" t="str">
        <f>IF(Table1126[[#This Row],[Account]]&lt;&gt;"",IF(Table1126[[#This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IF(Table1126[[#This Row],[Account]]&lt;&gt;"",$N$8,"")</f>
        <v/>
      </c>
      <c r="M60" s="24" t="str">
        <f>IF(Table1126[[#This Row],[Account]]&lt;&gt;"",J60+L60-$N$7,"")</f>
        <v/>
      </c>
      <c r="N60" s="25" t="str">
        <f>IF(Table1126[[#This Row],[Account]]&lt;&gt;"",IF(Table1126[[#This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IF(Table1126[[#This Row],[Account]]&lt;&gt;"",$N$8,"")</f>
        <v/>
      </c>
      <c r="M61" s="18" t="str">
        <f>IF(Table1126[[#This Row],[Account]]&lt;&gt;"",J61+L61-$N$7,"")</f>
        <v/>
      </c>
      <c r="N61" s="19" t="str">
        <f>IF(Table1126[[#This Row],[Account]]&lt;&gt;"",IF(Table1126[[#This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IF(Table1126[[#This Row],[Account]]&lt;&gt;"",$N$8,"")</f>
        <v/>
      </c>
      <c r="M62" s="24" t="str">
        <f>IF(Table1126[[#This Row],[Account]]&lt;&gt;"",J62+L62-$N$7,"")</f>
        <v/>
      </c>
      <c r="N62" s="25" t="str">
        <f>IF(Table1126[[#This Row],[Account]]&lt;&gt;"",IF(Table1126[[#This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IF(Table1126[[#This Row],[Account]]&lt;&gt;"",$N$8,"")</f>
        <v/>
      </c>
      <c r="M63" s="18" t="str">
        <f>IF(Table1126[[#This Row],[Account]]&lt;&gt;"",J63+L63-$N$7,"")</f>
        <v/>
      </c>
      <c r="N63" s="19" t="str">
        <f>IF(Table1126[[#This Row],[Account]]&lt;&gt;"",IF(Table1126[[#This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IF(Table1126[[#This Row],[Account]]&lt;&gt;"",$N$8,"")</f>
        <v/>
      </c>
      <c r="M64" s="24" t="str">
        <f>IF(Table1126[[#This Row],[Account]]&lt;&gt;"",J64+L64-$N$7,"")</f>
        <v/>
      </c>
      <c r="N64" s="25" t="str">
        <f>IF(Table1126[[#This Row],[Account]]&lt;&gt;"",IF(Table1126[[#This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IF(Table1126[[#This Row],[Account]]&lt;&gt;"",$N$8,"")</f>
        <v/>
      </c>
      <c r="M65" s="18" t="str">
        <f>IF(Table1126[[#This Row],[Account]]&lt;&gt;"",J65+L65-$N$7,"")</f>
        <v/>
      </c>
      <c r="N65" s="19" t="str">
        <f>IF(Table1126[[#This Row],[Account]]&lt;&gt;"",IF(Table1126[[#This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IF(Table1126[[#This Row],[Account]]&lt;&gt;"",$N$8,"")</f>
        <v/>
      </c>
      <c r="M66" s="24" t="str">
        <f>IF(Table1126[[#This Row],[Account]]&lt;&gt;"",J66+L66-$N$7,"")</f>
        <v/>
      </c>
      <c r="N66" s="25" t="str">
        <f>IF(Table1126[[#This Row],[Account]]&lt;&gt;"",IF(Table1126[[#This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IF(Table1126[[#This Row],[Account]]&lt;&gt;"",$N$8,"")</f>
        <v/>
      </c>
      <c r="M67" s="18" t="str">
        <f>IF(Table1126[[#This Row],[Account]]&lt;&gt;"",J67+L67-$N$7,"")</f>
        <v/>
      </c>
      <c r="N67" s="19" t="str">
        <f>IF(Table1126[[#This Row],[Account]]&lt;&gt;"",IF(Table1126[[#This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IF(Table1126[[#This Row],[Account]]&lt;&gt;"",$N$8,"")</f>
        <v/>
      </c>
      <c r="M68" s="24" t="str">
        <f>IF(Table1126[[#This Row],[Account]]&lt;&gt;"",J68+L68-$N$7,"")</f>
        <v/>
      </c>
      <c r="N68" s="25" t="str">
        <f>IF(Table1126[[#This Row],[Account]]&lt;&gt;"",IF(Table1126[[#This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IF(Table1126[[#This Row],[Account]]&lt;&gt;"",$N$8,"")</f>
        <v/>
      </c>
      <c r="M69" s="18" t="str">
        <f>IF(Table1126[[#This Row],[Account]]&lt;&gt;"",J69+L69-$N$7,"")</f>
        <v/>
      </c>
      <c r="N69" s="19" t="str">
        <f>IF(Table1126[[#This Row],[Account]]&lt;&gt;"",IF(Table1126[[#This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IF(Table1126[[#This Row],[Account]]&lt;&gt;"",$N$8,"")</f>
        <v/>
      </c>
      <c r="M70" s="24" t="str">
        <f>IF(Table1126[[#This Row],[Account]]&lt;&gt;"",J70+L70-$N$7,"")</f>
        <v/>
      </c>
      <c r="N70" s="25" t="str">
        <f>IF(Table1126[[#This Row],[Account]]&lt;&gt;"",IF(Table1126[[#This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IF(Table1126[[#This Row],[Account]]&lt;&gt;"",$N$8,"")</f>
        <v/>
      </c>
      <c r="M71" s="18" t="str">
        <f>IF(Table1126[[#This Row],[Account]]&lt;&gt;"",J71+L71-$N$7,"")</f>
        <v/>
      </c>
      <c r="N71" s="19" t="str">
        <f>IF(Table1126[[#This Row],[Account]]&lt;&gt;"",IF(Table1126[[#This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IF(Table1126[[#This Row],[Account]]&lt;&gt;"",$N$8,"")</f>
        <v/>
      </c>
      <c r="M72" s="24" t="str">
        <f>IF(Table1126[[#This Row],[Account]]&lt;&gt;"",J72+L72-$N$7,"")</f>
        <v/>
      </c>
      <c r="N72" s="25" t="str">
        <f>IF(Table1126[[#This Row],[Account]]&lt;&gt;"",IF(Table1126[[#This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IF(Table1126[[#This Row],[Account]]&lt;&gt;"",$N$8,"")</f>
        <v/>
      </c>
      <c r="M73" s="18" t="str">
        <f>IF(Table1126[[#This Row],[Account]]&lt;&gt;"",J73+L73-$N$7,"")</f>
        <v/>
      </c>
      <c r="N73" s="19" t="str">
        <f>IF(Table1126[[#This Row],[Account]]&lt;&gt;"",IF(Table1126[[#This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IF(Table1126[[#This Row],[Account]]&lt;&gt;"",$N$8,"")</f>
        <v/>
      </c>
      <c r="M74" s="24" t="str">
        <f>IF(Table1126[[#This Row],[Account]]&lt;&gt;"",J74+L74-$N$7,"")</f>
        <v/>
      </c>
      <c r="N74" s="25" t="str">
        <f>IF(Table1126[[#This Row],[Account]]&lt;&gt;"",IF(Table1126[[#This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IF(Table1126[[#This Row],[Account]]&lt;&gt;"",$N$8,"")</f>
        <v/>
      </c>
      <c r="M75" s="18" t="str">
        <f>IF(Table1126[[#This Row],[Account]]&lt;&gt;"",J75+L75-$N$7,"")</f>
        <v/>
      </c>
      <c r="N75" s="19" t="str">
        <f>IF(Table1126[[#This Row],[Account]]&lt;&gt;"",IF(Table1126[[#This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IF(Table1126[[#This Row],[Account]]&lt;&gt;"",$N$8,"")</f>
        <v/>
      </c>
      <c r="M76" s="24" t="str">
        <f>IF(Table1126[[#This Row],[Account]]&lt;&gt;"",J76+L76-$N$7,"")</f>
        <v/>
      </c>
      <c r="N76" s="25" t="str">
        <f>IF(Table1126[[#This Row],[Account]]&lt;&gt;"",IF(Table1126[[#This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IF(Table1126[[#This Row],[Account]]&lt;&gt;"",$N$8,"")</f>
        <v/>
      </c>
      <c r="M77" s="18" t="str">
        <f>IF(Table1126[[#This Row],[Account]]&lt;&gt;"",J77+L77-$N$7,"")</f>
        <v/>
      </c>
      <c r="N77" s="19" t="str">
        <f>IF(Table1126[[#This Row],[Account]]&lt;&gt;"",IF(Table1126[[#This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IF(Table1126[[#This Row],[Account]]&lt;&gt;"",$N$8,"")</f>
        <v/>
      </c>
      <c r="M78" s="24" t="str">
        <f>IF(Table1126[[#This Row],[Account]]&lt;&gt;"",J78+L78-$N$7,"")</f>
        <v/>
      </c>
      <c r="N78" s="25" t="str">
        <f>IF(Table1126[[#This Row],[Account]]&lt;&gt;"",IF(Table1126[[#This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IF(Table1126[[#This Row],[Account]]&lt;&gt;"",$N$8,"")</f>
        <v/>
      </c>
      <c r="M79" s="18" t="str">
        <f>IF(Table1126[[#This Row],[Account]]&lt;&gt;"",J79+L79-$N$7,"")</f>
        <v/>
      </c>
      <c r="N79" s="19" t="str">
        <f>IF(Table1126[[#This Row],[Account]]&lt;&gt;"",IF(Table1126[[#This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IF(Table1126[[#This Row],[Account]]&lt;&gt;"",$N$8,"")</f>
        <v/>
      </c>
      <c r="M80" s="24" t="str">
        <f>IF(Table1126[[#This Row],[Account]]&lt;&gt;"",J80+L80-$N$7,"")</f>
        <v/>
      </c>
      <c r="N80" s="25" t="str">
        <f>IF(Table1126[[#This Row],[Account]]&lt;&gt;"",IF(Table1126[[#This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IF(Table1126[[#This Row],[Account]]&lt;&gt;"",$N$8,"")</f>
        <v/>
      </c>
      <c r="M81" s="18" t="str">
        <f>IF(Table1126[[#This Row],[Account]]&lt;&gt;"",J81+L81-$N$7,"")</f>
        <v/>
      </c>
      <c r="N81" s="19" t="str">
        <f>IF(Table1126[[#This Row],[Account]]&lt;&gt;"",IF(Table1126[[#This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IF(Table1126[[#This Row],[Account]]&lt;&gt;"",$N$8,"")</f>
        <v/>
      </c>
      <c r="M82" s="24" t="str">
        <f>IF(Table1126[[#This Row],[Account]]&lt;&gt;"",J82+L82-$N$7,"")</f>
        <v/>
      </c>
      <c r="N82" s="25" t="str">
        <f>IF(Table1126[[#This Row],[Account]]&lt;&gt;"",IF(Table1126[[#This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IF(Table1126[[#This Row],[Account]]&lt;&gt;"",$N$8,"")</f>
        <v/>
      </c>
      <c r="M83" s="18" t="str">
        <f>IF(Table1126[[#This Row],[Account]]&lt;&gt;"",J83+L83-$N$7,"")</f>
        <v/>
      </c>
      <c r="N83" s="19" t="str">
        <f>IF(Table1126[[#This Row],[Account]]&lt;&gt;"",IF(Table1126[[#This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IF(Table1126[[#This Row],[Account]]&lt;&gt;"",$N$8,"")</f>
        <v/>
      </c>
      <c r="M84" s="24" t="str">
        <f>IF(Table1126[[#This Row],[Account]]&lt;&gt;"",J84+L84-$N$7,"")</f>
        <v/>
      </c>
      <c r="N84" s="25" t="str">
        <f>IF(Table1126[[#This Row],[Account]]&lt;&gt;"",IF(Table1126[[#This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IF(Table1126[[#This Row],[Account]]&lt;&gt;"",$N$8,"")</f>
        <v/>
      </c>
      <c r="M85" s="18" t="str">
        <f>IF(Table1126[[#This Row],[Account]]&lt;&gt;"",J85+L85-$N$7,"")</f>
        <v/>
      </c>
      <c r="N85" s="19" t="str">
        <f>IF(Table1126[[#This Row],[Account]]&lt;&gt;"",IF(Table1126[[#This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IF(Table1126[[#This Row],[Account]]&lt;&gt;"",$N$8,"")</f>
        <v/>
      </c>
      <c r="M86" s="24" t="str">
        <f>IF(Table1126[[#This Row],[Account]]&lt;&gt;"",J86+L86-$N$7,"")</f>
        <v/>
      </c>
      <c r="N86" s="25" t="str">
        <f>IF(Table1126[[#This Row],[Account]]&lt;&gt;"",IF(Table1126[[#This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IF(Table1126[[#This Row],[Account]]&lt;&gt;"",$N$8,"")</f>
        <v/>
      </c>
      <c r="M87" s="18" t="str">
        <f>IF(Table1126[[#This Row],[Account]]&lt;&gt;"",J87+L87-$N$7,"")</f>
        <v/>
      </c>
      <c r="N87" s="19" t="str">
        <f>IF(Table1126[[#This Row],[Account]]&lt;&gt;"",IF(Table1126[[#This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IF(Table1126[[#This Row],[Account]]&lt;&gt;"",$N$8,"")</f>
        <v/>
      </c>
      <c r="M88" s="24" t="str">
        <f>IF(Table1126[[#This Row],[Account]]&lt;&gt;"",J88+L88-$N$7,"")</f>
        <v/>
      </c>
      <c r="N88" s="25" t="str">
        <f>IF(Table1126[[#This Row],[Account]]&lt;&gt;"",IF(Table1126[[#This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IF(Table1126[[#This Row],[Account]]&lt;&gt;"",$N$8,"")</f>
        <v/>
      </c>
      <c r="M89" s="18" t="str">
        <f>IF(Table1126[[#This Row],[Account]]&lt;&gt;"",J89+L89-$N$7,"")</f>
        <v/>
      </c>
      <c r="N89" s="19" t="str">
        <f>IF(Table1126[[#This Row],[Account]]&lt;&gt;"",IF(Table1126[[#This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IF(Table1126[[#This Row],[Account]]&lt;&gt;"",$N$8,"")</f>
        <v/>
      </c>
      <c r="M90" s="24" t="str">
        <f>IF(Table1126[[#This Row],[Account]]&lt;&gt;"",J90+L90-$N$7,"")</f>
        <v/>
      </c>
      <c r="N90" s="25" t="str">
        <f>IF(Table1126[[#This Row],[Account]]&lt;&gt;"",IF(Table1126[[#This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IF(Table1126[[#This Row],[Account]]&lt;&gt;"",$N$8,"")</f>
        <v/>
      </c>
      <c r="M91" s="18" t="str">
        <f>IF(Table1126[[#This Row],[Account]]&lt;&gt;"",J91+L91-$N$7,"")</f>
        <v/>
      </c>
      <c r="N91" s="19" t="str">
        <f>IF(Table1126[[#This Row],[Account]]&lt;&gt;"",IF(Table1126[[#This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IF(Table1126[[#This Row],[Account]]&lt;&gt;"",$N$8,"")</f>
        <v/>
      </c>
      <c r="M92" s="24" t="str">
        <f>IF(Table1126[[#This Row],[Account]]&lt;&gt;"",J92+L92-$N$7,"")</f>
        <v/>
      </c>
      <c r="N92" s="25" t="str">
        <f>IF(Table1126[[#This Row],[Account]]&lt;&gt;"",IF(Table1126[[#This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IF(Table1126[[#This Row],[Account]]&lt;&gt;"",$N$8,"")</f>
        <v/>
      </c>
      <c r="M93" s="18" t="str">
        <f>IF(Table1126[[#This Row],[Account]]&lt;&gt;"",J93+L93-$N$7,"")</f>
        <v/>
      </c>
      <c r="N93" s="19" t="str">
        <f>IF(Table1126[[#This Row],[Account]]&lt;&gt;"",IF(Table1126[[#This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IF(Table1126[[#This Row],[Account]]&lt;&gt;"",$N$8,"")</f>
        <v/>
      </c>
      <c r="M94" s="24" t="str">
        <f>IF(Table1126[[#This Row],[Account]]&lt;&gt;"",J94+L94-$N$7,"")</f>
        <v/>
      </c>
      <c r="N94" s="25" t="str">
        <f>IF(Table1126[[#This Row],[Account]]&lt;&gt;"",IF(Table1126[[#This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IF(Table1126[[#This Row],[Account]]&lt;&gt;"",$N$8,"")</f>
        <v/>
      </c>
      <c r="M95" s="18" t="str">
        <f>IF(Table1126[[#This Row],[Account]]&lt;&gt;"",J95+L95-$N$7,"")</f>
        <v/>
      </c>
      <c r="N95" s="19" t="str">
        <f>IF(Table1126[[#This Row],[Account]]&lt;&gt;"",IF(Table1126[[#This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IF(Table1126[[#This Row],[Account]]&lt;&gt;"",$N$8,"")</f>
        <v/>
      </c>
      <c r="M96" s="24" t="str">
        <f>IF(Table1126[[#This Row],[Account]]&lt;&gt;"",J96+L96-$N$7,"")</f>
        <v/>
      </c>
      <c r="N96" s="25" t="str">
        <f>IF(Table1126[[#This Row],[Account]]&lt;&gt;"",IF(Table1126[[#This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IF(Table1126[[#This Row],[Account]]&lt;&gt;"",$N$8,"")</f>
        <v/>
      </c>
      <c r="M97" s="18" t="str">
        <f>IF(Table1126[[#This Row],[Account]]&lt;&gt;"",J97+L97-$N$7,"")</f>
        <v/>
      </c>
      <c r="N97" s="19" t="str">
        <f>IF(Table1126[[#This Row],[Account]]&lt;&gt;"",IF(Table1126[[#This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IF(Table1126[[#This Row],[Account]]&lt;&gt;"",$N$8,"")</f>
        <v/>
      </c>
      <c r="M98" s="24" t="str">
        <f>IF(Table1126[[#This Row],[Account]]&lt;&gt;"",J98+L98-$N$7,"")</f>
        <v/>
      </c>
      <c r="N98" s="25" t="str">
        <f>IF(Table1126[[#This Row],[Account]]&lt;&gt;"",IF(Table1126[[#This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IF(Table1126[[#This Row],[Account]]&lt;&gt;"",$N$8,"")</f>
        <v/>
      </c>
      <c r="M99" s="18" t="str">
        <f>IF(Table1126[[#This Row],[Account]]&lt;&gt;"",J99+L99-$N$7,"")</f>
        <v/>
      </c>
      <c r="N99" s="19" t="str">
        <f>IF(Table1126[[#This Row],[Account]]&lt;&gt;"",IF(Table1126[[#This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IF(Table1126[[#This Row],[Account]]&lt;&gt;"",$N$8,"")</f>
        <v/>
      </c>
      <c r="M100" s="24" t="str">
        <f>IF(Table1126[[#This Row],[Account]]&lt;&gt;"",J100+L100-$N$7,"")</f>
        <v/>
      </c>
      <c r="N100" s="25" t="str">
        <f>IF(Table1126[[#This Row],[Account]]&lt;&gt;"",IF(Table1126[[#This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IF(Table1126[[#This Row],[Account]]&lt;&gt;"",$N$8,"")</f>
        <v/>
      </c>
      <c r="M101" s="18" t="str">
        <f>IF(Table1126[[#This Row],[Account]]&lt;&gt;"",J101+L101-$N$7,"")</f>
        <v/>
      </c>
      <c r="N101" s="19" t="str">
        <f>IF(Table1126[[#This Row],[Account]]&lt;&gt;"",IF(Table1126[[#This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IF(Table1126[[#This Row],[Account]]&lt;&gt;"",$N$8,"")</f>
        <v/>
      </c>
      <c r="M102" s="24" t="str">
        <f>IF(Table1126[[#This Row],[Account]]&lt;&gt;"",J102+L102-$N$7,"")</f>
        <v/>
      </c>
      <c r="N102" s="25" t="str">
        <f>IF(Table1126[[#This Row],[Account]]&lt;&gt;"",IF(Table1126[[#This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IF(Table1126[[#This Row],[Account]]&lt;&gt;"",$N$8,"")</f>
        <v/>
      </c>
      <c r="M103" s="18" t="str">
        <f>IF(Table1126[[#This Row],[Account]]&lt;&gt;"",J103+L103-$N$7,"")</f>
        <v/>
      </c>
      <c r="N103" s="19" t="str">
        <f>IF(Table1126[[#This Row],[Account]]&lt;&gt;"",IF(Table1126[[#This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IF(Table1126[[#This Row],[Account]]&lt;&gt;"",$N$8,"")</f>
        <v/>
      </c>
      <c r="M104" s="24" t="str">
        <f>IF(Table1126[[#This Row],[Account]]&lt;&gt;"",J104+L104-$N$7,"")</f>
        <v/>
      </c>
      <c r="N104" s="25" t="str">
        <f>IF(Table1126[[#This Row],[Account]]&lt;&gt;"",IF(Table1126[[#This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IF(Table1126[[#This Row],[Account]]&lt;&gt;"",$N$8,"")</f>
        <v/>
      </c>
      <c r="M105" s="18" t="str">
        <f>IF(Table1126[[#This Row],[Account]]&lt;&gt;"",J105+L105-$N$7,"")</f>
        <v/>
      </c>
      <c r="N105" s="19" t="str">
        <f>IF(Table1126[[#This Row],[Account]]&lt;&gt;"",IF(Table1126[[#This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IF(Table1126[[#This Row],[Account]]&lt;&gt;"",$N$8,"")</f>
        <v/>
      </c>
      <c r="M106" s="24" t="str">
        <f>IF(Table1126[[#This Row],[Account]]&lt;&gt;"",J106+L106-$N$7,"")</f>
        <v/>
      </c>
      <c r="N106" s="25" t="str">
        <f>IF(Table1126[[#This Row],[Account]]&lt;&gt;"",IF(Table1126[[#This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IF(Table1126[[#This Row],[Account]]&lt;&gt;"",$N$8,"")</f>
        <v/>
      </c>
      <c r="M107" s="18" t="str">
        <f>IF(Table1126[[#This Row],[Account]]&lt;&gt;"",J107+L107-$N$7,"")</f>
        <v/>
      </c>
      <c r="N107" s="19" t="str">
        <f>IF(Table1126[[#This Row],[Account]]&lt;&gt;"",IF(Table1126[[#This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IF(Table1126[[#This Row],[Account]]&lt;&gt;"",$N$8,"")</f>
        <v/>
      </c>
      <c r="M108" s="24" t="str">
        <f>IF(Table1126[[#This Row],[Account]]&lt;&gt;"",J108+L108-$N$7,"")</f>
        <v/>
      </c>
      <c r="N108" s="25" t="str">
        <f>IF(Table1126[[#This Row],[Account]]&lt;&gt;"",IF(Table1126[[#This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IF(Table1126[[#This Row],[Account]]&lt;&gt;"",$N$8,"")</f>
        <v/>
      </c>
      <c r="M109" s="18" t="str">
        <f>IF(Table1126[[#This Row],[Account]]&lt;&gt;"",J109+L109-$N$7,"")</f>
        <v/>
      </c>
      <c r="N109" s="19" t="str">
        <f>IF(Table1126[[#This Row],[Account]]&lt;&gt;"",IF(Table1126[[#This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IF(Table1126[[#This Row],[Account]]&lt;&gt;"",$N$8,"")</f>
        <v/>
      </c>
      <c r="M110" s="24" t="str">
        <f>IF(Table1126[[#This Row],[Account]]&lt;&gt;"",J110+L110-$N$7,"")</f>
        <v/>
      </c>
      <c r="N110" s="25" t="str">
        <f>IF(Table1126[[#This Row],[Account]]&lt;&gt;"",IF(Table1126[[#This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IF(Table1126[[#This Row],[Account]]&lt;&gt;"",$N$8,"")</f>
        <v/>
      </c>
      <c r="M111" s="18" t="str">
        <f>IF(Table1126[[#This Row],[Account]]&lt;&gt;"",J111+L111-$N$7,"")</f>
        <v/>
      </c>
      <c r="N111" s="19" t="str">
        <f>IF(Table1126[[#This Row],[Account]]&lt;&gt;"",IF(Table1126[[#This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IF(Table1126[[#This Row],[Account]]&lt;&gt;"",$N$8,"")</f>
        <v/>
      </c>
      <c r="M112" s="24" t="str">
        <f>IF(Table1126[[#This Row],[Account]]&lt;&gt;"",J112+L112-$N$7,"")</f>
        <v/>
      </c>
      <c r="N112" s="25" t="str">
        <f>IF(Table1126[[#This Row],[Account]]&lt;&gt;"",IF(Table1126[[#This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IF(Table1126[[#This Row],[Account]]&lt;&gt;"",$N$8,"")</f>
        <v/>
      </c>
      <c r="M113" s="18" t="str">
        <f>IF(Table1126[[#This Row],[Account]]&lt;&gt;"",J113+L113-$N$7,"")</f>
        <v/>
      </c>
      <c r="N113" s="19" t="str">
        <f>IF(Table1126[[#This Row],[Account]]&lt;&gt;"",IF(Table1126[[#This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897863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1782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1783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897863</v>
      </c>
      <c r="D15" s="15" t="s">
        <v>1784</v>
      </c>
      <c r="E15" s="15" t="s">
        <v>1785</v>
      </c>
      <c r="F15" s="14" t="s">
        <v>1786</v>
      </c>
      <c r="G15" s="17">
        <v>42894</v>
      </c>
      <c r="H15" s="14">
        <v>9003582483</v>
      </c>
      <c r="I15" s="16">
        <v>8900</v>
      </c>
      <c r="J15" s="17">
        <v>42894</v>
      </c>
      <c r="K15" s="17">
        <v>42984</v>
      </c>
      <c r="L15" s="14">
        <f>IF(Table1125[[#This Row],[Account]]&lt;&gt;"",$N$8,"")</f>
        <v>0</v>
      </c>
      <c r="M15" s="105">
        <f>IF(Table1125[[#This Row],[Account]]&lt;&gt;"",J15+L15-$N$7,"")</f>
        <v>-642</v>
      </c>
      <c r="N15" s="74" t="str">
        <f>IF(Table1125[[#This Row],[Account]]&lt;&gt;"",IF(Table1125[[#This Row],[Aging ]]&lt;0,"OVERDUE","OK"),"")</f>
        <v>OVERDUE</v>
      </c>
    </row>
    <row r="16" spans="2:14" ht="15.75" thickBot="1" x14ac:dyDescent="0.3">
      <c r="B16" s="114" t="e">
        <f>IF(#REF!&lt;&gt;"",#REF!+1,"")</f>
        <v>#REF!</v>
      </c>
      <c r="C16" s="14">
        <v>897863</v>
      </c>
      <c r="D16" s="15" t="s">
        <v>1784</v>
      </c>
      <c r="E16" s="15" t="s">
        <v>1785</v>
      </c>
      <c r="F16" s="14" t="s">
        <v>1788</v>
      </c>
      <c r="G16" s="17">
        <v>43312</v>
      </c>
      <c r="H16" s="14">
        <v>9007824030</v>
      </c>
      <c r="I16" s="16">
        <v>4790.63</v>
      </c>
      <c r="J16" s="17">
        <v>43312</v>
      </c>
      <c r="K16" s="17">
        <v>43402</v>
      </c>
      <c r="L16" s="14">
        <f>IF(Table1125[[#This Row],[Account]]&lt;&gt;"",$N$8,"")</f>
        <v>0</v>
      </c>
      <c r="M16" s="18">
        <f>IF(Table1125[[#This Row],[Account]]&lt;&gt;"",J16+L16-$N$7,"")</f>
        <v>-224</v>
      </c>
      <c r="N16" s="19" t="str">
        <f>IF(Table1125[[#This Row],[Account]]&lt;&gt;"",IF(Table1125[[#This Row],[Aging ]]&lt;0,"OVERDUE","OK"),"")</f>
        <v>OVERDUE</v>
      </c>
    </row>
    <row r="17" spans="2:17" ht="15.75" thickBot="1" x14ac:dyDescent="0.3">
      <c r="B17" s="115" t="e">
        <f t="shared" ref="B17:B18" si="0">IF(C16&lt;&gt;"",B16+1,"")</f>
        <v>#REF!</v>
      </c>
      <c r="C17" s="20">
        <v>897863</v>
      </c>
      <c r="D17" s="21" t="s">
        <v>1784</v>
      </c>
      <c r="E17" s="21" t="s">
        <v>1785</v>
      </c>
      <c r="F17" s="20" t="s">
        <v>1787</v>
      </c>
      <c r="G17" s="23">
        <v>43312</v>
      </c>
      <c r="H17" s="20">
        <v>9007824029</v>
      </c>
      <c r="I17" s="22">
        <v>9581.25</v>
      </c>
      <c r="J17" s="23">
        <v>43312</v>
      </c>
      <c r="K17" s="23">
        <v>43402</v>
      </c>
      <c r="L17" s="20">
        <f>IF(Table1125[[#This Row],[Account]]&lt;&gt;"",$N$8,"")</f>
        <v>0</v>
      </c>
      <c r="M17" s="24">
        <f>IF(Table1125[[#This Row],[Account]]&lt;&gt;"",J17+L17-$N$7,"")</f>
        <v>-224</v>
      </c>
      <c r="N17" s="25" t="str">
        <f>IF(Table1125[[#This Row],[Account]]&lt;&gt;"",IF(Table1125[[#This Row],[Aging ]]&lt;0,"OVERDUE","OK"),"")</f>
        <v>OVERDUE</v>
      </c>
    </row>
    <row r="18" spans="2:17" ht="15.75" thickBot="1" x14ac:dyDescent="0.3">
      <c r="B18" s="114" t="e">
        <f t="shared" si="0"/>
        <v>#REF!</v>
      </c>
      <c r="C18" s="14">
        <v>897863</v>
      </c>
      <c r="D18" s="15" t="s">
        <v>1784</v>
      </c>
      <c r="E18" s="15" t="s">
        <v>1785</v>
      </c>
      <c r="F18" s="14" t="s">
        <v>1789</v>
      </c>
      <c r="G18" s="17">
        <v>43312</v>
      </c>
      <c r="H18" s="14">
        <v>9008057444</v>
      </c>
      <c r="I18" s="16">
        <v>4790.63</v>
      </c>
      <c r="J18" s="17">
        <v>43312</v>
      </c>
      <c r="K18" s="17">
        <v>43402</v>
      </c>
      <c r="L18" s="14">
        <f>IF(Table1125[[#This Row],[Account]]&lt;&gt;"",$N$8,"")</f>
        <v>0</v>
      </c>
      <c r="M18" s="18">
        <f>IF(Table1125[[#This Row],[Account]]&lt;&gt;"",J18+L18-$N$7,"")</f>
        <v>-224</v>
      </c>
      <c r="N18" s="19" t="str">
        <f>IF(Table1125[[#This Row],[Account]]&lt;&gt;"",IF(Table1125[[#This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28062.510000000002</v>
      </c>
    </row>
    <row r="20" spans="2:17" ht="15.75" thickBot="1" x14ac:dyDescent="0.3">
      <c r="G20" s="30" t="s">
        <v>21</v>
      </c>
      <c r="H20" s="31"/>
      <c r="I20" s="32">
        <f>SUM(I15:I18)</f>
        <v>28062.510000000002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2" t="s">
        <v>23</v>
      </c>
      <c r="C24" s="112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2"/>
      <c r="C25" s="113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28062.510000000002</v>
      </c>
      <c r="J25" s="41">
        <f>SUM(D25:I25)</f>
        <v>28062.510000000002</v>
      </c>
      <c r="K25" s="42">
        <f>SUM(H25:I25)</f>
        <v>28062.510000000002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2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39997558519241921"/>
  </sheetPr>
  <dimension ref="B6:Q120"/>
  <sheetViews>
    <sheetView tabSelected="1"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886014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1777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1778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886014</v>
      </c>
      <c r="D15" s="15" t="s">
        <v>1779</v>
      </c>
      <c r="E15" s="15" t="s">
        <v>1780</v>
      </c>
      <c r="F15" s="14" t="s">
        <v>1781</v>
      </c>
      <c r="G15" s="17">
        <v>43187</v>
      </c>
      <c r="H15" s="14"/>
      <c r="I15" s="16">
        <v>-150</v>
      </c>
      <c r="J15" s="17">
        <v>43187</v>
      </c>
      <c r="K15" s="17">
        <v>43187</v>
      </c>
      <c r="L15" s="14">
        <f>IF(Table1124[[#This Row],[Account]]&lt;&gt;"",$N$8,"")</f>
        <v>0</v>
      </c>
      <c r="M15" s="105">
        <f>IF(Table1124[[#This Row],[Account]]&lt;&gt;"",J15+L15-$N$7,"")</f>
        <v>-349</v>
      </c>
      <c r="N15" s="74" t="str">
        <f>IF(Table1124[[#This Row],[Account]]&lt;&gt;"",IF(Table1124[[#This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IF(Table1124[[#This Row],[Account]]&lt;&gt;"",$N$8,"")</f>
        <v/>
      </c>
      <c r="M16" s="24" t="str">
        <f>IF(Table1124[[#This Row],[Account]]&lt;&gt;"",J16+L16-$N$7,"")</f>
        <v/>
      </c>
      <c r="N16" s="25" t="str">
        <f>IF(Table1124[[#This Row],[Account]]&lt;&gt;"",IF(Table1124[[#This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IF(Table1124[[#This Row],[Account]]&lt;&gt;"",$N$8,"")</f>
        <v/>
      </c>
      <c r="M17" s="18" t="str">
        <f>IF(Table1124[[#This Row],[Account]]&lt;&gt;"",J17+L17-$N$7,"")</f>
        <v/>
      </c>
      <c r="N17" s="19" t="str">
        <f>IF(Table1124[[#This Row],[Account]]&lt;&gt;"",IF(Table1124[[#This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IF(Table1124[[#This Row],[Account]]&lt;&gt;"",$N$8,"")</f>
        <v/>
      </c>
      <c r="M18" s="24" t="str">
        <f>IF(Table1124[[#This Row],[Account]]&lt;&gt;"",J18+L18-$N$7,"")</f>
        <v/>
      </c>
      <c r="N18" s="25" t="str">
        <f>IF(Table1124[[#This Row],[Account]]&lt;&gt;"",IF(Table1124[[#This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IF(Table1124[[#This Row],[Account]]&lt;&gt;"",$N$8,"")</f>
        <v/>
      </c>
      <c r="M19" s="18" t="str">
        <f>IF(Table1124[[#This Row],[Account]]&lt;&gt;"",J19+L19-$N$7,"")</f>
        <v/>
      </c>
      <c r="N19" s="19" t="str">
        <f>IF(Table1124[[#This Row],[Account]]&lt;&gt;"",IF(Table1124[[#This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IF(Table1124[[#This Row],[Account]]&lt;&gt;"",$N$8,"")</f>
        <v/>
      </c>
      <c r="M20" s="24" t="str">
        <f>IF(Table1124[[#This Row],[Account]]&lt;&gt;"",J20+L20-$N$7,"")</f>
        <v/>
      </c>
      <c r="N20" s="25" t="str">
        <f>IF(Table1124[[#This Row],[Account]]&lt;&gt;"",IF(Table1124[[#This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IF(Table1124[[#This Row],[Account]]&lt;&gt;"",$N$8,"")</f>
        <v/>
      </c>
      <c r="M21" s="18" t="str">
        <f>IF(Table1124[[#This Row],[Account]]&lt;&gt;"",J21+L21-$N$7,"")</f>
        <v/>
      </c>
      <c r="N21" s="19" t="str">
        <f>IF(Table1124[[#This Row],[Account]]&lt;&gt;"",IF(Table1124[[#This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IF(Table1124[[#This Row],[Account]]&lt;&gt;"",$N$8,"")</f>
        <v/>
      </c>
      <c r="M22" s="24" t="str">
        <f>IF(Table1124[[#This Row],[Account]]&lt;&gt;"",J22+L22-$N$7,"")</f>
        <v/>
      </c>
      <c r="N22" s="25" t="str">
        <f>IF(Table1124[[#This Row],[Account]]&lt;&gt;"",IF(Table1124[[#This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IF(Table1124[[#This Row],[Account]]&lt;&gt;"",$N$8,"")</f>
        <v/>
      </c>
      <c r="M23" s="18" t="str">
        <f>IF(Table1124[[#This Row],[Account]]&lt;&gt;"",J23+L23-$N$7,"")</f>
        <v/>
      </c>
      <c r="N23" s="19" t="str">
        <f>IF(Table1124[[#This Row],[Account]]&lt;&gt;"",IF(Table1124[[#This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IF(Table1124[[#This Row],[Account]]&lt;&gt;"",$N$8,"")</f>
        <v/>
      </c>
      <c r="M24" s="24" t="str">
        <f>IF(Table1124[[#This Row],[Account]]&lt;&gt;"",J24+L24-$N$7,"")</f>
        <v/>
      </c>
      <c r="N24" s="25" t="str">
        <f>IF(Table1124[[#This Row],[Account]]&lt;&gt;"",IF(Table1124[[#This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IF(Table1124[[#This Row],[Account]]&lt;&gt;"",$N$8,"")</f>
        <v/>
      </c>
      <c r="M25" s="18" t="str">
        <f>IF(Table1124[[#This Row],[Account]]&lt;&gt;"",J25+L25-$N$7,"")</f>
        <v/>
      </c>
      <c r="N25" s="19" t="str">
        <f>IF(Table1124[[#This Row],[Account]]&lt;&gt;"",IF(Table1124[[#This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IF(Table1124[[#This Row],[Account]]&lt;&gt;"",$N$8,"")</f>
        <v/>
      </c>
      <c r="M26" s="24" t="str">
        <f>IF(Table1124[[#This Row],[Account]]&lt;&gt;"",J26+L26-$N$7,"")</f>
        <v/>
      </c>
      <c r="N26" s="25" t="str">
        <f>IF(Table1124[[#This Row],[Account]]&lt;&gt;"",IF(Table1124[[#This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IF(Table1124[[#This Row],[Account]]&lt;&gt;"",$N$8,"")</f>
        <v/>
      </c>
      <c r="M27" s="18" t="str">
        <f>IF(Table1124[[#This Row],[Account]]&lt;&gt;"",J27+L27-$N$7,"")</f>
        <v/>
      </c>
      <c r="N27" s="19" t="str">
        <f>IF(Table1124[[#This Row],[Account]]&lt;&gt;"",IF(Table1124[[#This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IF(Table1124[[#This Row],[Account]]&lt;&gt;"",$N$8,"")</f>
        <v/>
      </c>
      <c r="M28" s="24" t="str">
        <f>IF(Table1124[[#This Row],[Account]]&lt;&gt;"",J28+L28-$N$7,"")</f>
        <v/>
      </c>
      <c r="N28" s="25" t="str">
        <f>IF(Table1124[[#This Row],[Account]]&lt;&gt;"",IF(Table1124[[#This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IF(Table1124[[#This Row],[Account]]&lt;&gt;"",$N$8,"")</f>
        <v/>
      </c>
      <c r="M29" s="18" t="str">
        <f>IF(Table1124[[#This Row],[Account]]&lt;&gt;"",J29+L29-$N$7,"")</f>
        <v/>
      </c>
      <c r="N29" s="19" t="str">
        <f>IF(Table1124[[#This Row],[Account]]&lt;&gt;"",IF(Table1124[[#This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IF(Table1124[[#This Row],[Account]]&lt;&gt;"",$N$8,"")</f>
        <v/>
      </c>
      <c r="M30" s="24" t="str">
        <f>IF(Table1124[[#This Row],[Account]]&lt;&gt;"",J30+L30-$N$7,"")</f>
        <v/>
      </c>
      <c r="N30" s="25" t="str">
        <f>IF(Table1124[[#This Row],[Account]]&lt;&gt;"",IF(Table1124[[#This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IF(Table1124[[#This Row],[Account]]&lt;&gt;"",$N$8,"")</f>
        <v/>
      </c>
      <c r="M31" s="18" t="str">
        <f>IF(Table1124[[#This Row],[Account]]&lt;&gt;"",J31+L31-$N$7,"")</f>
        <v/>
      </c>
      <c r="N31" s="19" t="str">
        <f>IF(Table1124[[#This Row],[Account]]&lt;&gt;"",IF(Table1124[[#This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IF(Table1124[[#This Row],[Account]]&lt;&gt;"",$N$8,"")</f>
        <v/>
      </c>
      <c r="M32" s="24" t="str">
        <f>IF(Table1124[[#This Row],[Account]]&lt;&gt;"",J32+L32-$N$7,"")</f>
        <v/>
      </c>
      <c r="N32" s="25" t="str">
        <f>IF(Table1124[[#This Row],[Account]]&lt;&gt;"",IF(Table1124[[#This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IF(Table1124[[#This Row],[Account]]&lt;&gt;"",$N$8,"")</f>
        <v/>
      </c>
      <c r="M33" s="18" t="str">
        <f>IF(Table1124[[#This Row],[Account]]&lt;&gt;"",J33+L33-$N$7,"")</f>
        <v/>
      </c>
      <c r="N33" s="19" t="str">
        <f>IF(Table1124[[#This Row],[Account]]&lt;&gt;"",IF(Table1124[[#This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IF(Table1124[[#This Row],[Account]]&lt;&gt;"",$N$8,"")</f>
        <v/>
      </c>
      <c r="M34" s="24" t="str">
        <f>IF(Table1124[[#This Row],[Account]]&lt;&gt;"",J34+L34-$N$7,"")</f>
        <v/>
      </c>
      <c r="N34" s="25" t="str">
        <f>IF(Table1124[[#This Row],[Account]]&lt;&gt;"",IF(Table1124[[#This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IF(Table1124[[#This Row],[Account]]&lt;&gt;"",$N$8,"")</f>
        <v/>
      </c>
      <c r="M35" s="18" t="str">
        <f>IF(Table1124[[#This Row],[Account]]&lt;&gt;"",J35+L35-$N$7,"")</f>
        <v/>
      </c>
      <c r="N35" s="19" t="str">
        <f>IF(Table1124[[#This Row],[Account]]&lt;&gt;"",IF(Table1124[[#This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IF(Table1124[[#This Row],[Account]]&lt;&gt;"",$N$8,"")</f>
        <v/>
      </c>
      <c r="M36" s="24" t="str">
        <f>IF(Table1124[[#This Row],[Account]]&lt;&gt;"",J36+L36-$N$7,"")</f>
        <v/>
      </c>
      <c r="N36" s="25" t="str">
        <f>IF(Table1124[[#This Row],[Account]]&lt;&gt;"",IF(Table1124[[#This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IF(Table1124[[#This Row],[Account]]&lt;&gt;"",$N$8,"")</f>
        <v/>
      </c>
      <c r="M37" s="18" t="str">
        <f>IF(Table1124[[#This Row],[Account]]&lt;&gt;"",J37+L37-$N$7,"")</f>
        <v/>
      </c>
      <c r="N37" s="19" t="str">
        <f>IF(Table1124[[#This Row],[Account]]&lt;&gt;"",IF(Table1124[[#This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IF(Table1124[[#This Row],[Account]]&lt;&gt;"",$N$8,"")</f>
        <v/>
      </c>
      <c r="M38" s="24" t="str">
        <f>IF(Table1124[[#This Row],[Account]]&lt;&gt;"",J38+L38-$N$7,"")</f>
        <v/>
      </c>
      <c r="N38" s="25" t="str">
        <f>IF(Table1124[[#This Row],[Account]]&lt;&gt;"",IF(Table1124[[#This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IF(Table1124[[#This Row],[Account]]&lt;&gt;"",$N$8,"")</f>
        <v/>
      </c>
      <c r="M39" s="18" t="str">
        <f>IF(Table1124[[#This Row],[Account]]&lt;&gt;"",J39+L39-$N$7,"")</f>
        <v/>
      </c>
      <c r="N39" s="19" t="str">
        <f>IF(Table1124[[#This Row],[Account]]&lt;&gt;"",IF(Table1124[[#This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IF(Table1124[[#This Row],[Account]]&lt;&gt;"",$N$8,"")</f>
        <v/>
      </c>
      <c r="M40" s="24" t="str">
        <f>IF(Table1124[[#This Row],[Account]]&lt;&gt;"",J40+L40-$N$7,"")</f>
        <v/>
      </c>
      <c r="N40" s="25" t="str">
        <f>IF(Table1124[[#This Row],[Account]]&lt;&gt;"",IF(Table1124[[#This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IF(Table1124[[#This Row],[Account]]&lt;&gt;"",$N$8,"")</f>
        <v/>
      </c>
      <c r="M41" s="18" t="str">
        <f>IF(Table1124[[#This Row],[Account]]&lt;&gt;"",J41+L41-$N$7,"")</f>
        <v/>
      </c>
      <c r="N41" s="19" t="str">
        <f>IF(Table1124[[#This Row],[Account]]&lt;&gt;"",IF(Table1124[[#This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IF(Table1124[[#This Row],[Account]]&lt;&gt;"",$N$8,"")</f>
        <v/>
      </c>
      <c r="M42" s="24" t="str">
        <f>IF(Table1124[[#This Row],[Account]]&lt;&gt;"",J42+L42-$N$7,"")</f>
        <v/>
      </c>
      <c r="N42" s="25" t="str">
        <f>IF(Table1124[[#This Row],[Account]]&lt;&gt;"",IF(Table1124[[#This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IF(Table1124[[#This Row],[Account]]&lt;&gt;"",$N$8,"")</f>
        <v/>
      </c>
      <c r="M43" s="18" t="str">
        <f>IF(Table1124[[#This Row],[Account]]&lt;&gt;"",J43+L43-$N$7,"")</f>
        <v/>
      </c>
      <c r="N43" s="19" t="str">
        <f>IF(Table1124[[#This Row],[Account]]&lt;&gt;"",IF(Table1124[[#This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IF(Table1124[[#This Row],[Account]]&lt;&gt;"",$N$8,"")</f>
        <v/>
      </c>
      <c r="M44" s="24" t="str">
        <f>IF(Table1124[[#This Row],[Account]]&lt;&gt;"",J44+L44-$N$7,"")</f>
        <v/>
      </c>
      <c r="N44" s="25" t="str">
        <f>IF(Table1124[[#This Row],[Account]]&lt;&gt;"",IF(Table1124[[#This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IF(Table1124[[#This Row],[Account]]&lt;&gt;"",$N$8,"")</f>
        <v/>
      </c>
      <c r="M45" s="18" t="str">
        <f>IF(Table1124[[#This Row],[Account]]&lt;&gt;"",J45+L45-$N$7,"")</f>
        <v/>
      </c>
      <c r="N45" s="19" t="str">
        <f>IF(Table1124[[#This Row],[Account]]&lt;&gt;"",IF(Table1124[[#This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IF(Table1124[[#This Row],[Account]]&lt;&gt;"",$N$8,"")</f>
        <v/>
      </c>
      <c r="M46" s="24" t="str">
        <f>IF(Table1124[[#This Row],[Account]]&lt;&gt;"",J46+L46-$N$7,"")</f>
        <v/>
      </c>
      <c r="N46" s="25" t="str">
        <f>IF(Table1124[[#This Row],[Account]]&lt;&gt;"",IF(Table1124[[#This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IF(Table1124[[#This Row],[Account]]&lt;&gt;"",$N$8,"")</f>
        <v/>
      </c>
      <c r="M47" s="18" t="str">
        <f>IF(Table1124[[#This Row],[Account]]&lt;&gt;"",J47+L47-$N$7,"")</f>
        <v/>
      </c>
      <c r="N47" s="19" t="str">
        <f>IF(Table1124[[#This Row],[Account]]&lt;&gt;"",IF(Table1124[[#This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IF(Table1124[[#This Row],[Account]]&lt;&gt;"",$N$8,"")</f>
        <v/>
      </c>
      <c r="M48" s="24" t="str">
        <f>IF(Table1124[[#This Row],[Account]]&lt;&gt;"",J48+L48-$N$7,"")</f>
        <v/>
      </c>
      <c r="N48" s="25" t="str">
        <f>IF(Table1124[[#This Row],[Account]]&lt;&gt;"",IF(Table1124[[#This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IF(Table1124[[#This Row],[Account]]&lt;&gt;"",$N$8,"")</f>
        <v/>
      </c>
      <c r="M49" s="18" t="str">
        <f>IF(Table1124[[#This Row],[Account]]&lt;&gt;"",J49+L49-$N$7,"")</f>
        <v/>
      </c>
      <c r="N49" s="19" t="str">
        <f>IF(Table1124[[#This Row],[Account]]&lt;&gt;"",IF(Table1124[[#This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IF(Table1124[[#This Row],[Account]]&lt;&gt;"",$N$8,"")</f>
        <v/>
      </c>
      <c r="M50" s="24" t="str">
        <f>IF(Table1124[[#This Row],[Account]]&lt;&gt;"",J50+L50-$N$7,"")</f>
        <v/>
      </c>
      <c r="N50" s="25" t="str">
        <f>IF(Table1124[[#This Row],[Account]]&lt;&gt;"",IF(Table1124[[#This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IF(Table1124[[#This Row],[Account]]&lt;&gt;"",$N$8,"")</f>
        <v/>
      </c>
      <c r="M51" s="18" t="str">
        <f>IF(Table1124[[#This Row],[Account]]&lt;&gt;"",J51+L51-$N$7,"")</f>
        <v/>
      </c>
      <c r="N51" s="19" t="str">
        <f>IF(Table1124[[#This Row],[Account]]&lt;&gt;"",IF(Table1124[[#This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IF(Table1124[[#This Row],[Account]]&lt;&gt;"",$N$8,"")</f>
        <v/>
      </c>
      <c r="M52" s="24" t="str">
        <f>IF(Table1124[[#This Row],[Account]]&lt;&gt;"",J52+L52-$N$7,"")</f>
        <v/>
      </c>
      <c r="N52" s="25" t="str">
        <f>IF(Table1124[[#This Row],[Account]]&lt;&gt;"",IF(Table1124[[#This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IF(Table1124[[#This Row],[Account]]&lt;&gt;"",$N$8,"")</f>
        <v/>
      </c>
      <c r="M53" s="18" t="str">
        <f>IF(Table1124[[#This Row],[Account]]&lt;&gt;"",J53+L53-$N$7,"")</f>
        <v/>
      </c>
      <c r="N53" s="19" t="str">
        <f>IF(Table1124[[#This Row],[Account]]&lt;&gt;"",IF(Table1124[[#This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IF(Table1124[[#This Row],[Account]]&lt;&gt;"",$N$8,"")</f>
        <v/>
      </c>
      <c r="M54" s="24" t="str">
        <f>IF(Table1124[[#This Row],[Account]]&lt;&gt;"",J54+L54-$N$7,"")</f>
        <v/>
      </c>
      <c r="N54" s="25" t="str">
        <f>IF(Table1124[[#This Row],[Account]]&lt;&gt;"",IF(Table1124[[#This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IF(Table1124[[#This Row],[Account]]&lt;&gt;"",$N$8,"")</f>
        <v/>
      </c>
      <c r="M55" s="18" t="str">
        <f>IF(Table1124[[#This Row],[Account]]&lt;&gt;"",J55+L55-$N$7,"")</f>
        <v/>
      </c>
      <c r="N55" s="19" t="str">
        <f>IF(Table1124[[#This Row],[Account]]&lt;&gt;"",IF(Table1124[[#This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IF(Table1124[[#This Row],[Account]]&lt;&gt;"",$N$8,"")</f>
        <v/>
      </c>
      <c r="M56" s="24" t="str">
        <f>IF(Table1124[[#This Row],[Account]]&lt;&gt;"",J56+L56-$N$7,"")</f>
        <v/>
      </c>
      <c r="N56" s="25" t="str">
        <f>IF(Table1124[[#This Row],[Account]]&lt;&gt;"",IF(Table1124[[#This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IF(Table1124[[#This Row],[Account]]&lt;&gt;"",$N$8,"")</f>
        <v/>
      </c>
      <c r="M57" s="18" t="str">
        <f>IF(Table1124[[#This Row],[Account]]&lt;&gt;"",J57+L57-$N$7,"")</f>
        <v/>
      </c>
      <c r="N57" s="19" t="str">
        <f>IF(Table1124[[#This Row],[Account]]&lt;&gt;"",IF(Table1124[[#This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IF(Table1124[[#This Row],[Account]]&lt;&gt;"",$N$8,"")</f>
        <v/>
      </c>
      <c r="M58" s="24" t="str">
        <f>IF(Table1124[[#This Row],[Account]]&lt;&gt;"",J58+L58-$N$7,"")</f>
        <v/>
      </c>
      <c r="N58" s="25" t="str">
        <f>IF(Table1124[[#This Row],[Account]]&lt;&gt;"",IF(Table1124[[#This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IF(Table1124[[#This Row],[Account]]&lt;&gt;"",$N$8,"")</f>
        <v/>
      </c>
      <c r="M59" s="18" t="str">
        <f>IF(Table1124[[#This Row],[Account]]&lt;&gt;"",J59+L59-$N$7,"")</f>
        <v/>
      </c>
      <c r="N59" s="19" t="str">
        <f>IF(Table1124[[#This Row],[Account]]&lt;&gt;"",IF(Table1124[[#This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IF(Table1124[[#This Row],[Account]]&lt;&gt;"",$N$8,"")</f>
        <v/>
      </c>
      <c r="M60" s="24" t="str">
        <f>IF(Table1124[[#This Row],[Account]]&lt;&gt;"",J60+L60-$N$7,"")</f>
        <v/>
      </c>
      <c r="N60" s="25" t="str">
        <f>IF(Table1124[[#This Row],[Account]]&lt;&gt;"",IF(Table1124[[#This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IF(Table1124[[#This Row],[Account]]&lt;&gt;"",$N$8,"")</f>
        <v/>
      </c>
      <c r="M61" s="18" t="str">
        <f>IF(Table1124[[#This Row],[Account]]&lt;&gt;"",J61+L61-$N$7,"")</f>
        <v/>
      </c>
      <c r="N61" s="19" t="str">
        <f>IF(Table1124[[#This Row],[Account]]&lt;&gt;"",IF(Table1124[[#This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IF(Table1124[[#This Row],[Account]]&lt;&gt;"",$N$8,"")</f>
        <v/>
      </c>
      <c r="M62" s="24" t="str">
        <f>IF(Table1124[[#This Row],[Account]]&lt;&gt;"",J62+L62-$N$7,"")</f>
        <v/>
      </c>
      <c r="N62" s="25" t="str">
        <f>IF(Table1124[[#This Row],[Account]]&lt;&gt;"",IF(Table1124[[#This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IF(Table1124[[#This Row],[Account]]&lt;&gt;"",$N$8,"")</f>
        <v/>
      </c>
      <c r="M63" s="18" t="str">
        <f>IF(Table1124[[#This Row],[Account]]&lt;&gt;"",J63+L63-$N$7,"")</f>
        <v/>
      </c>
      <c r="N63" s="19" t="str">
        <f>IF(Table1124[[#This Row],[Account]]&lt;&gt;"",IF(Table1124[[#This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IF(Table1124[[#This Row],[Account]]&lt;&gt;"",$N$8,"")</f>
        <v/>
      </c>
      <c r="M64" s="24" t="str">
        <f>IF(Table1124[[#This Row],[Account]]&lt;&gt;"",J64+L64-$N$7,"")</f>
        <v/>
      </c>
      <c r="N64" s="25" t="str">
        <f>IF(Table1124[[#This Row],[Account]]&lt;&gt;"",IF(Table1124[[#This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IF(Table1124[[#This Row],[Account]]&lt;&gt;"",$N$8,"")</f>
        <v/>
      </c>
      <c r="M65" s="18" t="str">
        <f>IF(Table1124[[#This Row],[Account]]&lt;&gt;"",J65+L65-$N$7,"")</f>
        <v/>
      </c>
      <c r="N65" s="19" t="str">
        <f>IF(Table1124[[#This Row],[Account]]&lt;&gt;"",IF(Table1124[[#This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IF(Table1124[[#This Row],[Account]]&lt;&gt;"",$N$8,"")</f>
        <v/>
      </c>
      <c r="M66" s="24" t="str">
        <f>IF(Table1124[[#This Row],[Account]]&lt;&gt;"",J66+L66-$N$7,"")</f>
        <v/>
      </c>
      <c r="N66" s="25" t="str">
        <f>IF(Table1124[[#This Row],[Account]]&lt;&gt;"",IF(Table1124[[#This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IF(Table1124[[#This Row],[Account]]&lt;&gt;"",$N$8,"")</f>
        <v/>
      </c>
      <c r="M67" s="18" t="str">
        <f>IF(Table1124[[#This Row],[Account]]&lt;&gt;"",J67+L67-$N$7,"")</f>
        <v/>
      </c>
      <c r="N67" s="19" t="str">
        <f>IF(Table1124[[#This Row],[Account]]&lt;&gt;"",IF(Table1124[[#This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IF(Table1124[[#This Row],[Account]]&lt;&gt;"",$N$8,"")</f>
        <v/>
      </c>
      <c r="M68" s="24" t="str">
        <f>IF(Table1124[[#This Row],[Account]]&lt;&gt;"",J68+L68-$N$7,"")</f>
        <v/>
      </c>
      <c r="N68" s="25" t="str">
        <f>IF(Table1124[[#This Row],[Account]]&lt;&gt;"",IF(Table1124[[#This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IF(Table1124[[#This Row],[Account]]&lt;&gt;"",$N$8,"")</f>
        <v/>
      </c>
      <c r="M69" s="18" t="str">
        <f>IF(Table1124[[#This Row],[Account]]&lt;&gt;"",J69+L69-$N$7,"")</f>
        <v/>
      </c>
      <c r="N69" s="19" t="str">
        <f>IF(Table1124[[#This Row],[Account]]&lt;&gt;"",IF(Table1124[[#This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IF(Table1124[[#This Row],[Account]]&lt;&gt;"",$N$8,"")</f>
        <v/>
      </c>
      <c r="M70" s="24" t="str">
        <f>IF(Table1124[[#This Row],[Account]]&lt;&gt;"",J70+L70-$N$7,"")</f>
        <v/>
      </c>
      <c r="N70" s="25" t="str">
        <f>IF(Table1124[[#This Row],[Account]]&lt;&gt;"",IF(Table1124[[#This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IF(Table1124[[#This Row],[Account]]&lt;&gt;"",$N$8,"")</f>
        <v/>
      </c>
      <c r="M71" s="18" t="str">
        <f>IF(Table1124[[#This Row],[Account]]&lt;&gt;"",J71+L71-$N$7,"")</f>
        <v/>
      </c>
      <c r="N71" s="19" t="str">
        <f>IF(Table1124[[#This Row],[Account]]&lt;&gt;"",IF(Table1124[[#This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IF(Table1124[[#This Row],[Account]]&lt;&gt;"",$N$8,"")</f>
        <v/>
      </c>
      <c r="M72" s="24" t="str">
        <f>IF(Table1124[[#This Row],[Account]]&lt;&gt;"",J72+L72-$N$7,"")</f>
        <v/>
      </c>
      <c r="N72" s="25" t="str">
        <f>IF(Table1124[[#This Row],[Account]]&lt;&gt;"",IF(Table1124[[#This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IF(Table1124[[#This Row],[Account]]&lt;&gt;"",$N$8,"")</f>
        <v/>
      </c>
      <c r="M73" s="18" t="str">
        <f>IF(Table1124[[#This Row],[Account]]&lt;&gt;"",J73+L73-$N$7,"")</f>
        <v/>
      </c>
      <c r="N73" s="19" t="str">
        <f>IF(Table1124[[#This Row],[Account]]&lt;&gt;"",IF(Table1124[[#This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IF(Table1124[[#This Row],[Account]]&lt;&gt;"",$N$8,"")</f>
        <v/>
      </c>
      <c r="M74" s="24" t="str">
        <f>IF(Table1124[[#This Row],[Account]]&lt;&gt;"",J74+L74-$N$7,"")</f>
        <v/>
      </c>
      <c r="N74" s="25" t="str">
        <f>IF(Table1124[[#This Row],[Account]]&lt;&gt;"",IF(Table1124[[#This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IF(Table1124[[#This Row],[Account]]&lt;&gt;"",$N$8,"")</f>
        <v/>
      </c>
      <c r="M75" s="18" t="str">
        <f>IF(Table1124[[#This Row],[Account]]&lt;&gt;"",J75+L75-$N$7,"")</f>
        <v/>
      </c>
      <c r="N75" s="19" t="str">
        <f>IF(Table1124[[#This Row],[Account]]&lt;&gt;"",IF(Table1124[[#This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IF(Table1124[[#This Row],[Account]]&lt;&gt;"",$N$8,"")</f>
        <v/>
      </c>
      <c r="M76" s="24" t="str">
        <f>IF(Table1124[[#This Row],[Account]]&lt;&gt;"",J76+L76-$N$7,"")</f>
        <v/>
      </c>
      <c r="N76" s="25" t="str">
        <f>IF(Table1124[[#This Row],[Account]]&lt;&gt;"",IF(Table1124[[#This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IF(Table1124[[#This Row],[Account]]&lt;&gt;"",$N$8,"")</f>
        <v/>
      </c>
      <c r="M77" s="18" t="str">
        <f>IF(Table1124[[#This Row],[Account]]&lt;&gt;"",J77+L77-$N$7,"")</f>
        <v/>
      </c>
      <c r="N77" s="19" t="str">
        <f>IF(Table1124[[#This Row],[Account]]&lt;&gt;"",IF(Table1124[[#This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IF(Table1124[[#This Row],[Account]]&lt;&gt;"",$N$8,"")</f>
        <v/>
      </c>
      <c r="M78" s="24" t="str">
        <f>IF(Table1124[[#This Row],[Account]]&lt;&gt;"",J78+L78-$N$7,"")</f>
        <v/>
      </c>
      <c r="N78" s="25" t="str">
        <f>IF(Table1124[[#This Row],[Account]]&lt;&gt;"",IF(Table1124[[#This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IF(Table1124[[#This Row],[Account]]&lt;&gt;"",$N$8,"")</f>
        <v/>
      </c>
      <c r="M79" s="18" t="str">
        <f>IF(Table1124[[#This Row],[Account]]&lt;&gt;"",J79+L79-$N$7,"")</f>
        <v/>
      </c>
      <c r="N79" s="19" t="str">
        <f>IF(Table1124[[#This Row],[Account]]&lt;&gt;"",IF(Table1124[[#This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IF(Table1124[[#This Row],[Account]]&lt;&gt;"",$N$8,"")</f>
        <v/>
      </c>
      <c r="M80" s="24" t="str">
        <f>IF(Table1124[[#This Row],[Account]]&lt;&gt;"",J80+L80-$N$7,"")</f>
        <v/>
      </c>
      <c r="N80" s="25" t="str">
        <f>IF(Table1124[[#This Row],[Account]]&lt;&gt;"",IF(Table1124[[#This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IF(Table1124[[#This Row],[Account]]&lt;&gt;"",$N$8,"")</f>
        <v/>
      </c>
      <c r="M81" s="18" t="str">
        <f>IF(Table1124[[#This Row],[Account]]&lt;&gt;"",J81+L81-$N$7,"")</f>
        <v/>
      </c>
      <c r="N81" s="19" t="str">
        <f>IF(Table1124[[#This Row],[Account]]&lt;&gt;"",IF(Table1124[[#This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IF(Table1124[[#This Row],[Account]]&lt;&gt;"",$N$8,"")</f>
        <v/>
      </c>
      <c r="M82" s="24" t="str">
        <f>IF(Table1124[[#This Row],[Account]]&lt;&gt;"",J82+L82-$N$7,"")</f>
        <v/>
      </c>
      <c r="N82" s="25" t="str">
        <f>IF(Table1124[[#This Row],[Account]]&lt;&gt;"",IF(Table1124[[#This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IF(Table1124[[#This Row],[Account]]&lt;&gt;"",$N$8,"")</f>
        <v/>
      </c>
      <c r="M83" s="18" t="str">
        <f>IF(Table1124[[#This Row],[Account]]&lt;&gt;"",J83+L83-$N$7,"")</f>
        <v/>
      </c>
      <c r="N83" s="19" t="str">
        <f>IF(Table1124[[#This Row],[Account]]&lt;&gt;"",IF(Table1124[[#This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IF(Table1124[[#This Row],[Account]]&lt;&gt;"",$N$8,"")</f>
        <v/>
      </c>
      <c r="M84" s="24" t="str">
        <f>IF(Table1124[[#This Row],[Account]]&lt;&gt;"",J84+L84-$N$7,"")</f>
        <v/>
      </c>
      <c r="N84" s="25" t="str">
        <f>IF(Table1124[[#This Row],[Account]]&lt;&gt;"",IF(Table1124[[#This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IF(Table1124[[#This Row],[Account]]&lt;&gt;"",$N$8,"")</f>
        <v/>
      </c>
      <c r="M85" s="18" t="str">
        <f>IF(Table1124[[#This Row],[Account]]&lt;&gt;"",J85+L85-$N$7,"")</f>
        <v/>
      </c>
      <c r="N85" s="19" t="str">
        <f>IF(Table1124[[#This Row],[Account]]&lt;&gt;"",IF(Table1124[[#This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IF(Table1124[[#This Row],[Account]]&lt;&gt;"",$N$8,"")</f>
        <v/>
      </c>
      <c r="M86" s="24" t="str">
        <f>IF(Table1124[[#This Row],[Account]]&lt;&gt;"",J86+L86-$N$7,"")</f>
        <v/>
      </c>
      <c r="N86" s="25" t="str">
        <f>IF(Table1124[[#This Row],[Account]]&lt;&gt;"",IF(Table1124[[#This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IF(Table1124[[#This Row],[Account]]&lt;&gt;"",$N$8,"")</f>
        <v/>
      </c>
      <c r="M87" s="18" t="str">
        <f>IF(Table1124[[#This Row],[Account]]&lt;&gt;"",J87+L87-$N$7,"")</f>
        <v/>
      </c>
      <c r="N87" s="19" t="str">
        <f>IF(Table1124[[#This Row],[Account]]&lt;&gt;"",IF(Table1124[[#This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IF(Table1124[[#This Row],[Account]]&lt;&gt;"",$N$8,"")</f>
        <v/>
      </c>
      <c r="M88" s="24" t="str">
        <f>IF(Table1124[[#This Row],[Account]]&lt;&gt;"",J88+L88-$N$7,"")</f>
        <v/>
      </c>
      <c r="N88" s="25" t="str">
        <f>IF(Table1124[[#This Row],[Account]]&lt;&gt;"",IF(Table1124[[#This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IF(Table1124[[#This Row],[Account]]&lt;&gt;"",$N$8,"")</f>
        <v/>
      </c>
      <c r="M89" s="18" t="str">
        <f>IF(Table1124[[#This Row],[Account]]&lt;&gt;"",J89+L89-$N$7,"")</f>
        <v/>
      </c>
      <c r="N89" s="19" t="str">
        <f>IF(Table1124[[#This Row],[Account]]&lt;&gt;"",IF(Table1124[[#This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IF(Table1124[[#This Row],[Account]]&lt;&gt;"",$N$8,"")</f>
        <v/>
      </c>
      <c r="M90" s="24" t="str">
        <f>IF(Table1124[[#This Row],[Account]]&lt;&gt;"",J90+L90-$N$7,"")</f>
        <v/>
      </c>
      <c r="N90" s="25" t="str">
        <f>IF(Table1124[[#This Row],[Account]]&lt;&gt;"",IF(Table1124[[#This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IF(Table1124[[#This Row],[Account]]&lt;&gt;"",$N$8,"")</f>
        <v/>
      </c>
      <c r="M91" s="18" t="str">
        <f>IF(Table1124[[#This Row],[Account]]&lt;&gt;"",J91+L91-$N$7,"")</f>
        <v/>
      </c>
      <c r="N91" s="19" t="str">
        <f>IF(Table1124[[#This Row],[Account]]&lt;&gt;"",IF(Table1124[[#This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IF(Table1124[[#This Row],[Account]]&lt;&gt;"",$N$8,"")</f>
        <v/>
      </c>
      <c r="M92" s="24" t="str">
        <f>IF(Table1124[[#This Row],[Account]]&lt;&gt;"",J92+L92-$N$7,"")</f>
        <v/>
      </c>
      <c r="N92" s="25" t="str">
        <f>IF(Table1124[[#This Row],[Account]]&lt;&gt;"",IF(Table1124[[#This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IF(Table1124[[#This Row],[Account]]&lt;&gt;"",$N$8,"")</f>
        <v/>
      </c>
      <c r="M93" s="18" t="str">
        <f>IF(Table1124[[#This Row],[Account]]&lt;&gt;"",J93+L93-$N$7,"")</f>
        <v/>
      </c>
      <c r="N93" s="19" t="str">
        <f>IF(Table1124[[#This Row],[Account]]&lt;&gt;"",IF(Table1124[[#This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IF(Table1124[[#This Row],[Account]]&lt;&gt;"",$N$8,"")</f>
        <v/>
      </c>
      <c r="M94" s="24" t="str">
        <f>IF(Table1124[[#This Row],[Account]]&lt;&gt;"",J94+L94-$N$7,"")</f>
        <v/>
      </c>
      <c r="N94" s="25" t="str">
        <f>IF(Table1124[[#This Row],[Account]]&lt;&gt;"",IF(Table1124[[#This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IF(Table1124[[#This Row],[Account]]&lt;&gt;"",$N$8,"")</f>
        <v/>
      </c>
      <c r="M95" s="18" t="str">
        <f>IF(Table1124[[#This Row],[Account]]&lt;&gt;"",J95+L95-$N$7,"")</f>
        <v/>
      </c>
      <c r="N95" s="19" t="str">
        <f>IF(Table1124[[#This Row],[Account]]&lt;&gt;"",IF(Table1124[[#This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IF(Table1124[[#This Row],[Account]]&lt;&gt;"",$N$8,"")</f>
        <v/>
      </c>
      <c r="M96" s="24" t="str">
        <f>IF(Table1124[[#This Row],[Account]]&lt;&gt;"",J96+L96-$N$7,"")</f>
        <v/>
      </c>
      <c r="N96" s="25" t="str">
        <f>IF(Table1124[[#This Row],[Account]]&lt;&gt;"",IF(Table1124[[#This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IF(Table1124[[#This Row],[Account]]&lt;&gt;"",$N$8,"")</f>
        <v/>
      </c>
      <c r="M97" s="18" t="str">
        <f>IF(Table1124[[#This Row],[Account]]&lt;&gt;"",J97+L97-$N$7,"")</f>
        <v/>
      </c>
      <c r="N97" s="19" t="str">
        <f>IF(Table1124[[#This Row],[Account]]&lt;&gt;"",IF(Table1124[[#This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IF(Table1124[[#This Row],[Account]]&lt;&gt;"",$N$8,"")</f>
        <v/>
      </c>
      <c r="M98" s="24" t="str">
        <f>IF(Table1124[[#This Row],[Account]]&lt;&gt;"",J98+L98-$N$7,"")</f>
        <v/>
      </c>
      <c r="N98" s="25" t="str">
        <f>IF(Table1124[[#This Row],[Account]]&lt;&gt;"",IF(Table1124[[#This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IF(Table1124[[#This Row],[Account]]&lt;&gt;"",$N$8,"")</f>
        <v/>
      </c>
      <c r="M99" s="18" t="str">
        <f>IF(Table1124[[#This Row],[Account]]&lt;&gt;"",J99+L99-$N$7,"")</f>
        <v/>
      </c>
      <c r="N99" s="19" t="str">
        <f>IF(Table1124[[#This Row],[Account]]&lt;&gt;"",IF(Table1124[[#This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IF(Table1124[[#This Row],[Account]]&lt;&gt;"",$N$8,"")</f>
        <v/>
      </c>
      <c r="M100" s="24" t="str">
        <f>IF(Table1124[[#This Row],[Account]]&lt;&gt;"",J100+L100-$N$7,"")</f>
        <v/>
      </c>
      <c r="N100" s="25" t="str">
        <f>IF(Table1124[[#This Row],[Account]]&lt;&gt;"",IF(Table1124[[#This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IF(Table1124[[#This Row],[Account]]&lt;&gt;"",$N$8,"")</f>
        <v/>
      </c>
      <c r="M101" s="18" t="str">
        <f>IF(Table1124[[#This Row],[Account]]&lt;&gt;"",J101+L101-$N$7,"")</f>
        <v/>
      </c>
      <c r="N101" s="19" t="str">
        <f>IF(Table1124[[#This Row],[Account]]&lt;&gt;"",IF(Table1124[[#This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IF(Table1124[[#This Row],[Account]]&lt;&gt;"",$N$8,"")</f>
        <v/>
      </c>
      <c r="M102" s="24" t="str">
        <f>IF(Table1124[[#This Row],[Account]]&lt;&gt;"",J102+L102-$N$7,"")</f>
        <v/>
      </c>
      <c r="N102" s="25" t="str">
        <f>IF(Table1124[[#This Row],[Account]]&lt;&gt;"",IF(Table1124[[#This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IF(Table1124[[#This Row],[Account]]&lt;&gt;"",$N$8,"")</f>
        <v/>
      </c>
      <c r="M103" s="18" t="str">
        <f>IF(Table1124[[#This Row],[Account]]&lt;&gt;"",J103+L103-$N$7,"")</f>
        <v/>
      </c>
      <c r="N103" s="19" t="str">
        <f>IF(Table1124[[#This Row],[Account]]&lt;&gt;"",IF(Table1124[[#This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IF(Table1124[[#This Row],[Account]]&lt;&gt;"",$N$8,"")</f>
        <v/>
      </c>
      <c r="M104" s="24" t="str">
        <f>IF(Table1124[[#This Row],[Account]]&lt;&gt;"",J104+L104-$N$7,"")</f>
        <v/>
      </c>
      <c r="N104" s="25" t="str">
        <f>IF(Table1124[[#This Row],[Account]]&lt;&gt;"",IF(Table1124[[#This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IF(Table1124[[#This Row],[Account]]&lt;&gt;"",$N$8,"")</f>
        <v/>
      </c>
      <c r="M105" s="18" t="str">
        <f>IF(Table1124[[#This Row],[Account]]&lt;&gt;"",J105+L105-$N$7,"")</f>
        <v/>
      </c>
      <c r="N105" s="19" t="str">
        <f>IF(Table1124[[#This Row],[Account]]&lt;&gt;"",IF(Table1124[[#This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IF(Table1124[[#This Row],[Account]]&lt;&gt;"",$N$8,"")</f>
        <v/>
      </c>
      <c r="M106" s="24" t="str">
        <f>IF(Table1124[[#This Row],[Account]]&lt;&gt;"",J106+L106-$N$7,"")</f>
        <v/>
      </c>
      <c r="N106" s="25" t="str">
        <f>IF(Table1124[[#This Row],[Account]]&lt;&gt;"",IF(Table1124[[#This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IF(Table1124[[#This Row],[Account]]&lt;&gt;"",$N$8,"")</f>
        <v/>
      </c>
      <c r="M107" s="18" t="str">
        <f>IF(Table1124[[#This Row],[Account]]&lt;&gt;"",J107+L107-$N$7,"")</f>
        <v/>
      </c>
      <c r="N107" s="19" t="str">
        <f>IF(Table1124[[#This Row],[Account]]&lt;&gt;"",IF(Table1124[[#This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IF(Table1124[[#This Row],[Account]]&lt;&gt;"",$N$8,"")</f>
        <v/>
      </c>
      <c r="M108" s="24" t="str">
        <f>IF(Table1124[[#This Row],[Account]]&lt;&gt;"",J108+L108-$N$7,"")</f>
        <v/>
      </c>
      <c r="N108" s="25" t="str">
        <f>IF(Table1124[[#This Row],[Account]]&lt;&gt;"",IF(Table1124[[#This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IF(Table1124[[#This Row],[Account]]&lt;&gt;"",$N$8,"")</f>
        <v/>
      </c>
      <c r="M109" s="18" t="str">
        <f>IF(Table1124[[#This Row],[Account]]&lt;&gt;"",J109+L109-$N$7,"")</f>
        <v/>
      </c>
      <c r="N109" s="19" t="str">
        <f>IF(Table1124[[#This Row],[Account]]&lt;&gt;"",IF(Table1124[[#This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IF(Table1124[[#This Row],[Account]]&lt;&gt;"",$N$8,"")</f>
        <v/>
      </c>
      <c r="M110" s="24" t="str">
        <f>IF(Table1124[[#This Row],[Account]]&lt;&gt;"",J110+L110-$N$7,"")</f>
        <v/>
      </c>
      <c r="N110" s="25" t="str">
        <f>IF(Table1124[[#This Row],[Account]]&lt;&gt;"",IF(Table1124[[#This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IF(Table1124[[#This Row],[Account]]&lt;&gt;"",$N$8,"")</f>
        <v/>
      </c>
      <c r="M111" s="18" t="str">
        <f>IF(Table1124[[#This Row],[Account]]&lt;&gt;"",J111+L111-$N$7,"")</f>
        <v/>
      </c>
      <c r="N111" s="19" t="str">
        <f>IF(Table1124[[#This Row],[Account]]&lt;&gt;"",IF(Table1124[[#This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IF(Table1124[[#This Row],[Account]]&lt;&gt;"",$N$8,"")</f>
        <v/>
      </c>
      <c r="M112" s="24" t="str">
        <f>IF(Table1124[[#This Row],[Account]]&lt;&gt;"",J112+L112-$N$7,"")</f>
        <v/>
      </c>
      <c r="N112" s="25" t="str">
        <f>IF(Table1124[[#This Row],[Account]]&lt;&gt;"",IF(Table1124[[#This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IF(Table1124[[#This Row],[Account]]&lt;&gt;"",$N$8,"")</f>
        <v/>
      </c>
      <c r="M113" s="18" t="str">
        <f>IF(Table1124[[#This Row],[Account]]&lt;&gt;"",J113+L113-$N$7,"")</f>
        <v/>
      </c>
      <c r="N113" s="19" t="str">
        <f>IF(Table1124[[#This Row],[Account]]&lt;&gt;"",IF(Table1124[[#This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-150</v>
      </c>
    </row>
    <row r="115" spans="2:17" ht="15.75" thickBot="1" x14ac:dyDescent="0.3">
      <c r="G115" s="30" t="s">
        <v>21</v>
      </c>
      <c r="H115" s="31"/>
      <c r="I115" s="32">
        <f>SUM(I15:I113)</f>
        <v>-150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-150</v>
      </c>
      <c r="J120" s="41">
        <f>SUM(D120:I120)</f>
        <v>-150</v>
      </c>
      <c r="K120" s="42">
        <f>SUM(H120:I120)</f>
        <v>-150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518226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1771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1772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518226</v>
      </c>
      <c r="D15" s="15" t="s">
        <v>1773</v>
      </c>
      <c r="E15" s="15" t="s">
        <v>1774</v>
      </c>
      <c r="F15" s="14" t="s">
        <v>1775</v>
      </c>
      <c r="G15" s="17">
        <v>43153</v>
      </c>
      <c r="H15" s="14">
        <v>9007055518</v>
      </c>
      <c r="I15" s="16">
        <v>9581.25</v>
      </c>
      <c r="J15" s="17">
        <v>43153</v>
      </c>
      <c r="K15" s="17">
        <v>43243</v>
      </c>
      <c r="L15" s="14">
        <f>IF(Table1123[[#This Row],[Account]]&lt;&gt;"",$N$8,"")</f>
        <v>0</v>
      </c>
      <c r="M15" s="105">
        <f>IF(Table1123[[#This Row],[Account]]&lt;&gt;"",J15+L15-$N$7,"")</f>
        <v>-383</v>
      </c>
      <c r="N15" s="74" t="str">
        <f>IF(Table1123[[#This Row],[Account]]&lt;&gt;"",IF(Table1123[[#This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518226</v>
      </c>
      <c r="D16" s="21" t="s">
        <v>1773</v>
      </c>
      <c r="E16" s="21" t="s">
        <v>1774</v>
      </c>
      <c r="F16" s="20" t="s">
        <v>1776</v>
      </c>
      <c r="G16" s="23">
        <v>43181</v>
      </c>
      <c r="H16" s="20">
        <v>9007487111</v>
      </c>
      <c r="I16" s="22">
        <v>9581.25</v>
      </c>
      <c r="J16" s="23">
        <v>43181</v>
      </c>
      <c r="K16" s="23">
        <v>43271</v>
      </c>
      <c r="L16" s="20">
        <f>IF(Table1123[[#This Row],[Account]]&lt;&gt;"",$N$8,"")</f>
        <v>0</v>
      </c>
      <c r="M16" s="24">
        <f>IF(Table1123[[#This Row],[Account]]&lt;&gt;"",J16+L16-$N$7,"")</f>
        <v>-355</v>
      </c>
      <c r="N16" s="25" t="str">
        <f>IF(Table1123[[#This Row],[Account]]&lt;&gt;"",IF(Table1123[[#This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19162.5</v>
      </c>
    </row>
    <row r="18" spans="2:17" ht="15.75" thickBot="1" x14ac:dyDescent="0.3">
      <c r="G18" s="30" t="s">
        <v>21</v>
      </c>
      <c r="H18" s="31"/>
      <c r="I18" s="32">
        <f>SUM(I15:I16)</f>
        <v>19162.5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19162.5</v>
      </c>
      <c r="J23" s="41">
        <f>SUM(D23:I23)</f>
        <v>19162.5</v>
      </c>
      <c r="K23" s="42">
        <f>SUM(H23:I23)</f>
        <v>19162.5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518178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5" t="e">
        <f>IF(#REF!&lt;&gt;"",#REF!+1,"")</f>
        <v>#REF!</v>
      </c>
      <c r="C15" s="20">
        <v>518178</v>
      </c>
      <c r="D15" s="21" t="s">
        <v>1766</v>
      </c>
      <c r="E15" s="21" t="s">
        <v>1767</v>
      </c>
      <c r="F15" s="20" t="s">
        <v>1768</v>
      </c>
      <c r="G15" s="23">
        <v>43083</v>
      </c>
      <c r="H15" s="20">
        <v>9006114980</v>
      </c>
      <c r="I15" s="22">
        <v>9125</v>
      </c>
      <c r="J15" s="23">
        <v>43083</v>
      </c>
      <c r="K15" s="23">
        <v>43173</v>
      </c>
      <c r="L15" s="20">
        <f>IF(Table1122[[#This Row],[Account]]&lt;&gt;"",$N$8,"")</f>
        <v>0</v>
      </c>
      <c r="M15" s="24">
        <f>IF(Table1122[[#This Row],[Account]]&lt;&gt;"",J15+L15-$N$7,"")</f>
        <v>-453</v>
      </c>
      <c r="N15" s="25" t="str">
        <f>IF(Table1122[[#This Row],[Account]]&lt;&gt;"",IF(Table1122[[#This Row],[Aging ]]&lt;0,"OVERDUE","OK"),"")</f>
        <v>OVERDUE</v>
      </c>
    </row>
    <row r="16" spans="2:14" ht="15.75" thickBot="1" x14ac:dyDescent="0.3">
      <c r="B16" s="114" t="e">
        <f t="shared" ref="B16:B17" si="0">IF(C15&lt;&gt;"",B15+1,"")</f>
        <v>#REF!</v>
      </c>
      <c r="C16" s="14">
        <v>518178</v>
      </c>
      <c r="D16" s="15" t="s">
        <v>1766</v>
      </c>
      <c r="E16" s="15" t="s">
        <v>1767</v>
      </c>
      <c r="F16" s="14" t="s">
        <v>1769</v>
      </c>
      <c r="G16" s="17">
        <v>43132</v>
      </c>
      <c r="H16" s="14">
        <v>9006773906</v>
      </c>
      <c r="I16" s="16">
        <v>9791.25</v>
      </c>
      <c r="J16" s="17">
        <v>43132</v>
      </c>
      <c r="K16" s="17">
        <v>43222</v>
      </c>
      <c r="L16" s="14">
        <f>IF(Table1122[[#This Row],[Account]]&lt;&gt;"",$N$8,"")</f>
        <v>0</v>
      </c>
      <c r="M16" s="18">
        <f>IF(Table1122[[#This Row],[Account]]&lt;&gt;"",J16+L16-$N$7,"")</f>
        <v>-404</v>
      </c>
      <c r="N16" s="19" t="str">
        <f>IF(Table1122[[#This Row],[Account]]&lt;&gt;"",IF(Table1122[[#This Row],[Aging ]]&lt;0,"OVERDUE","OK"),"")</f>
        <v>OVERDUE</v>
      </c>
    </row>
    <row r="17" spans="2:17" ht="15.75" thickBot="1" x14ac:dyDescent="0.3">
      <c r="B17" s="115" t="e">
        <f t="shared" si="0"/>
        <v>#REF!</v>
      </c>
      <c r="C17" s="20">
        <v>518178</v>
      </c>
      <c r="D17" s="21" t="s">
        <v>1766</v>
      </c>
      <c r="E17" s="21" t="s">
        <v>1767</v>
      </c>
      <c r="F17" s="20" t="s">
        <v>1770</v>
      </c>
      <c r="G17" s="23">
        <v>43160</v>
      </c>
      <c r="H17" s="20">
        <v>9007198169</v>
      </c>
      <c r="I17" s="22">
        <v>9581.25</v>
      </c>
      <c r="J17" s="23">
        <v>43160</v>
      </c>
      <c r="K17" s="23">
        <v>43250</v>
      </c>
      <c r="L17" s="20">
        <f>IF(Table1122[[#This Row],[Account]]&lt;&gt;"",$N$8,"")</f>
        <v>0</v>
      </c>
      <c r="M17" s="24">
        <f>IF(Table1122[[#This Row],[Account]]&lt;&gt;"",J17+L17-$N$7,"")</f>
        <v>-376</v>
      </c>
      <c r="N17" s="25" t="str">
        <f>IF(Table1122[[#This Row],[Account]]&lt;&gt;"",IF(Table1122[[#This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28497.5</v>
      </c>
    </row>
    <row r="19" spans="2:17" ht="15.75" thickBot="1" x14ac:dyDescent="0.3">
      <c r="G19" s="30" t="s">
        <v>21</v>
      </c>
      <c r="H19" s="31"/>
      <c r="I19" s="32">
        <f>SUM(I15:I17)</f>
        <v>28497.5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2" t="s">
        <v>23</v>
      </c>
      <c r="C23" s="112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2"/>
      <c r="C24" s="113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28497.5</v>
      </c>
      <c r="J24" s="41">
        <f>SUM(D24:I24)</f>
        <v>28497.5</v>
      </c>
      <c r="K24" s="42">
        <f>SUM(H24:I24)</f>
        <v>28497.5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2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506038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506038</v>
      </c>
      <c r="D15" s="15" t="s">
        <v>1761</v>
      </c>
      <c r="E15" s="15" t="s">
        <v>1762</v>
      </c>
      <c r="F15" s="14" t="s">
        <v>1763</v>
      </c>
      <c r="G15" s="17">
        <v>43304</v>
      </c>
      <c r="H15" s="14">
        <v>7000123841</v>
      </c>
      <c r="I15" s="16">
        <v>-1050</v>
      </c>
      <c r="J15" s="17">
        <v>43304</v>
      </c>
      <c r="K15" s="17">
        <v>43304</v>
      </c>
      <c r="L15" s="14">
        <f>IF(Table1121[[#This Row],[Account]]&lt;&gt;"",$N$8,"")</f>
        <v>0</v>
      </c>
      <c r="M15" s="105">
        <f>IF(Table1121[[#This Row],[Account]]&lt;&gt;"",J15+L15-$N$7,"")</f>
        <v>-232</v>
      </c>
      <c r="N15" s="74" t="str">
        <f>IF(Table1121[[#This Row],[Account]]&lt;&gt;"",IF(Table1121[[#This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-1050</v>
      </c>
    </row>
    <row r="17" spans="2:17" ht="15.75" thickBot="1" x14ac:dyDescent="0.3">
      <c r="G17" s="30" t="s">
        <v>21</v>
      </c>
      <c r="H17" s="31"/>
      <c r="I17" s="32">
        <f>SUM(I15:I15)</f>
        <v>-1050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-1050</v>
      </c>
      <c r="J22" s="41">
        <f>SUM(D22:I22)</f>
        <v>-1050</v>
      </c>
      <c r="K22" s="42">
        <f>SUM(H22:I22)</f>
        <v>-1050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499098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1754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1755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499098</v>
      </c>
      <c r="D15" s="15" t="s">
        <v>1756</v>
      </c>
      <c r="E15" s="15" t="s">
        <v>1757</v>
      </c>
      <c r="F15" s="14" t="s">
        <v>1758</v>
      </c>
      <c r="G15" s="17">
        <v>43272</v>
      </c>
      <c r="H15" s="14"/>
      <c r="I15" s="16">
        <v>-44.27</v>
      </c>
      <c r="J15" s="17">
        <v>43272</v>
      </c>
      <c r="K15" s="17">
        <v>43272</v>
      </c>
      <c r="L15" s="14">
        <f>IF(Table1120[[#This Row],[Account]]&lt;&gt;"",$N$8,"")</f>
        <v>0</v>
      </c>
      <c r="M15" s="105">
        <f>IF(Table1120[[#This Row],[Account]]&lt;&gt;"",J15+L15-$N$7,"")</f>
        <v>-264</v>
      </c>
      <c r="N15" s="74" t="str">
        <f>IF(Table1120[[#This Row],[Account]]&lt;&gt;"",IF(Table1120[[#This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IF(Table1120[[#This Row],[Account]]&lt;&gt;"",$N$8,"")</f>
        <v/>
      </c>
      <c r="M16" s="24" t="str">
        <f>IF(Table1120[[#This Row],[Account]]&lt;&gt;"",J16+L16-$N$7,"")</f>
        <v/>
      </c>
      <c r="N16" s="25" t="str">
        <f>IF(Table1120[[#This Row],[Account]]&lt;&gt;"",IF(Table1120[[#This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IF(Table1120[[#This Row],[Account]]&lt;&gt;"",$N$8,"")</f>
        <v/>
      </c>
      <c r="M17" s="18" t="str">
        <f>IF(Table1120[[#This Row],[Account]]&lt;&gt;"",J17+L17-$N$7,"")</f>
        <v/>
      </c>
      <c r="N17" s="19" t="str">
        <f>IF(Table1120[[#This Row],[Account]]&lt;&gt;"",IF(Table1120[[#This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IF(Table1120[[#This Row],[Account]]&lt;&gt;"",$N$8,"")</f>
        <v/>
      </c>
      <c r="M18" s="24" t="str">
        <f>IF(Table1120[[#This Row],[Account]]&lt;&gt;"",J18+L18-$N$7,"")</f>
        <v/>
      </c>
      <c r="N18" s="25" t="str">
        <f>IF(Table1120[[#This Row],[Account]]&lt;&gt;"",IF(Table1120[[#This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IF(Table1120[[#This Row],[Account]]&lt;&gt;"",$N$8,"")</f>
        <v/>
      </c>
      <c r="M19" s="18" t="str">
        <f>IF(Table1120[[#This Row],[Account]]&lt;&gt;"",J19+L19-$N$7,"")</f>
        <v/>
      </c>
      <c r="N19" s="19" t="str">
        <f>IF(Table1120[[#This Row],[Account]]&lt;&gt;"",IF(Table1120[[#This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IF(Table1120[[#This Row],[Account]]&lt;&gt;"",$N$8,"")</f>
        <v/>
      </c>
      <c r="M20" s="24" t="str">
        <f>IF(Table1120[[#This Row],[Account]]&lt;&gt;"",J20+L20-$N$7,"")</f>
        <v/>
      </c>
      <c r="N20" s="25" t="str">
        <f>IF(Table1120[[#This Row],[Account]]&lt;&gt;"",IF(Table1120[[#This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IF(Table1120[[#This Row],[Account]]&lt;&gt;"",$N$8,"")</f>
        <v/>
      </c>
      <c r="M21" s="18" t="str">
        <f>IF(Table1120[[#This Row],[Account]]&lt;&gt;"",J21+L21-$N$7,"")</f>
        <v/>
      </c>
      <c r="N21" s="19" t="str">
        <f>IF(Table1120[[#This Row],[Account]]&lt;&gt;"",IF(Table1120[[#This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IF(Table1120[[#This Row],[Account]]&lt;&gt;"",$N$8,"")</f>
        <v/>
      </c>
      <c r="M22" s="24" t="str">
        <f>IF(Table1120[[#This Row],[Account]]&lt;&gt;"",J22+L22-$N$7,"")</f>
        <v/>
      </c>
      <c r="N22" s="25" t="str">
        <f>IF(Table1120[[#This Row],[Account]]&lt;&gt;"",IF(Table1120[[#This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IF(Table1120[[#This Row],[Account]]&lt;&gt;"",$N$8,"")</f>
        <v/>
      </c>
      <c r="M23" s="18" t="str">
        <f>IF(Table1120[[#This Row],[Account]]&lt;&gt;"",J23+L23-$N$7,"")</f>
        <v/>
      </c>
      <c r="N23" s="19" t="str">
        <f>IF(Table1120[[#This Row],[Account]]&lt;&gt;"",IF(Table1120[[#This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IF(Table1120[[#This Row],[Account]]&lt;&gt;"",$N$8,"")</f>
        <v/>
      </c>
      <c r="M24" s="24" t="str">
        <f>IF(Table1120[[#This Row],[Account]]&lt;&gt;"",J24+L24-$N$7,"")</f>
        <v/>
      </c>
      <c r="N24" s="25" t="str">
        <f>IF(Table1120[[#This Row],[Account]]&lt;&gt;"",IF(Table1120[[#This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IF(Table1120[[#This Row],[Account]]&lt;&gt;"",$N$8,"")</f>
        <v/>
      </c>
      <c r="M25" s="18" t="str">
        <f>IF(Table1120[[#This Row],[Account]]&lt;&gt;"",J25+L25-$N$7,"")</f>
        <v/>
      </c>
      <c r="N25" s="19" t="str">
        <f>IF(Table1120[[#This Row],[Account]]&lt;&gt;"",IF(Table1120[[#This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IF(Table1120[[#This Row],[Account]]&lt;&gt;"",$N$8,"")</f>
        <v/>
      </c>
      <c r="M26" s="24" t="str">
        <f>IF(Table1120[[#This Row],[Account]]&lt;&gt;"",J26+L26-$N$7,"")</f>
        <v/>
      </c>
      <c r="N26" s="25" t="str">
        <f>IF(Table1120[[#This Row],[Account]]&lt;&gt;"",IF(Table1120[[#This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IF(Table1120[[#This Row],[Account]]&lt;&gt;"",$N$8,"")</f>
        <v/>
      </c>
      <c r="M27" s="18" t="str">
        <f>IF(Table1120[[#This Row],[Account]]&lt;&gt;"",J27+L27-$N$7,"")</f>
        <v/>
      </c>
      <c r="N27" s="19" t="str">
        <f>IF(Table1120[[#This Row],[Account]]&lt;&gt;"",IF(Table1120[[#This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IF(Table1120[[#This Row],[Account]]&lt;&gt;"",$N$8,"")</f>
        <v/>
      </c>
      <c r="M28" s="24" t="str">
        <f>IF(Table1120[[#This Row],[Account]]&lt;&gt;"",J28+L28-$N$7,"")</f>
        <v/>
      </c>
      <c r="N28" s="25" t="str">
        <f>IF(Table1120[[#This Row],[Account]]&lt;&gt;"",IF(Table1120[[#This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IF(Table1120[[#This Row],[Account]]&lt;&gt;"",$N$8,"")</f>
        <v/>
      </c>
      <c r="M29" s="18" t="str">
        <f>IF(Table1120[[#This Row],[Account]]&lt;&gt;"",J29+L29-$N$7,"")</f>
        <v/>
      </c>
      <c r="N29" s="19" t="str">
        <f>IF(Table1120[[#This Row],[Account]]&lt;&gt;"",IF(Table1120[[#This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IF(Table1120[[#This Row],[Account]]&lt;&gt;"",$N$8,"")</f>
        <v/>
      </c>
      <c r="M30" s="24" t="str">
        <f>IF(Table1120[[#This Row],[Account]]&lt;&gt;"",J30+L30-$N$7,"")</f>
        <v/>
      </c>
      <c r="N30" s="25" t="str">
        <f>IF(Table1120[[#This Row],[Account]]&lt;&gt;"",IF(Table1120[[#This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IF(Table1120[[#This Row],[Account]]&lt;&gt;"",$N$8,"")</f>
        <v/>
      </c>
      <c r="M31" s="18" t="str">
        <f>IF(Table1120[[#This Row],[Account]]&lt;&gt;"",J31+L31-$N$7,"")</f>
        <v/>
      </c>
      <c r="N31" s="19" t="str">
        <f>IF(Table1120[[#This Row],[Account]]&lt;&gt;"",IF(Table1120[[#This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IF(Table1120[[#This Row],[Account]]&lt;&gt;"",$N$8,"")</f>
        <v/>
      </c>
      <c r="M32" s="24" t="str">
        <f>IF(Table1120[[#This Row],[Account]]&lt;&gt;"",J32+L32-$N$7,"")</f>
        <v/>
      </c>
      <c r="N32" s="25" t="str">
        <f>IF(Table1120[[#This Row],[Account]]&lt;&gt;"",IF(Table1120[[#This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IF(Table1120[[#This Row],[Account]]&lt;&gt;"",$N$8,"")</f>
        <v/>
      </c>
      <c r="M33" s="18" t="str">
        <f>IF(Table1120[[#This Row],[Account]]&lt;&gt;"",J33+L33-$N$7,"")</f>
        <v/>
      </c>
      <c r="N33" s="19" t="str">
        <f>IF(Table1120[[#This Row],[Account]]&lt;&gt;"",IF(Table1120[[#This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IF(Table1120[[#This Row],[Account]]&lt;&gt;"",$N$8,"")</f>
        <v/>
      </c>
      <c r="M34" s="24" t="str">
        <f>IF(Table1120[[#This Row],[Account]]&lt;&gt;"",J34+L34-$N$7,"")</f>
        <v/>
      </c>
      <c r="N34" s="25" t="str">
        <f>IF(Table1120[[#This Row],[Account]]&lt;&gt;"",IF(Table1120[[#This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IF(Table1120[[#This Row],[Account]]&lt;&gt;"",$N$8,"")</f>
        <v/>
      </c>
      <c r="M35" s="18" t="str">
        <f>IF(Table1120[[#This Row],[Account]]&lt;&gt;"",J35+L35-$N$7,"")</f>
        <v/>
      </c>
      <c r="N35" s="19" t="str">
        <f>IF(Table1120[[#This Row],[Account]]&lt;&gt;"",IF(Table1120[[#This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IF(Table1120[[#This Row],[Account]]&lt;&gt;"",$N$8,"")</f>
        <v/>
      </c>
      <c r="M36" s="24" t="str">
        <f>IF(Table1120[[#This Row],[Account]]&lt;&gt;"",J36+L36-$N$7,"")</f>
        <v/>
      </c>
      <c r="N36" s="25" t="str">
        <f>IF(Table1120[[#This Row],[Account]]&lt;&gt;"",IF(Table1120[[#This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IF(Table1120[[#This Row],[Account]]&lt;&gt;"",$N$8,"")</f>
        <v/>
      </c>
      <c r="M37" s="18" t="str">
        <f>IF(Table1120[[#This Row],[Account]]&lt;&gt;"",J37+L37-$N$7,"")</f>
        <v/>
      </c>
      <c r="N37" s="19" t="str">
        <f>IF(Table1120[[#This Row],[Account]]&lt;&gt;"",IF(Table1120[[#This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IF(Table1120[[#This Row],[Account]]&lt;&gt;"",$N$8,"")</f>
        <v/>
      </c>
      <c r="M38" s="24" t="str">
        <f>IF(Table1120[[#This Row],[Account]]&lt;&gt;"",J38+L38-$N$7,"")</f>
        <v/>
      </c>
      <c r="N38" s="25" t="str">
        <f>IF(Table1120[[#This Row],[Account]]&lt;&gt;"",IF(Table1120[[#This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IF(Table1120[[#This Row],[Account]]&lt;&gt;"",$N$8,"")</f>
        <v/>
      </c>
      <c r="M39" s="18" t="str">
        <f>IF(Table1120[[#This Row],[Account]]&lt;&gt;"",J39+L39-$N$7,"")</f>
        <v/>
      </c>
      <c r="N39" s="19" t="str">
        <f>IF(Table1120[[#This Row],[Account]]&lt;&gt;"",IF(Table1120[[#This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IF(Table1120[[#This Row],[Account]]&lt;&gt;"",$N$8,"")</f>
        <v/>
      </c>
      <c r="M40" s="24" t="str">
        <f>IF(Table1120[[#This Row],[Account]]&lt;&gt;"",J40+L40-$N$7,"")</f>
        <v/>
      </c>
      <c r="N40" s="25" t="str">
        <f>IF(Table1120[[#This Row],[Account]]&lt;&gt;"",IF(Table1120[[#This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IF(Table1120[[#This Row],[Account]]&lt;&gt;"",$N$8,"")</f>
        <v/>
      </c>
      <c r="M41" s="18" t="str">
        <f>IF(Table1120[[#This Row],[Account]]&lt;&gt;"",J41+L41-$N$7,"")</f>
        <v/>
      </c>
      <c r="N41" s="19" t="str">
        <f>IF(Table1120[[#This Row],[Account]]&lt;&gt;"",IF(Table1120[[#This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IF(Table1120[[#This Row],[Account]]&lt;&gt;"",$N$8,"")</f>
        <v/>
      </c>
      <c r="M42" s="24" t="str">
        <f>IF(Table1120[[#This Row],[Account]]&lt;&gt;"",J42+L42-$N$7,"")</f>
        <v/>
      </c>
      <c r="N42" s="25" t="str">
        <f>IF(Table1120[[#This Row],[Account]]&lt;&gt;"",IF(Table1120[[#This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IF(Table1120[[#This Row],[Account]]&lt;&gt;"",$N$8,"")</f>
        <v/>
      </c>
      <c r="M43" s="18" t="str">
        <f>IF(Table1120[[#This Row],[Account]]&lt;&gt;"",J43+L43-$N$7,"")</f>
        <v/>
      </c>
      <c r="N43" s="19" t="str">
        <f>IF(Table1120[[#This Row],[Account]]&lt;&gt;"",IF(Table1120[[#This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IF(Table1120[[#This Row],[Account]]&lt;&gt;"",$N$8,"")</f>
        <v/>
      </c>
      <c r="M44" s="24" t="str">
        <f>IF(Table1120[[#This Row],[Account]]&lt;&gt;"",J44+L44-$N$7,"")</f>
        <v/>
      </c>
      <c r="N44" s="25" t="str">
        <f>IF(Table1120[[#This Row],[Account]]&lt;&gt;"",IF(Table1120[[#This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IF(Table1120[[#This Row],[Account]]&lt;&gt;"",$N$8,"")</f>
        <v/>
      </c>
      <c r="M45" s="18" t="str">
        <f>IF(Table1120[[#This Row],[Account]]&lt;&gt;"",J45+L45-$N$7,"")</f>
        <v/>
      </c>
      <c r="N45" s="19" t="str">
        <f>IF(Table1120[[#This Row],[Account]]&lt;&gt;"",IF(Table1120[[#This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IF(Table1120[[#This Row],[Account]]&lt;&gt;"",$N$8,"")</f>
        <v/>
      </c>
      <c r="M46" s="24" t="str">
        <f>IF(Table1120[[#This Row],[Account]]&lt;&gt;"",J46+L46-$N$7,"")</f>
        <v/>
      </c>
      <c r="N46" s="25" t="str">
        <f>IF(Table1120[[#This Row],[Account]]&lt;&gt;"",IF(Table1120[[#This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IF(Table1120[[#This Row],[Account]]&lt;&gt;"",$N$8,"")</f>
        <v/>
      </c>
      <c r="M47" s="18" t="str">
        <f>IF(Table1120[[#This Row],[Account]]&lt;&gt;"",J47+L47-$N$7,"")</f>
        <v/>
      </c>
      <c r="N47" s="19" t="str">
        <f>IF(Table1120[[#This Row],[Account]]&lt;&gt;"",IF(Table1120[[#This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IF(Table1120[[#This Row],[Account]]&lt;&gt;"",$N$8,"")</f>
        <v/>
      </c>
      <c r="M48" s="24" t="str">
        <f>IF(Table1120[[#This Row],[Account]]&lt;&gt;"",J48+L48-$N$7,"")</f>
        <v/>
      </c>
      <c r="N48" s="25" t="str">
        <f>IF(Table1120[[#This Row],[Account]]&lt;&gt;"",IF(Table1120[[#This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IF(Table1120[[#This Row],[Account]]&lt;&gt;"",$N$8,"")</f>
        <v/>
      </c>
      <c r="M49" s="18" t="str">
        <f>IF(Table1120[[#This Row],[Account]]&lt;&gt;"",J49+L49-$N$7,"")</f>
        <v/>
      </c>
      <c r="N49" s="19" t="str">
        <f>IF(Table1120[[#This Row],[Account]]&lt;&gt;"",IF(Table1120[[#This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IF(Table1120[[#This Row],[Account]]&lt;&gt;"",$N$8,"")</f>
        <v/>
      </c>
      <c r="M50" s="24" t="str">
        <f>IF(Table1120[[#This Row],[Account]]&lt;&gt;"",J50+L50-$N$7,"")</f>
        <v/>
      </c>
      <c r="N50" s="25" t="str">
        <f>IF(Table1120[[#This Row],[Account]]&lt;&gt;"",IF(Table1120[[#This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IF(Table1120[[#This Row],[Account]]&lt;&gt;"",$N$8,"")</f>
        <v/>
      </c>
      <c r="M51" s="18" t="str">
        <f>IF(Table1120[[#This Row],[Account]]&lt;&gt;"",J51+L51-$N$7,"")</f>
        <v/>
      </c>
      <c r="N51" s="19" t="str">
        <f>IF(Table1120[[#This Row],[Account]]&lt;&gt;"",IF(Table1120[[#This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IF(Table1120[[#This Row],[Account]]&lt;&gt;"",$N$8,"")</f>
        <v/>
      </c>
      <c r="M52" s="24" t="str">
        <f>IF(Table1120[[#This Row],[Account]]&lt;&gt;"",J52+L52-$N$7,"")</f>
        <v/>
      </c>
      <c r="N52" s="25" t="str">
        <f>IF(Table1120[[#This Row],[Account]]&lt;&gt;"",IF(Table1120[[#This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IF(Table1120[[#This Row],[Account]]&lt;&gt;"",$N$8,"")</f>
        <v/>
      </c>
      <c r="M53" s="18" t="str">
        <f>IF(Table1120[[#This Row],[Account]]&lt;&gt;"",J53+L53-$N$7,"")</f>
        <v/>
      </c>
      <c r="N53" s="19" t="str">
        <f>IF(Table1120[[#This Row],[Account]]&lt;&gt;"",IF(Table1120[[#This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IF(Table1120[[#This Row],[Account]]&lt;&gt;"",$N$8,"")</f>
        <v/>
      </c>
      <c r="M54" s="24" t="str">
        <f>IF(Table1120[[#This Row],[Account]]&lt;&gt;"",J54+L54-$N$7,"")</f>
        <v/>
      </c>
      <c r="N54" s="25" t="str">
        <f>IF(Table1120[[#This Row],[Account]]&lt;&gt;"",IF(Table1120[[#This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IF(Table1120[[#This Row],[Account]]&lt;&gt;"",$N$8,"")</f>
        <v/>
      </c>
      <c r="M55" s="18" t="str">
        <f>IF(Table1120[[#This Row],[Account]]&lt;&gt;"",J55+L55-$N$7,"")</f>
        <v/>
      </c>
      <c r="N55" s="19" t="str">
        <f>IF(Table1120[[#This Row],[Account]]&lt;&gt;"",IF(Table1120[[#This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IF(Table1120[[#This Row],[Account]]&lt;&gt;"",$N$8,"")</f>
        <v/>
      </c>
      <c r="M56" s="24" t="str">
        <f>IF(Table1120[[#This Row],[Account]]&lt;&gt;"",J56+L56-$N$7,"")</f>
        <v/>
      </c>
      <c r="N56" s="25" t="str">
        <f>IF(Table1120[[#This Row],[Account]]&lt;&gt;"",IF(Table1120[[#This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IF(Table1120[[#This Row],[Account]]&lt;&gt;"",$N$8,"")</f>
        <v/>
      </c>
      <c r="M57" s="18" t="str">
        <f>IF(Table1120[[#This Row],[Account]]&lt;&gt;"",J57+L57-$N$7,"")</f>
        <v/>
      </c>
      <c r="N57" s="19" t="str">
        <f>IF(Table1120[[#This Row],[Account]]&lt;&gt;"",IF(Table1120[[#This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IF(Table1120[[#This Row],[Account]]&lt;&gt;"",$N$8,"")</f>
        <v/>
      </c>
      <c r="M58" s="24" t="str">
        <f>IF(Table1120[[#This Row],[Account]]&lt;&gt;"",J58+L58-$N$7,"")</f>
        <v/>
      </c>
      <c r="N58" s="25" t="str">
        <f>IF(Table1120[[#This Row],[Account]]&lt;&gt;"",IF(Table1120[[#This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IF(Table1120[[#This Row],[Account]]&lt;&gt;"",$N$8,"")</f>
        <v/>
      </c>
      <c r="M59" s="18" t="str">
        <f>IF(Table1120[[#This Row],[Account]]&lt;&gt;"",J59+L59-$N$7,"")</f>
        <v/>
      </c>
      <c r="N59" s="19" t="str">
        <f>IF(Table1120[[#This Row],[Account]]&lt;&gt;"",IF(Table1120[[#This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IF(Table1120[[#This Row],[Account]]&lt;&gt;"",$N$8,"")</f>
        <v/>
      </c>
      <c r="M60" s="24" t="str">
        <f>IF(Table1120[[#This Row],[Account]]&lt;&gt;"",J60+L60-$N$7,"")</f>
        <v/>
      </c>
      <c r="N60" s="25" t="str">
        <f>IF(Table1120[[#This Row],[Account]]&lt;&gt;"",IF(Table1120[[#This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IF(Table1120[[#This Row],[Account]]&lt;&gt;"",$N$8,"")</f>
        <v/>
      </c>
      <c r="M61" s="18" t="str">
        <f>IF(Table1120[[#This Row],[Account]]&lt;&gt;"",J61+L61-$N$7,"")</f>
        <v/>
      </c>
      <c r="N61" s="19" t="str">
        <f>IF(Table1120[[#This Row],[Account]]&lt;&gt;"",IF(Table1120[[#This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IF(Table1120[[#This Row],[Account]]&lt;&gt;"",$N$8,"")</f>
        <v/>
      </c>
      <c r="M62" s="24" t="str">
        <f>IF(Table1120[[#This Row],[Account]]&lt;&gt;"",J62+L62-$N$7,"")</f>
        <v/>
      </c>
      <c r="N62" s="25" t="str">
        <f>IF(Table1120[[#This Row],[Account]]&lt;&gt;"",IF(Table1120[[#This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IF(Table1120[[#This Row],[Account]]&lt;&gt;"",$N$8,"")</f>
        <v/>
      </c>
      <c r="M63" s="18" t="str">
        <f>IF(Table1120[[#This Row],[Account]]&lt;&gt;"",J63+L63-$N$7,"")</f>
        <v/>
      </c>
      <c r="N63" s="19" t="str">
        <f>IF(Table1120[[#This Row],[Account]]&lt;&gt;"",IF(Table1120[[#This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IF(Table1120[[#This Row],[Account]]&lt;&gt;"",$N$8,"")</f>
        <v/>
      </c>
      <c r="M64" s="24" t="str">
        <f>IF(Table1120[[#This Row],[Account]]&lt;&gt;"",J64+L64-$N$7,"")</f>
        <v/>
      </c>
      <c r="N64" s="25" t="str">
        <f>IF(Table1120[[#This Row],[Account]]&lt;&gt;"",IF(Table1120[[#This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IF(Table1120[[#This Row],[Account]]&lt;&gt;"",$N$8,"")</f>
        <v/>
      </c>
      <c r="M65" s="18" t="str">
        <f>IF(Table1120[[#This Row],[Account]]&lt;&gt;"",J65+L65-$N$7,"")</f>
        <v/>
      </c>
      <c r="N65" s="19" t="str">
        <f>IF(Table1120[[#This Row],[Account]]&lt;&gt;"",IF(Table1120[[#This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IF(Table1120[[#This Row],[Account]]&lt;&gt;"",$N$8,"")</f>
        <v/>
      </c>
      <c r="M66" s="24" t="str">
        <f>IF(Table1120[[#This Row],[Account]]&lt;&gt;"",J66+L66-$N$7,"")</f>
        <v/>
      </c>
      <c r="N66" s="25" t="str">
        <f>IF(Table1120[[#This Row],[Account]]&lt;&gt;"",IF(Table1120[[#This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IF(Table1120[[#This Row],[Account]]&lt;&gt;"",$N$8,"")</f>
        <v/>
      </c>
      <c r="M67" s="18" t="str">
        <f>IF(Table1120[[#This Row],[Account]]&lt;&gt;"",J67+L67-$N$7,"")</f>
        <v/>
      </c>
      <c r="N67" s="19" t="str">
        <f>IF(Table1120[[#This Row],[Account]]&lt;&gt;"",IF(Table1120[[#This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IF(Table1120[[#This Row],[Account]]&lt;&gt;"",$N$8,"")</f>
        <v/>
      </c>
      <c r="M68" s="24" t="str">
        <f>IF(Table1120[[#This Row],[Account]]&lt;&gt;"",J68+L68-$N$7,"")</f>
        <v/>
      </c>
      <c r="N68" s="25" t="str">
        <f>IF(Table1120[[#This Row],[Account]]&lt;&gt;"",IF(Table1120[[#This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IF(Table1120[[#This Row],[Account]]&lt;&gt;"",$N$8,"")</f>
        <v/>
      </c>
      <c r="M69" s="18" t="str">
        <f>IF(Table1120[[#This Row],[Account]]&lt;&gt;"",J69+L69-$N$7,"")</f>
        <v/>
      </c>
      <c r="N69" s="19" t="str">
        <f>IF(Table1120[[#This Row],[Account]]&lt;&gt;"",IF(Table1120[[#This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IF(Table1120[[#This Row],[Account]]&lt;&gt;"",$N$8,"")</f>
        <v/>
      </c>
      <c r="M70" s="24" t="str">
        <f>IF(Table1120[[#This Row],[Account]]&lt;&gt;"",J70+L70-$N$7,"")</f>
        <v/>
      </c>
      <c r="N70" s="25" t="str">
        <f>IF(Table1120[[#This Row],[Account]]&lt;&gt;"",IF(Table1120[[#This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IF(Table1120[[#This Row],[Account]]&lt;&gt;"",$N$8,"")</f>
        <v/>
      </c>
      <c r="M71" s="18" t="str">
        <f>IF(Table1120[[#This Row],[Account]]&lt;&gt;"",J71+L71-$N$7,"")</f>
        <v/>
      </c>
      <c r="N71" s="19" t="str">
        <f>IF(Table1120[[#This Row],[Account]]&lt;&gt;"",IF(Table1120[[#This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IF(Table1120[[#This Row],[Account]]&lt;&gt;"",$N$8,"")</f>
        <v/>
      </c>
      <c r="M72" s="24" t="str">
        <f>IF(Table1120[[#This Row],[Account]]&lt;&gt;"",J72+L72-$N$7,"")</f>
        <v/>
      </c>
      <c r="N72" s="25" t="str">
        <f>IF(Table1120[[#This Row],[Account]]&lt;&gt;"",IF(Table1120[[#This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IF(Table1120[[#This Row],[Account]]&lt;&gt;"",$N$8,"")</f>
        <v/>
      </c>
      <c r="M73" s="18" t="str">
        <f>IF(Table1120[[#This Row],[Account]]&lt;&gt;"",J73+L73-$N$7,"")</f>
        <v/>
      </c>
      <c r="N73" s="19" t="str">
        <f>IF(Table1120[[#This Row],[Account]]&lt;&gt;"",IF(Table1120[[#This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IF(Table1120[[#This Row],[Account]]&lt;&gt;"",$N$8,"")</f>
        <v/>
      </c>
      <c r="M74" s="24" t="str">
        <f>IF(Table1120[[#This Row],[Account]]&lt;&gt;"",J74+L74-$N$7,"")</f>
        <v/>
      </c>
      <c r="N74" s="25" t="str">
        <f>IF(Table1120[[#This Row],[Account]]&lt;&gt;"",IF(Table1120[[#This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IF(Table1120[[#This Row],[Account]]&lt;&gt;"",$N$8,"")</f>
        <v/>
      </c>
      <c r="M75" s="18" t="str">
        <f>IF(Table1120[[#This Row],[Account]]&lt;&gt;"",J75+L75-$N$7,"")</f>
        <v/>
      </c>
      <c r="N75" s="19" t="str">
        <f>IF(Table1120[[#This Row],[Account]]&lt;&gt;"",IF(Table1120[[#This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IF(Table1120[[#This Row],[Account]]&lt;&gt;"",$N$8,"")</f>
        <v/>
      </c>
      <c r="M76" s="24" t="str">
        <f>IF(Table1120[[#This Row],[Account]]&lt;&gt;"",J76+L76-$N$7,"")</f>
        <v/>
      </c>
      <c r="N76" s="25" t="str">
        <f>IF(Table1120[[#This Row],[Account]]&lt;&gt;"",IF(Table1120[[#This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IF(Table1120[[#This Row],[Account]]&lt;&gt;"",$N$8,"")</f>
        <v/>
      </c>
      <c r="M77" s="18" t="str">
        <f>IF(Table1120[[#This Row],[Account]]&lt;&gt;"",J77+L77-$N$7,"")</f>
        <v/>
      </c>
      <c r="N77" s="19" t="str">
        <f>IF(Table1120[[#This Row],[Account]]&lt;&gt;"",IF(Table1120[[#This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IF(Table1120[[#This Row],[Account]]&lt;&gt;"",$N$8,"")</f>
        <v/>
      </c>
      <c r="M78" s="24" t="str">
        <f>IF(Table1120[[#This Row],[Account]]&lt;&gt;"",J78+L78-$N$7,"")</f>
        <v/>
      </c>
      <c r="N78" s="25" t="str">
        <f>IF(Table1120[[#This Row],[Account]]&lt;&gt;"",IF(Table1120[[#This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IF(Table1120[[#This Row],[Account]]&lt;&gt;"",$N$8,"")</f>
        <v/>
      </c>
      <c r="M79" s="18" t="str">
        <f>IF(Table1120[[#This Row],[Account]]&lt;&gt;"",J79+L79-$N$7,"")</f>
        <v/>
      </c>
      <c r="N79" s="19" t="str">
        <f>IF(Table1120[[#This Row],[Account]]&lt;&gt;"",IF(Table1120[[#This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IF(Table1120[[#This Row],[Account]]&lt;&gt;"",$N$8,"")</f>
        <v/>
      </c>
      <c r="M80" s="24" t="str">
        <f>IF(Table1120[[#This Row],[Account]]&lt;&gt;"",J80+L80-$N$7,"")</f>
        <v/>
      </c>
      <c r="N80" s="25" t="str">
        <f>IF(Table1120[[#This Row],[Account]]&lt;&gt;"",IF(Table1120[[#This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IF(Table1120[[#This Row],[Account]]&lt;&gt;"",$N$8,"")</f>
        <v/>
      </c>
      <c r="M81" s="18" t="str">
        <f>IF(Table1120[[#This Row],[Account]]&lt;&gt;"",J81+L81-$N$7,"")</f>
        <v/>
      </c>
      <c r="N81" s="19" t="str">
        <f>IF(Table1120[[#This Row],[Account]]&lt;&gt;"",IF(Table1120[[#This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IF(Table1120[[#This Row],[Account]]&lt;&gt;"",$N$8,"")</f>
        <v/>
      </c>
      <c r="M82" s="24" t="str">
        <f>IF(Table1120[[#This Row],[Account]]&lt;&gt;"",J82+L82-$N$7,"")</f>
        <v/>
      </c>
      <c r="N82" s="25" t="str">
        <f>IF(Table1120[[#This Row],[Account]]&lt;&gt;"",IF(Table1120[[#This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IF(Table1120[[#This Row],[Account]]&lt;&gt;"",$N$8,"")</f>
        <v/>
      </c>
      <c r="M83" s="18" t="str">
        <f>IF(Table1120[[#This Row],[Account]]&lt;&gt;"",J83+L83-$N$7,"")</f>
        <v/>
      </c>
      <c r="N83" s="19" t="str">
        <f>IF(Table1120[[#This Row],[Account]]&lt;&gt;"",IF(Table1120[[#This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IF(Table1120[[#This Row],[Account]]&lt;&gt;"",$N$8,"")</f>
        <v/>
      </c>
      <c r="M84" s="24" t="str">
        <f>IF(Table1120[[#This Row],[Account]]&lt;&gt;"",J84+L84-$N$7,"")</f>
        <v/>
      </c>
      <c r="N84" s="25" t="str">
        <f>IF(Table1120[[#This Row],[Account]]&lt;&gt;"",IF(Table1120[[#This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IF(Table1120[[#This Row],[Account]]&lt;&gt;"",$N$8,"")</f>
        <v/>
      </c>
      <c r="M85" s="18" t="str">
        <f>IF(Table1120[[#This Row],[Account]]&lt;&gt;"",J85+L85-$N$7,"")</f>
        <v/>
      </c>
      <c r="N85" s="19" t="str">
        <f>IF(Table1120[[#This Row],[Account]]&lt;&gt;"",IF(Table1120[[#This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IF(Table1120[[#This Row],[Account]]&lt;&gt;"",$N$8,"")</f>
        <v/>
      </c>
      <c r="M86" s="24" t="str">
        <f>IF(Table1120[[#This Row],[Account]]&lt;&gt;"",J86+L86-$N$7,"")</f>
        <v/>
      </c>
      <c r="N86" s="25" t="str">
        <f>IF(Table1120[[#This Row],[Account]]&lt;&gt;"",IF(Table1120[[#This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IF(Table1120[[#This Row],[Account]]&lt;&gt;"",$N$8,"")</f>
        <v/>
      </c>
      <c r="M87" s="18" t="str">
        <f>IF(Table1120[[#This Row],[Account]]&lt;&gt;"",J87+L87-$N$7,"")</f>
        <v/>
      </c>
      <c r="N87" s="19" t="str">
        <f>IF(Table1120[[#This Row],[Account]]&lt;&gt;"",IF(Table1120[[#This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IF(Table1120[[#This Row],[Account]]&lt;&gt;"",$N$8,"")</f>
        <v/>
      </c>
      <c r="M88" s="24" t="str">
        <f>IF(Table1120[[#This Row],[Account]]&lt;&gt;"",J88+L88-$N$7,"")</f>
        <v/>
      </c>
      <c r="N88" s="25" t="str">
        <f>IF(Table1120[[#This Row],[Account]]&lt;&gt;"",IF(Table1120[[#This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IF(Table1120[[#This Row],[Account]]&lt;&gt;"",$N$8,"")</f>
        <v/>
      </c>
      <c r="M89" s="18" t="str">
        <f>IF(Table1120[[#This Row],[Account]]&lt;&gt;"",J89+L89-$N$7,"")</f>
        <v/>
      </c>
      <c r="N89" s="19" t="str">
        <f>IF(Table1120[[#This Row],[Account]]&lt;&gt;"",IF(Table1120[[#This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IF(Table1120[[#This Row],[Account]]&lt;&gt;"",$N$8,"")</f>
        <v/>
      </c>
      <c r="M90" s="24" t="str">
        <f>IF(Table1120[[#This Row],[Account]]&lt;&gt;"",J90+L90-$N$7,"")</f>
        <v/>
      </c>
      <c r="N90" s="25" t="str">
        <f>IF(Table1120[[#This Row],[Account]]&lt;&gt;"",IF(Table1120[[#This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IF(Table1120[[#This Row],[Account]]&lt;&gt;"",$N$8,"")</f>
        <v/>
      </c>
      <c r="M91" s="18" t="str">
        <f>IF(Table1120[[#This Row],[Account]]&lt;&gt;"",J91+L91-$N$7,"")</f>
        <v/>
      </c>
      <c r="N91" s="19" t="str">
        <f>IF(Table1120[[#This Row],[Account]]&lt;&gt;"",IF(Table1120[[#This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IF(Table1120[[#This Row],[Account]]&lt;&gt;"",$N$8,"")</f>
        <v/>
      </c>
      <c r="M92" s="24" t="str">
        <f>IF(Table1120[[#This Row],[Account]]&lt;&gt;"",J92+L92-$N$7,"")</f>
        <v/>
      </c>
      <c r="N92" s="25" t="str">
        <f>IF(Table1120[[#This Row],[Account]]&lt;&gt;"",IF(Table1120[[#This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IF(Table1120[[#This Row],[Account]]&lt;&gt;"",$N$8,"")</f>
        <v/>
      </c>
      <c r="M93" s="18" t="str">
        <f>IF(Table1120[[#This Row],[Account]]&lt;&gt;"",J93+L93-$N$7,"")</f>
        <v/>
      </c>
      <c r="N93" s="19" t="str">
        <f>IF(Table1120[[#This Row],[Account]]&lt;&gt;"",IF(Table1120[[#This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IF(Table1120[[#This Row],[Account]]&lt;&gt;"",$N$8,"")</f>
        <v/>
      </c>
      <c r="M94" s="24" t="str">
        <f>IF(Table1120[[#This Row],[Account]]&lt;&gt;"",J94+L94-$N$7,"")</f>
        <v/>
      </c>
      <c r="N94" s="25" t="str">
        <f>IF(Table1120[[#This Row],[Account]]&lt;&gt;"",IF(Table1120[[#This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IF(Table1120[[#This Row],[Account]]&lt;&gt;"",$N$8,"")</f>
        <v/>
      </c>
      <c r="M95" s="18" t="str">
        <f>IF(Table1120[[#This Row],[Account]]&lt;&gt;"",J95+L95-$N$7,"")</f>
        <v/>
      </c>
      <c r="N95" s="19" t="str">
        <f>IF(Table1120[[#This Row],[Account]]&lt;&gt;"",IF(Table1120[[#This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IF(Table1120[[#This Row],[Account]]&lt;&gt;"",$N$8,"")</f>
        <v/>
      </c>
      <c r="M96" s="24" t="str">
        <f>IF(Table1120[[#This Row],[Account]]&lt;&gt;"",J96+L96-$N$7,"")</f>
        <v/>
      </c>
      <c r="N96" s="25" t="str">
        <f>IF(Table1120[[#This Row],[Account]]&lt;&gt;"",IF(Table1120[[#This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IF(Table1120[[#This Row],[Account]]&lt;&gt;"",$N$8,"")</f>
        <v/>
      </c>
      <c r="M97" s="18" t="str">
        <f>IF(Table1120[[#This Row],[Account]]&lt;&gt;"",J97+L97-$N$7,"")</f>
        <v/>
      </c>
      <c r="N97" s="19" t="str">
        <f>IF(Table1120[[#This Row],[Account]]&lt;&gt;"",IF(Table1120[[#This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IF(Table1120[[#This Row],[Account]]&lt;&gt;"",$N$8,"")</f>
        <v/>
      </c>
      <c r="M98" s="24" t="str">
        <f>IF(Table1120[[#This Row],[Account]]&lt;&gt;"",J98+L98-$N$7,"")</f>
        <v/>
      </c>
      <c r="N98" s="25" t="str">
        <f>IF(Table1120[[#This Row],[Account]]&lt;&gt;"",IF(Table1120[[#This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IF(Table1120[[#This Row],[Account]]&lt;&gt;"",$N$8,"")</f>
        <v/>
      </c>
      <c r="M99" s="18" t="str">
        <f>IF(Table1120[[#This Row],[Account]]&lt;&gt;"",J99+L99-$N$7,"")</f>
        <v/>
      </c>
      <c r="N99" s="19" t="str">
        <f>IF(Table1120[[#This Row],[Account]]&lt;&gt;"",IF(Table1120[[#This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IF(Table1120[[#This Row],[Account]]&lt;&gt;"",$N$8,"")</f>
        <v/>
      </c>
      <c r="M100" s="24" t="str">
        <f>IF(Table1120[[#This Row],[Account]]&lt;&gt;"",J100+L100-$N$7,"")</f>
        <v/>
      </c>
      <c r="N100" s="25" t="str">
        <f>IF(Table1120[[#This Row],[Account]]&lt;&gt;"",IF(Table1120[[#This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IF(Table1120[[#This Row],[Account]]&lt;&gt;"",$N$8,"")</f>
        <v/>
      </c>
      <c r="M101" s="18" t="str">
        <f>IF(Table1120[[#This Row],[Account]]&lt;&gt;"",J101+L101-$N$7,"")</f>
        <v/>
      </c>
      <c r="N101" s="19" t="str">
        <f>IF(Table1120[[#This Row],[Account]]&lt;&gt;"",IF(Table1120[[#This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IF(Table1120[[#This Row],[Account]]&lt;&gt;"",$N$8,"")</f>
        <v/>
      </c>
      <c r="M102" s="24" t="str">
        <f>IF(Table1120[[#This Row],[Account]]&lt;&gt;"",J102+L102-$N$7,"")</f>
        <v/>
      </c>
      <c r="N102" s="25" t="str">
        <f>IF(Table1120[[#This Row],[Account]]&lt;&gt;"",IF(Table1120[[#This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IF(Table1120[[#This Row],[Account]]&lt;&gt;"",$N$8,"")</f>
        <v/>
      </c>
      <c r="M103" s="18" t="str">
        <f>IF(Table1120[[#This Row],[Account]]&lt;&gt;"",J103+L103-$N$7,"")</f>
        <v/>
      </c>
      <c r="N103" s="19" t="str">
        <f>IF(Table1120[[#This Row],[Account]]&lt;&gt;"",IF(Table1120[[#This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IF(Table1120[[#This Row],[Account]]&lt;&gt;"",$N$8,"")</f>
        <v/>
      </c>
      <c r="M104" s="24" t="str">
        <f>IF(Table1120[[#This Row],[Account]]&lt;&gt;"",J104+L104-$N$7,"")</f>
        <v/>
      </c>
      <c r="N104" s="25" t="str">
        <f>IF(Table1120[[#This Row],[Account]]&lt;&gt;"",IF(Table1120[[#This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IF(Table1120[[#This Row],[Account]]&lt;&gt;"",$N$8,"")</f>
        <v/>
      </c>
      <c r="M105" s="18" t="str">
        <f>IF(Table1120[[#This Row],[Account]]&lt;&gt;"",J105+L105-$N$7,"")</f>
        <v/>
      </c>
      <c r="N105" s="19" t="str">
        <f>IF(Table1120[[#This Row],[Account]]&lt;&gt;"",IF(Table1120[[#This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IF(Table1120[[#This Row],[Account]]&lt;&gt;"",$N$8,"")</f>
        <v/>
      </c>
      <c r="M106" s="24" t="str">
        <f>IF(Table1120[[#This Row],[Account]]&lt;&gt;"",J106+L106-$N$7,"")</f>
        <v/>
      </c>
      <c r="N106" s="25" t="str">
        <f>IF(Table1120[[#This Row],[Account]]&lt;&gt;"",IF(Table1120[[#This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IF(Table1120[[#This Row],[Account]]&lt;&gt;"",$N$8,"")</f>
        <v/>
      </c>
      <c r="M107" s="18" t="str">
        <f>IF(Table1120[[#This Row],[Account]]&lt;&gt;"",J107+L107-$N$7,"")</f>
        <v/>
      </c>
      <c r="N107" s="19" t="str">
        <f>IF(Table1120[[#This Row],[Account]]&lt;&gt;"",IF(Table1120[[#This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IF(Table1120[[#This Row],[Account]]&lt;&gt;"",$N$8,"")</f>
        <v/>
      </c>
      <c r="M108" s="24" t="str">
        <f>IF(Table1120[[#This Row],[Account]]&lt;&gt;"",J108+L108-$N$7,"")</f>
        <v/>
      </c>
      <c r="N108" s="25" t="str">
        <f>IF(Table1120[[#This Row],[Account]]&lt;&gt;"",IF(Table1120[[#This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IF(Table1120[[#This Row],[Account]]&lt;&gt;"",$N$8,"")</f>
        <v/>
      </c>
      <c r="M109" s="18" t="str">
        <f>IF(Table1120[[#This Row],[Account]]&lt;&gt;"",J109+L109-$N$7,"")</f>
        <v/>
      </c>
      <c r="N109" s="19" t="str">
        <f>IF(Table1120[[#This Row],[Account]]&lt;&gt;"",IF(Table1120[[#This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IF(Table1120[[#This Row],[Account]]&lt;&gt;"",$N$8,"")</f>
        <v/>
      </c>
      <c r="M110" s="24" t="str">
        <f>IF(Table1120[[#This Row],[Account]]&lt;&gt;"",J110+L110-$N$7,"")</f>
        <v/>
      </c>
      <c r="N110" s="25" t="str">
        <f>IF(Table1120[[#This Row],[Account]]&lt;&gt;"",IF(Table1120[[#This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IF(Table1120[[#This Row],[Account]]&lt;&gt;"",$N$8,"")</f>
        <v/>
      </c>
      <c r="M111" s="18" t="str">
        <f>IF(Table1120[[#This Row],[Account]]&lt;&gt;"",J111+L111-$N$7,"")</f>
        <v/>
      </c>
      <c r="N111" s="19" t="str">
        <f>IF(Table1120[[#This Row],[Account]]&lt;&gt;"",IF(Table1120[[#This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IF(Table1120[[#This Row],[Account]]&lt;&gt;"",$N$8,"")</f>
        <v/>
      </c>
      <c r="M112" s="24" t="str">
        <f>IF(Table1120[[#This Row],[Account]]&lt;&gt;"",J112+L112-$N$7,"")</f>
        <v/>
      </c>
      <c r="N112" s="25" t="str">
        <f>IF(Table1120[[#This Row],[Account]]&lt;&gt;"",IF(Table1120[[#This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IF(Table1120[[#This Row],[Account]]&lt;&gt;"",$N$8,"")</f>
        <v/>
      </c>
      <c r="M113" s="18" t="str">
        <f>IF(Table1120[[#This Row],[Account]]&lt;&gt;"",J113+L113-$N$7,"")</f>
        <v/>
      </c>
      <c r="N113" s="19" t="str">
        <f>IF(Table1120[[#This Row],[Account]]&lt;&gt;"",IF(Table1120[[#This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-44.27</v>
      </c>
    </row>
    <row r="115" spans="2:17" ht="15.75" thickBot="1" x14ac:dyDescent="0.3">
      <c r="G115" s="30" t="s">
        <v>21</v>
      </c>
      <c r="H115" s="31"/>
      <c r="I115" s="32">
        <f>SUM(I15:I113)</f>
        <v>-44.27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-44.27</v>
      </c>
      <c r="J120" s="41">
        <f>SUM(D120:I120)</f>
        <v>-44.27</v>
      </c>
      <c r="K120" s="42">
        <f>SUM(H120:I120)</f>
        <v>-44.27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498798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1748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1749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498798</v>
      </c>
      <c r="D15" s="15" t="s">
        <v>1750</v>
      </c>
      <c r="E15" s="15" t="s">
        <v>1751</v>
      </c>
      <c r="F15" s="14" t="s">
        <v>1752</v>
      </c>
      <c r="G15" s="17">
        <v>43304</v>
      </c>
      <c r="H15" s="14">
        <v>7000123839</v>
      </c>
      <c r="I15" s="16">
        <v>-1050</v>
      </c>
      <c r="J15" s="17">
        <v>43304</v>
      </c>
      <c r="K15" s="17">
        <v>43304</v>
      </c>
      <c r="L15" s="14">
        <f>IF(Table1119[[#This Row],[Account]]&lt;&gt;"",$N$8,"")</f>
        <v>0</v>
      </c>
      <c r="M15" s="105">
        <f>IF(Table1119[[#This Row],[Account]]&lt;&gt;"",J15+L15-$N$7,"")</f>
        <v>-232</v>
      </c>
      <c r="N15" s="74" t="str">
        <f>IF(Table1119[[#This Row],[Account]]&lt;&gt;"",IF(Table1119[[#This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498798</v>
      </c>
      <c r="D16" s="21" t="s">
        <v>1750</v>
      </c>
      <c r="E16" s="21" t="s">
        <v>1751</v>
      </c>
      <c r="F16" s="20" t="s">
        <v>1753</v>
      </c>
      <c r="G16" s="23">
        <v>43304</v>
      </c>
      <c r="H16" s="20">
        <v>7000123840</v>
      </c>
      <c r="I16" s="22">
        <v>-1050</v>
      </c>
      <c r="J16" s="23">
        <v>43304</v>
      </c>
      <c r="K16" s="23">
        <v>43304</v>
      </c>
      <c r="L16" s="20">
        <f>IF(Table1119[[#This Row],[Account]]&lt;&gt;"",$N$8,"")</f>
        <v>0</v>
      </c>
      <c r="M16" s="24">
        <f>IF(Table1119[[#This Row],[Account]]&lt;&gt;"",J16+L16-$N$7,"")</f>
        <v>-232</v>
      </c>
      <c r="N16" s="25" t="str">
        <f>IF(Table1119[[#This Row],[Account]]&lt;&gt;"",IF(Table1119[[#This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-2100</v>
      </c>
    </row>
    <row r="18" spans="2:17" ht="15.75" thickBot="1" x14ac:dyDescent="0.3">
      <c r="G18" s="30" t="s">
        <v>21</v>
      </c>
      <c r="H18" s="31"/>
      <c r="I18" s="32">
        <f>SUM(I15:I16)</f>
        <v>-2100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-2100</v>
      </c>
      <c r="J23" s="41">
        <f>SUM(D23:I23)</f>
        <v>-2100</v>
      </c>
      <c r="K23" s="42">
        <f>SUM(H23:I23)</f>
        <v>-2100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498783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1739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1740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5" t="e">
        <f>IF(#REF!&lt;&gt;"",#REF!+1,"")</f>
        <v>#REF!</v>
      </c>
      <c r="C15" s="20">
        <v>498783</v>
      </c>
      <c r="D15" s="21" t="s">
        <v>1741</v>
      </c>
      <c r="E15" s="21" t="s">
        <v>1742</v>
      </c>
      <c r="F15" s="20" t="s">
        <v>1743</v>
      </c>
      <c r="G15" s="23">
        <v>43230</v>
      </c>
      <c r="H15" s="20">
        <v>9008270986</v>
      </c>
      <c r="I15" s="22">
        <v>6227.81</v>
      </c>
      <c r="J15" s="23">
        <v>43230</v>
      </c>
      <c r="K15" s="23">
        <v>43320</v>
      </c>
      <c r="L15" s="20">
        <f>IF(Table1118[[#This Row],[Account]]&lt;&gt;"",$N$8,"")</f>
        <v>0</v>
      </c>
      <c r="M15" s="24">
        <f>IF(Table1118[[#This Row],[Account]]&lt;&gt;"",J15+L15-$N$7,"")</f>
        <v>-306</v>
      </c>
      <c r="N15" s="25" t="str">
        <f>IF(Table1118[[#This Row],[Account]]&lt;&gt;"",IF(Table1118[[#This Row],[Aging ]]&lt;0,"OVERDUE","OK"),"")</f>
        <v>OVERDUE</v>
      </c>
    </row>
    <row r="16" spans="2:14" ht="15.75" thickBot="1" x14ac:dyDescent="0.3">
      <c r="B16" s="114" t="e">
        <f t="shared" ref="B16:B19" si="0">IF(C15&lt;&gt;"",B15+1,"")</f>
        <v>#REF!</v>
      </c>
      <c r="C16" s="14">
        <v>498783</v>
      </c>
      <c r="D16" s="15" t="s">
        <v>1741</v>
      </c>
      <c r="E16" s="15" t="s">
        <v>1742</v>
      </c>
      <c r="F16" s="14" t="s">
        <v>1744</v>
      </c>
      <c r="G16" s="17">
        <v>43293</v>
      </c>
      <c r="H16" s="14">
        <v>9009279549</v>
      </c>
      <c r="I16" s="16">
        <v>6227.81</v>
      </c>
      <c r="J16" s="17">
        <v>43293</v>
      </c>
      <c r="K16" s="17">
        <v>43383</v>
      </c>
      <c r="L16" s="14">
        <f>IF(Table1118[[#This Row],[Account]]&lt;&gt;"",$N$8,"")</f>
        <v>0</v>
      </c>
      <c r="M16" s="18">
        <f>IF(Table1118[[#This Row],[Account]]&lt;&gt;"",J16+L16-$N$7,"")</f>
        <v>-243</v>
      </c>
      <c r="N16" s="19" t="str">
        <f>IF(Table1118[[#This Row],[Account]]&lt;&gt;"",IF(Table1118[[#This Row],[Aging ]]&lt;0,"OVERDUE","OK"),"")</f>
        <v>OVERDUE</v>
      </c>
    </row>
    <row r="17" spans="2:17" ht="15.75" thickBot="1" x14ac:dyDescent="0.3">
      <c r="B17" s="115" t="e">
        <f t="shared" si="0"/>
        <v>#REF!</v>
      </c>
      <c r="C17" s="20">
        <v>498783</v>
      </c>
      <c r="D17" s="21" t="s">
        <v>1741</v>
      </c>
      <c r="E17" s="21" t="s">
        <v>1742</v>
      </c>
      <c r="F17" s="20" t="s">
        <v>1745</v>
      </c>
      <c r="G17" s="23">
        <v>43301</v>
      </c>
      <c r="H17" s="20">
        <v>9009391439</v>
      </c>
      <c r="I17" s="22">
        <v>6227.81</v>
      </c>
      <c r="J17" s="23">
        <v>43301</v>
      </c>
      <c r="K17" s="23">
        <v>43391</v>
      </c>
      <c r="L17" s="20">
        <f>IF(Table1118[[#This Row],[Account]]&lt;&gt;"",$N$8,"")</f>
        <v>0</v>
      </c>
      <c r="M17" s="24">
        <f>IF(Table1118[[#This Row],[Account]]&lt;&gt;"",J17+L17-$N$7,"")</f>
        <v>-235</v>
      </c>
      <c r="N17" s="25" t="str">
        <f>IF(Table1118[[#This Row],[Account]]&lt;&gt;"",IF(Table1118[[#This Row],[Aging ]]&lt;0,"OVERDUE","OK"),"")</f>
        <v>OVERDUE</v>
      </c>
    </row>
    <row r="18" spans="2:17" ht="15.75" thickBot="1" x14ac:dyDescent="0.3">
      <c r="B18" s="114" t="e">
        <f t="shared" si="0"/>
        <v>#REF!</v>
      </c>
      <c r="C18" s="14">
        <v>498783</v>
      </c>
      <c r="D18" s="15" t="s">
        <v>1741</v>
      </c>
      <c r="E18" s="15" t="s">
        <v>1742</v>
      </c>
      <c r="F18" s="14" t="s">
        <v>1746</v>
      </c>
      <c r="G18" s="17">
        <v>43399</v>
      </c>
      <c r="H18" s="14">
        <v>7000199088</v>
      </c>
      <c r="I18" s="16">
        <v>1050</v>
      </c>
      <c r="J18" s="17">
        <v>43399</v>
      </c>
      <c r="K18" s="17">
        <v>43429</v>
      </c>
      <c r="L18" s="14">
        <f>IF(Table1118[[#This Row],[Account]]&lt;&gt;"",$N$8,"")</f>
        <v>0</v>
      </c>
      <c r="M18" s="18">
        <f>IF(Table1118[[#This Row],[Account]]&lt;&gt;"",J18+L18-$N$7,"")</f>
        <v>-137</v>
      </c>
      <c r="N18" s="19" t="str">
        <f>IF(Table1118[[#This Row],[Account]]&lt;&gt;"",IF(Table1118[[#This Row],[Aging ]]&lt;0,"OVERDUE","OK"),"")</f>
        <v>OVERDUE</v>
      </c>
    </row>
    <row r="19" spans="2:17" ht="15.75" thickBot="1" x14ac:dyDescent="0.3">
      <c r="B19" s="115" t="e">
        <f t="shared" si="0"/>
        <v>#REF!</v>
      </c>
      <c r="C19" s="20">
        <v>498783</v>
      </c>
      <c r="D19" s="21" t="s">
        <v>1741</v>
      </c>
      <c r="E19" s="21" t="s">
        <v>1742</v>
      </c>
      <c r="F19" s="20" t="s">
        <v>1747</v>
      </c>
      <c r="G19" s="23">
        <v>43399</v>
      </c>
      <c r="H19" s="20">
        <v>7000199089</v>
      </c>
      <c r="I19" s="22">
        <v>1050</v>
      </c>
      <c r="J19" s="23">
        <v>43399</v>
      </c>
      <c r="K19" s="23">
        <v>43429</v>
      </c>
      <c r="L19" s="20">
        <f>IF(Table1118[[#This Row],[Account]]&lt;&gt;"",$N$8,"")</f>
        <v>0</v>
      </c>
      <c r="M19" s="24">
        <f>IF(Table1118[[#This Row],[Account]]&lt;&gt;"",J19+L19-$N$7,"")</f>
        <v>-137</v>
      </c>
      <c r="N19" s="25" t="str">
        <f>IF(Table1118[[#This Row],[Account]]&lt;&gt;"",IF(Table1118[[#This Row],[Aging ]]&lt;0,"OVERDUE","OK"),"")</f>
        <v>OVERDUE</v>
      </c>
    </row>
    <row r="20" spans="2:17" ht="15.75" thickBot="1" x14ac:dyDescent="0.3">
      <c r="G20" s="27" t="s">
        <v>20</v>
      </c>
      <c r="H20" s="28"/>
      <c r="I20" s="29">
        <f>SUM(I15:I19)</f>
        <v>20783.43</v>
      </c>
      <c r="Q20" s="26"/>
    </row>
    <row r="21" spans="2:17" ht="15.75" thickBot="1" x14ac:dyDescent="0.3">
      <c r="G21" s="30" t="s">
        <v>21</v>
      </c>
      <c r="H21" s="31"/>
      <c r="I21" s="32">
        <f>SUM(I15:I19)</f>
        <v>20783.43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2" t="s">
        <v>23</v>
      </c>
      <c r="C25" s="112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2"/>
      <c r="C26" s="113"/>
      <c r="D26" s="39">
        <f>SUMIFS(I15:I19,M15:M19,"&gt;="&amp;0)</f>
        <v>0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0</v>
      </c>
      <c r="H26" s="39">
        <f>SUMIFS(I15:I19,M15:M19,"&gt;="&amp;-120,M15:M19,"&lt;="&amp;-91)</f>
        <v>0</v>
      </c>
      <c r="I26" s="39">
        <f>SUMIFS(I15:I19,M15:M19,"&lt;="&amp;-121)</f>
        <v>20783.43</v>
      </c>
      <c r="J26" s="41">
        <f>SUM(D26:I26)</f>
        <v>20783.43</v>
      </c>
      <c r="K26" s="42">
        <f>SUM(H26:I26)</f>
        <v>20783.43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1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482734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1711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1712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5" t="e">
        <f>IF(#REF!&lt;&gt;"",#REF!+1,"")</f>
        <v>#REF!</v>
      </c>
      <c r="C15" s="20">
        <v>482734</v>
      </c>
      <c r="D15" s="21" t="s">
        <v>1713</v>
      </c>
      <c r="E15" s="21" t="s">
        <v>1714</v>
      </c>
      <c r="F15" s="20" t="s">
        <v>1716</v>
      </c>
      <c r="G15" s="23">
        <v>43027</v>
      </c>
      <c r="H15" s="20">
        <v>9005351229</v>
      </c>
      <c r="I15" s="22">
        <v>475</v>
      </c>
      <c r="J15" s="23">
        <v>43027</v>
      </c>
      <c r="K15" s="23">
        <v>43117</v>
      </c>
      <c r="L15" s="20">
        <f>IF(Table1117[[#This Row],[Account]]&lt;&gt;"",$N$8,"")</f>
        <v>0</v>
      </c>
      <c r="M15" s="24">
        <f>IF(Table1117[[#This Row],[Account]]&lt;&gt;"",J15+L15-$N$7,"")</f>
        <v>-509</v>
      </c>
      <c r="N15" s="25" t="str">
        <f>IF(Table1117[[#This Row],[Account]]&lt;&gt;"",IF(Table1117[[#This Row],[Aging ]]&lt;0,"OVERDUE","OK"),"")</f>
        <v>OVERDUE</v>
      </c>
    </row>
    <row r="16" spans="2:14" ht="15.75" thickBot="1" x14ac:dyDescent="0.3">
      <c r="B16" s="114" t="e">
        <f t="shared" ref="B16:B38" si="0">IF(C15&lt;&gt;"",B15+1,"")</f>
        <v>#REF!</v>
      </c>
      <c r="C16" s="14">
        <v>482734</v>
      </c>
      <c r="D16" s="15" t="s">
        <v>1713</v>
      </c>
      <c r="E16" s="15" t="s">
        <v>1714</v>
      </c>
      <c r="F16" s="14" t="s">
        <v>1715</v>
      </c>
      <c r="G16" s="17">
        <v>43027</v>
      </c>
      <c r="H16" s="14">
        <v>9005351232</v>
      </c>
      <c r="I16" s="16">
        <v>3737.5</v>
      </c>
      <c r="J16" s="17">
        <v>43027</v>
      </c>
      <c r="K16" s="17">
        <v>43117</v>
      </c>
      <c r="L16" s="14">
        <f>IF(Table1117[[#This Row],[Account]]&lt;&gt;"",$N$8,"")</f>
        <v>0</v>
      </c>
      <c r="M16" s="18">
        <f>IF(Table1117[[#This Row],[Account]]&lt;&gt;"",J16+L16-$N$7,"")</f>
        <v>-509</v>
      </c>
      <c r="N16" s="19" t="str">
        <f>IF(Table1117[[#This Row],[Account]]&lt;&gt;"",IF(Table1117[[#This Row],[Aging ]]&lt;0,"OVERDUE","OK"),"")</f>
        <v>OVERDUE</v>
      </c>
    </row>
    <row r="17" spans="2:17" ht="15.75" thickBot="1" x14ac:dyDescent="0.3">
      <c r="B17" s="115" t="e">
        <f t="shared" si="0"/>
        <v>#REF!</v>
      </c>
      <c r="C17" s="20">
        <v>482734</v>
      </c>
      <c r="D17" s="21" t="s">
        <v>1713</v>
      </c>
      <c r="E17" s="21" t="s">
        <v>1714</v>
      </c>
      <c r="F17" s="20" t="s">
        <v>1717</v>
      </c>
      <c r="G17" s="23">
        <v>43034</v>
      </c>
      <c r="H17" s="20">
        <v>9005456894</v>
      </c>
      <c r="I17" s="22">
        <v>475</v>
      </c>
      <c r="J17" s="23">
        <v>43034</v>
      </c>
      <c r="K17" s="23">
        <v>43124</v>
      </c>
      <c r="L17" s="20">
        <f>IF(Table1117[[#This Row],[Account]]&lt;&gt;"",$N$8,"")</f>
        <v>0</v>
      </c>
      <c r="M17" s="24">
        <f>IF(Table1117[[#This Row],[Account]]&lt;&gt;"",J17+L17-$N$7,"")</f>
        <v>-502</v>
      </c>
      <c r="N17" s="25" t="str">
        <f>IF(Table1117[[#This Row],[Account]]&lt;&gt;"",IF(Table1117[[#This Row],[Aging ]]&lt;0,"OVERDUE","OK"),"")</f>
        <v>OVERDUE</v>
      </c>
    </row>
    <row r="18" spans="2:17" ht="15.75" thickBot="1" x14ac:dyDescent="0.3">
      <c r="B18" s="114" t="e">
        <f t="shared" si="0"/>
        <v>#REF!</v>
      </c>
      <c r="C18" s="14">
        <v>482734</v>
      </c>
      <c r="D18" s="15" t="s">
        <v>1713</v>
      </c>
      <c r="E18" s="15" t="s">
        <v>1714</v>
      </c>
      <c r="F18" s="14" t="s">
        <v>1718</v>
      </c>
      <c r="G18" s="17">
        <v>43034</v>
      </c>
      <c r="H18" s="14">
        <v>9005456895</v>
      </c>
      <c r="I18" s="16">
        <v>5931.25</v>
      </c>
      <c r="J18" s="17">
        <v>43034</v>
      </c>
      <c r="K18" s="17">
        <v>43124</v>
      </c>
      <c r="L18" s="14">
        <f>IF(Table1117[[#This Row],[Account]]&lt;&gt;"",$N$8,"")</f>
        <v>0</v>
      </c>
      <c r="M18" s="18">
        <f>IF(Table1117[[#This Row],[Account]]&lt;&gt;"",J18+L18-$N$7,"")</f>
        <v>-502</v>
      </c>
      <c r="N18" s="19" t="str">
        <f>IF(Table1117[[#This Row],[Account]]&lt;&gt;"",IF(Table1117[[#This Row],[Aging ]]&lt;0,"OVERDUE","OK"),"")</f>
        <v>OVERDUE</v>
      </c>
    </row>
    <row r="19" spans="2:17" ht="15.75" thickBot="1" x14ac:dyDescent="0.3">
      <c r="B19" s="115" t="e">
        <f t="shared" si="0"/>
        <v>#REF!</v>
      </c>
      <c r="C19" s="20">
        <v>482734</v>
      </c>
      <c r="D19" s="21" t="s">
        <v>1713</v>
      </c>
      <c r="E19" s="21" t="s">
        <v>1714</v>
      </c>
      <c r="F19" s="20" t="s">
        <v>1719</v>
      </c>
      <c r="G19" s="23">
        <v>43034</v>
      </c>
      <c r="H19" s="20">
        <v>9005456896</v>
      </c>
      <c r="I19" s="22">
        <v>487.5</v>
      </c>
      <c r="J19" s="23">
        <v>43034</v>
      </c>
      <c r="K19" s="23">
        <v>43124</v>
      </c>
      <c r="L19" s="20">
        <f>IF(Table1117[[#This Row],[Account]]&lt;&gt;"",$N$8,"")</f>
        <v>0</v>
      </c>
      <c r="M19" s="24">
        <f>IF(Table1117[[#This Row],[Account]]&lt;&gt;"",J19+L19-$N$7,"")</f>
        <v>-502</v>
      </c>
      <c r="N19" s="25" t="str">
        <f>IF(Table1117[[#This Row],[Account]]&lt;&gt;"",IF(Table1117[[#This Row],[Aging ]]&lt;0,"OVERDUE","OK"),"")</f>
        <v>OVERDUE</v>
      </c>
    </row>
    <row r="20" spans="2:17" ht="15.75" thickBot="1" x14ac:dyDescent="0.3">
      <c r="B20" s="114" t="e">
        <f t="shared" si="0"/>
        <v>#REF!</v>
      </c>
      <c r="C20" s="14">
        <v>482734</v>
      </c>
      <c r="D20" s="15" t="s">
        <v>1713</v>
      </c>
      <c r="E20" s="15" t="s">
        <v>1714</v>
      </c>
      <c r="F20" s="14" t="s">
        <v>1720</v>
      </c>
      <c r="G20" s="17">
        <v>43096</v>
      </c>
      <c r="H20" s="14">
        <v>7000097689</v>
      </c>
      <c r="I20" s="16">
        <v>1000</v>
      </c>
      <c r="J20" s="17">
        <v>43096</v>
      </c>
      <c r="K20" s="17">
        <v>43126</v>
      </c>
      <c r="L20" s="14">
        <f>IF(Table1117[[#This Row],[Account]]&lt;&gt;"",$N$8,"")</f>
        <v>0</v>
      </c>
      <c r="M20" s="18">
        <f>IF(Table1117[[#This Row],[Account]]&lt;&gt;"",J20+L20-$N$7,"")</f>
        <v>-440</v>
      </c>
      <c r="N20" s="19" t="str">
        <f>IF(Table1117[[#This Row],[Account]]&lt;&gt;"",IF(Table1117[[#This Row],[Aging ]]&lt;0,"OVERDUE","OK"),"")</f>
        <v>OVERDUE</v>
      </c>
      <c r="Q20" s="26"/>
    </row>
    <row r="21" spans="2:17" ht="15.75" thickBot="1" x14ac:dyDescent="0.3">
      <c r="B21" s="115" t="e">
        <f t="shared" si="0"/>
        <v>#REF!</v>
      </c>
      <c r="C21" s="20">
        <v>482734</v>
      </c>
      <c r="D21" s="21" t="s">
        <v>1713</v>
      </c>
      <c r="E21" s="21" t="s">
        <v>1714</v>
      </c>
      <c r="F21" s="20" t="s">
        <v>1721</v>
      </c>
      <c r="G21" s="23">
        <v>43041</v>
      </c>
      <c r="H21" s="20">
        <v>9005556395</v>
      </c>
      <c r="I21" s="22">
        <v>3737.5</v>
      </c>
      <c r="J21" s="23">
        <v>43041</v>
      </c>
      <c r="K21" s="23">
        <v>43131</v>
      </c>
      <c r="L21" s="20">
        <f>IF(Table1117[[#This Row],[Account]]&lt;&gt;"",$N$8,"")</f>
        <v>0</v>
      </c>
      <c r="M21" s="24">
        <f>IF(Table1117[[#This Row],[Account]]&lt;&gt;"",J21+L21-$N$7,"")</f>
        <v>-495</v>
      </c>
      <c r="N21" s="25" t="str">
        <f>IF(Table1117[[#This Row],[Account]]&lt;&gt;"",IF(Table1117[[#This Row],[Aging ]]&lt;0,"OVERDUE","OK"),"")</f>
        <v>OVERDUE</v>
      </c>
      <c r="Q21" s="26"/>
    </row>
    <row r="22" spans="2:17" ht="15.75" thickBot="1" x14ac:dyDescent="0.3">
      <c r="B22" s="114" t="e">
        <f t="shared" si="0"/>
        <v>#REF!</v>
      </c>
      <c r="C22" s="14">
        <v>482734</v>
      </c>
      <c r="D22" s="15" t="s">
        <v>1713</v>
      </c>
      <c r="E22" s="15" t="s">
        <v>1714</v>
      </c>
      <c r="F22" s="14" t="s">
        <v>1722</v>
      </c>
      <c r="G22" s="17">
        <v>43041</v>
      </c>
      <c r="H22" s="14">
        <v>9005556397</v>
      </c>
      <c r="I22" s="16">
        <v>4562.5</v>
      </c>
      <c r="J22" s="17">
        <v>43041</v>
      </c>
      <c r="K22" s="17">
        <v>43131</v>
      </c>
      <c r="L22" s="14">
        <f>IF(Table1117[[#This Row],[Account]]&lt;&gt;"",$N$8,"")</f>
        <v>0</v>
      </c>
      <c r="M22" s="18">
        <f>IF(Table1117[[#This Row],[Account]]&lt;&gt;"",J22+L22-$N$7,"")</f>
        <v>-495</v>
      </c>
      <c r="N22" s="19" t="str">
        <f>IF(Table1117[[#This Row],[Account]]&lt;&gt;"",IF(Table1117[[#This Row],[Aging ]]&lt;0,"OVERDUE","OK"),"")</f>
        <v>OVERDUE</v>
      </c>
      <c r="Q22" s="26"/>
    </row>
    <row r="23" spans="2:17" ht="15.75" thickBot="1" x14ac:dyDescent="0.3">
      <c r="B23" s="115" t="e">
        <f t="shared" si="0"/>
        <v>#REF!</v>
      </c>
      <c r="C23" s="20">
        <v>482734</v>
      </c>
      <c r="D23" s="21" t="s">
        <v>1713</v>
      </c>
      <c r="E23" s="21" t="s">
        <v>1714</v>
      </c>
      <c r="F23" s="20" t="s">
        <v>1723</v>
      </c>
      <c r="G23" s="23">
        <v>43041</v>
      </c>
      <c r="H23" s="20">
        <v>9005556398</v>
      </c>
      <c r="I23" s="22">
        <v>4562.5</v>
      </c>
      <c r="J23" s="23">
        <v>43041</v>
      </c>
      <c r="K23" s="23">
        <v>43131</v>
      </c>
      <c r="L23" s="20">
        <f>IF(Table1117[[#This Row],[Account]]&lt;&gt;"",$N$8,"")</f>
        <v>0</v>
      </c>
      <c r="M23" s="24">
        <f>IF(Table1117[[#This Row],[Account]]&lt;&gt;"",J23+L23-$N$7,"")</f>
        <v>-495</v>
      </c>
      <c r="N23" s="25" t="str">
        <f>IF(Table1117[[#This Row],[Account]]&lt;&gt;"",IF(Table1117[[#This Row],[Aging ]]&lt;0,"OVERDUE","OK"),"")</f>
        <v>OVERDUE</v>
      </c>
      <c r="Q23" s="26"/>
    </row>
    <row r="24" spans="2:17" ht="15.75" thickBot="1" x14ac:dyDescent="0.3">
      <c r="B24" s="114" t="e">
        <f t="shared" si="0"/>
        <v>#REF!</v>
      </c>
      <c r="C24" s="14">
        <v>482734</v>
      </c>
      <c r="D24" s="15" t="s">
        <v>1713</v>
      </c>
      <c r="E24" s="15" t="s">
        <v>1714</v>
      </c>
      <c r="F24" s="14" t="s">
        <v>1724</v>
      </c>
      <c r="G24" s="17">
        <v>43041</v>
      </c>
      <c r="H24" s="14">
        <v>9005556399</v>
      </c>
      <c r="I24" s="16">
        <v>4562.5</v>
      </c>
      <c r="J24" s="17">
        <v>43041</v>
      </c>
      <c r="K24" s="17">
        <v>43131</v>
      </c>
      <c r="L24" s="14">
        <f>IF(Table1117[[#This Row],[Account]]&lt;&gt;"",$N$8,"")</f>
        <v>0</v>
      </c>
      <c r="M24" s="18">
        <f>IF(Table1117[[#This Row],[Account]]&lt;&gt;"",J24+L24-$N$7,"")</f>
        <v>-495</v>
      </c>
      <c r="N24" s="19" t="str">
        <f>IF(Table1117[[#This Row],[Account]]&lt;&gt;"",IF(Table1117[[#This Row],[Aging ]]&lt;0,"OVERDUE","OK"),"")</f>
        <v>OVERDUE</v>
      </c>
      <c r="Q24" s="26"/>
    </row>
    <row r="25" spans="2:17" ht="15.75" thickBot="1" x14ac:dyDescent="0.3">
      <c r="B25" s="115" t="e">
        <f t="shared" si="0"/>
        <v>#REF!</v>
      </c>
      <c r="C25" s="20">
        <v>482734</v>
      </c>
      <c r="D25" s="21" t="s">
        <v>1713</v>
      </c>
      <c r="E25" s="21" t="s">
        <v>1714</v>
      </c>
      <c r="F25" s="20" t="s">
        <v>1725</v>
      </c>
      <c r="G25" s="23">
        <v>43048</v>
      </c>
      <c r="H25" s="20">
        <v>9005644575</v>
      </c>
      <c r="I25" s="22">
        <v>4562.5</v>
      </c>
      <c r="J25" s="23">
        <v>43048</v>
      </c>
      <c r="K25" s="23">
        <v>43138</v>
      </c>
      <c r="L25" s="20">
        <f>IF(Table1117[[#This Row],[Account]]&lt;&gt;"",$N$8,"")</f>
        <v>0</v>
      </c>
      <c r="M25" s="24">
        <f>IF(Table1117[[#This Row],[Account]]&lt;&gt;"",J25+L25-$N$7,"")</f>
        <v>-488</v>
      </c>
      <c r="N25" s="25" t="str">
        <f>IF(Table1117[[#This Row],[Account]]&lt;&gt;"",IF(Table1117[[#This Row],[Aging ]]&lt;0,"OVERDUE","OK"),"")</f>
        <v>OVERDUE</v>
      </c>
      <c r="Q25" s="26"/>
    </row>
    <row r="26" spans="2:17" ht="15.75" thickBot="1" x14ac:dyDescent="0.3">
      <c r="B26" s="114" t="e">
        <f t="shared" si="0"/>
        <v>#REF!</v>
      </c>
      <c r="C26" s="14">
        <v>482734</v>
      </c>
      <c r="D26" s="15" t="s">
        <v>1713</v>
      </c>
      <c r="E26" s="15" t="s">
        <v>1714</v>
      </c>
      <c r="F26" s="14" t="s">
        <v>1726</v>
      </c>
      <c r="G26" s="17">
        <v>43055</v>
      </c>
      <c r="H26" s="14">
        <v>9005732663</v>
      </c>
      <c r="I26" s="16">
        <v>702</v>
      </c>
      <c r="J26" s="17">
        <v>43055</v>
      </c>
      <c r="K26" s="17">
        <v>43145</v>
      </c>
      <c r="L26" s="14">
        <f>IF(Table1117[[#This Row],[Account]]&lt;&gt;"",$N$8,"")</f>
        <v>0</v>
      </c>
      <c r="M26" s="18">
        <f>IF(Table1117[[#This Row],[Account]]&lt;&gt;"",J26+L26-$N$7,"")</f>
        <v>-481</v>
      </c>
      <c r="N26" s="19" t="str">
        <f>IF(Table1117[[#This Row],[Account]]&lt;&gt;"",IF(Table1117[[#This Row],[Aging ]]&lt;0,"OVERDUE","OK"),"")</f>
        <v>OVERDUE</v>
      </c>
      <c r="Q26" s="26"/>
    </row>
    <row r="27" spans="2:17" ht="15.75" thickBot="1" x14ac:dyDescent="0.3">
      <c r="B27" s="115" t="e">
        <f t="shared" si="0"/>
        <v>#REF!</v>
      </c>
      <c r="C27" s="20">
        <v>482734</v>
      </c>
      <c r="D27" s="21" t="s">
        <v>1713</v>
      </c>
      <c r="E27" s="21" t="s">
        <v>1714</v>
      </c>
      <c r="F27" s="20" t="s">
        <v>1727</v>
      </c>
      <c r="G27" s="23">
        <v>43097</v>
      </c>
      <c r="H27" s="20">
        <v>9006291430</v>
      </c>
      <c r="I27" s="22">
        <v>3737.5</v>
      </c>
      <c r="J27" s="23">
        <v>43097</v>
      </c>
      <c r="K27" s="23">
        <v>43187</v>
      </c>
      <c r="L27" s="20">
        <f>IF(Table1117[[#This Row],[Account]]&lt;&gt;"",$N$8,"")</f>
        <v>0</v>
      </c>
      <c r="M27" s="24">
        <f>IF(Table1117[[#This Row],[Account]]&lt;&gt;"",J27+L27-$N$7,"")</f>
        <v>-439</v>
      </c>
      <c r="N27" s="25" t="str">
        <f>IF(Table1117[[#This Row],[Account]]&lt;&gt;"",IF(Table1117[[#This Row],[Aging ]]&lt;0,"OVERDUE","OK"),"")</f>
        <v>OVERDUE</v>
      </c>
      <c r="Q27" s="26"/>
    </row>
    <row r="28" spans="2:17" ht="15.75" thickBot="1" x14ac:dyDescent="0.3">
      <c r="B28" s="114" t="e">
        <f t="shared" si="0"/>
        <v>#REF!</v>
      </c>
      <c r="C28" s="14">
        <v>482734</v>
      </c>
      <c r="D28" s="15" t="s">
        <v>1713</v>
      </c>
      <c r="E28" s="15" t="s">
        <v>1714</v>
      </c>
      <c r="F28" s="14" t="s">
        <v>1728</v>
      </c>
      <c r="G28" s="17">
        <v>43097</v>
      </c>
      <c r="H28" s="14">
        <v>9006291431</v>
      </c>
      <c r="I28" s="16">
        <v>5931.25</v>
      </c>
      <c r="J28" s="17">
        <v>43097</v>
      </c>
      <c r="K28" s="17">
        <v>43187</v>
      </c>
      <c r="L28" s="14">
        <f>IF(Table1117[[#This Row],[Account]]&lt;&gt;"",$N$8,"")</f>
        <v>0</v>
      </c>
      <c r="M28" s="18">
        <f>IF(Table1117[[#This Row],[Account]]&lt;&gt;"",J28+L28-$N$7,"")</f>
        <v>-439</v>
      </c>
      <c r="N28" s="19" t="str">
        <f>IF(Table1117[[#This Row],[Account]]&lt;&gt;"",IF(Table1117[[#This Row],[Aging ]]&lt;0,"OVERDUE","OK"),"")</f>
        <v>OVERDUE</v>
      </c>
      <c r="Q28" s="26"/>
    </row>
    <row r="29" spans="2:17" ht="15.75" thickBot="1" x14ac:dyDescent="0.3">
      <c r="B29" s="115" t="e">
        <f t="shared" si="0"/>
        <v>#REF!</v>
      </c>
      <c r="C29" s="20">
        <v>482734</v>
      </c>
      <c r="D29" s="21" t="s">
        <v>1713</v>
      </c>
      <c r="E29" s="21" t="s">
        <v>1714</v>
      </c>
      <c r="F29" s="20" t="s">
        <v>1729</v>
      </c>
      <c r="G29" s="23">
        <v>43097</v>
      </c>
      <c r="H29" s="20">
        <v>9006291432</v>
      </c>
      <c r="I29" s="22">
        <v>4562.5</v>
      </c>
      <c r="J29" s="23">
        <v>43097</v>
      </c>
      <c r="K29" s="23">
        <v>43187</v>
      </c>
      <c r="L29" s="20">
        <f>IF(Table1117[[#This Row],[Account]]&lt;&gt;"",$N$8,"")</f>
        <v>0</v>
      </c>
      <c r="M29" s="24">
        <f>IF(Table1117[[#This Row],[Account]]&lt;&gt;"",J29+L29-$N$7,"")</f>
        <v>-439</v>
      </c>
      <c r="N29" s="25" t="str">
        <f>IF(Table1117[[#This Row],[Account]]&lt;&gt;"",IF(Table1117[[#This Row],[Aging ]]&lt;0,"OVERDUE","OK"),"")</f>
        <v>OVERDUE</v>
      </c>
      <c r="Q29" s="26"/>
    </row>
    <row r="30" spans="2:17" ht="15.75" thickBot="1" x14ac:dyDescent="0.3">
      <c r="B30" s="114" t="e">
        <f t="shared" si="0"/>
        <v>#REF!</v>
      </c>
      <c r="C30" s="14">
        <v>482734</v>
      </c>
      <c r="D30" s="15" t="s">
        <v>1713</v>
      </c>
      <c r="E30" s="15" t="s">
        <v>1714</v>
      </c>
      <c r="F30" s="14" t="s">
        <v>1730</v>
      </c>
      <c r="G30" s="17">
        <v>43118</v>
      </c>
      <c r="H30" s="14">
        <v>9006535530</v>
      </c>
      <c r="I30" s="16">
        <v>6227.81</v>
      </c>
      <c r="J30" s="17">
        <v>43118</v>
      </c>
      <c r="K30" s="17">
        <v>43208</v>
      </c>
      <c r="L30" s="14">
        <f>IF(Table1117[[#This Row],[Account]]&lt;&gt;"",$N$8,"")</f>
        <v>0</v>
      </c>
      <c r="M30" s="18">
        <f>IF(Table1117[[#This Row],[Account]]&lt;&gt;"",J30+L30-$N$7,"")</f>
        <v>-418</v>
      </c>
      <c r="N30" s="19" t="str">
        <f>IF(Table1117[[#This Row],[Account]]&lt;&gt;"",IF(Table1117[[#This Row],[Aging ]]&lt;0,"OVERDUE","OK"),"")</f>
        <v>OVERDUE</v>
      </c>
      <c r="Q30" s="26"/>
    </row>
    <row r="31" spans="2:17" ht="15.75" thickBot="1" x14ac:dyDescent="0.3">
      <c r="B31" s="115" t="e">
        <f t="shared" si="0"/>
        <v>#REF!</v>
      </c>
      <c r="C31" s="20">
        <v>482734</v>
      </c>
      <c r="D31" s="21" t="s">
        <v>1713</v>
      </c>
      <c r="E31" s="21" t="s">
        <v>1714</v>
      </c>
      <c r="F31" s="20" t="s">
        <v>1731</v>
      </c>
      <c r="G31" s="23">
        <v>43119</v>
      </c>
      <c r="H31" s="20">
        <v>9006550841</v>
      </c>
      <c r="I31" s="22">
        <v>2098.69</v>
      </c>
      <c r="J31" s="23">
        <v>43119</v>
      </c>
      <c r="K31" s="23">
        <v>43209</v>
      </c>
      <c r="L31" s="20">
        <f>IF(Table1117[[#This Row],[Account]]&lt;&gt;"",$N$8,"")</f>
        <v>0</v>
      </c>
      <c r="M31" s="24">
        <f>IF(Table1117[[#This Row],[Account]]&lt;&gt;"",J31+L31-$N$7,"")</f>
        <v>-417</v>
      </c>
      <c r="N31" s="25" t="str">
        <f>IF(Table1117[[#This Row],[Account]]&lt;&gt;"",IF(Table1117[[#This Row],[Aging ]]&lt;0,"OVERDUE","OK"),"")</f>
        <v>OVERDUE</v>
      </c>
      <c r="Q31" s="26"/>
    </row>
    <row r="32" spans="2:17" ht="15.75" thickBot="1" x14ac:dyDescent="0.3">
      <c r="B32" s="114" t="e">
        <f t="shared" si="0"/>
        <v>#REF!</v>
      </c>
      <c r="C32" s="14">
        <v>482734</v>
      </c>
      <c r="D32" s="15" t="s">
        <v>1713</v>
      </c>
      <c r="E32" s="15" t="s">
        <v>1714</v>
      </c>
      <c r="F32" s="14" t="s">
        <v>1732</v>
      </c>
      <c r="G32" s="17">
        <v>43126</v>
      </c>
      <c r="H32" s="14">
        <v>9006653002</v>
      </c>
      <c r="I32" s="16">
        <v>2098.69</v>
      </c>
      <c r="J32" s="17">
        <v>43126</v>
      </c>
      <c r="K32" s="17">
        <v>43216</v>
      </c>
      <c r="L32" s="14">
        <f>IF(Table1117[[#This Row],[Account]]&lt;&gt;"",$N$8,"")</f>
        <v>0</v>
      </c>
      <c r="M32" s="18">
        <f>IF(Table1117[[#This Row],[Account]]&lt;&gt;"",J32+L32-$N$7,"")</f>
        <v>-410</v>
      </c>
      <c r="N32" s="19" t="str">
        <f>IF(Table1117[[#This Row],[Account]]&lt;&gt;"",IF(Table1117[[#This Row],[Aging ]]&lt;0,"OVERDUE","OK"),"")</f>
        <v>OVERDUE</v>
      </c>
      <c r="Q32" s="26"/>
    </row>
    <row r="33" spans="2:17" ht="15.75" thickBot="1" x14ac:dyDescent="0.3">
      <c r="B33" s="115" t="e">
        <f t="shared" si="0"/>
        <v>#REF!</v>
      </c>
      <c r="C33" s="20">
        <v>482734</v>
      </c>
      <c r="D33" s="21" t="s">
        <v>1713</v>
      </c>
      <c r="E33" s="21" t="s">
        <v>1714</v>
      </c>
      <c r="F33" s="20" t="s">
        <v>1733</v>
      </c>
      <c r="G33" s="23">
        <v>43140</v>
      </c>
      <c r="H33" s="20">
        <v>9006864523</v>
      </c>
      <c r="I33" s="22">
        <v>3924.38</v>
      </c>
      <c r="J33" s="23">
        <v>43140</v>
      </c>
      <c r="K33" s="23">
        <v>43230</v>
      </c>
      <c r="L33" s="20">
        <f>IF(Table1117[[#This Row],[Account]]&lt;&gt;"",$N$8,"")</f>
        <v>0</v>
      </c>
      <c r="M33" s="24">
        <f>IF(Table1117[[#This Row],[Account]]&lt;&gt;"",J33+L33-$N$7,"")</f>
        <v>-396</v>
      </c>
      <c r="N33" s="25" t="str">
        <f>IF(Table1117[[#This Row],[Account]]&lt;&gt;"",IF(Table1117[[#This Row],[Aging ]]&lt;0,"OVERDUE","OK"),"")</f>
        <v>OVERDUE</v>
      </c>
      <c r="Q33" s="26"/>
    </row>
    <row r="34" spans="2:17" ht="15.75" thickBot="1" x14ac:dyDescent="0.3">
      <c r="B34" s="114" t="e">
        <f t="shared" si="0"/>
        <v>#REF!</v>
      </c>
      <c r="C34" s="14">
        <v>482734</v>
      </c>
      <c r="D34" s="15" t="s">
        <v>1713</v>
      </c>
      <c r="E34" s="15" t="s">
        <v>1714</v>
      </c>
      <c r="F34" s="14" t="s">
        <v>1734</v>
      </c>
      <c r="G34" s="17">
        <v>43153</v>
      </c>
      <c r="H34" s="14">
        <v>9007055483</v>
      </c>
      <c r="I34" s="16">
        <v>6227.81</v>
      </c>
      <c r="J34" s="17">
        <v>43153</v>
      </c>
      <c r="K34" s="17">
        <v>43243</v>
      </c>
      <c r="L34" s="14">
        <f>IF(Table1117[[#This Row],[Account]]&lt;&gt;"",$N$8,"")</f>
        <v>0</v>
      </c>
      <c r="M34" s="18">
        <f>IF(Table1117[[#This Row],[Account]]&lt;&gt;"",J34+L34-$N$7,"")</f>
        <v>-383</v>
      </c>
      <c r="N34" s="19" t="str">
        <f>IF(Table1117[[#This Row],[Account]]&lt;&gt;"",IF(Table1117[[#This Row],[Aging ]]&lt;0,"OVERDUE","OK"),"")</f>
        <v>OVERDUE</v>
      </c>
      <c r="Q34" s="26"/>
    </row>
    <row r="35" spans="2:17" ht="15.75" thickBot="1" x14ac:dyDescent="0.3">
      <c r="B35" s="115" t="e">
        <f t="shared" si="0"/>
        <v>#REF!</v>
      </c>
      <c r="C35" s="20">
        <v>482734</v>
      </c>
      <c r="D35" s="21" t="s">
        <v>1713</v>
      </c>
      <c r="E35" s="21" t="s">
        <v>1714</v>
      </c>
      <c r="F35" s="20" t="s">
        <v>1735</v>
      </c>
      <c r="G35" s="23">
        <v>43245</v>
      </c>
      <c r="H35" s="20">
        <v>7000149517</v>
      </c>
      <c r="I35" s="22">
        <v>1050</v>
      </c>
      <c r="J35" s="23">
        <v>43245</v>
      </c>
      <c r="K35" s="23">
        <v>43275</v>
      </c>
      <c r="L35" s="20">
        <f>IF(Table1117[[#This Row],[Account]]&lt;&gt;"",$N$8,"")</f>
        <v>0</v>
      </c>
      <c r="M35" s="24">
        <f>IF(Table1117[[#This Row],[Account]]&lt;&gt;"",J35+L35-$N$7,"")</f>
        <v>-291</v>
      </c>
      <c r="N35" s="25" t="str">
        <f>IF(Table1117[[#This Row],[Account]]&lt;&gt;"",IF(Table1117[[#This Row],[Aging ]]&lt;0,"OVERDUE","OK"),"")</f>
        <v>OVERDUE</v>
      </c>
      <c r="Q35" s="26"/>
    </row>
    <row r="36" spans="2:17" ht="15.75" thickBot="1" x14ac:dyDescent="0.3">
      <c r="B36" s="114" t="e">
        <f t="shared" si="0"/>
        <v>#REF!</v>
      </c>
      <c r="C36" s="14">
        <v>482734</v>
      </c>
      <c r="D36" s="15" t="s">
        <v>1713</v>
      </c>
      <c r="E36" s="15" t="s">
        <v>1714</v>
      </c>
      <c r="F36" s="14" t="s">
        <v>1736</v>
      </c>
      <c r="G36" s="17">
        <v>43251</v>
      </c>
      <c r="H36" s="14">
        <v>9008603418</v>
      </c>
      <c r="I36" s="16">
        <v>6227.81</v>
      </c>
      <c r="J36" s="17">
        <v>43251</v>
      </c>
      <c r="K36" s="17">
        <v>43341</v>
      </c>
      <c r="L36" s="14">
        <f>IF(Table1117[[#This Row],[Account]]&lt;&gt;"",$N$8,"")</f>
        <v>0</v>
      </c>
      <c r="M36" s="18">
        <f>IF(Table1117[[#This Row],[Account]]&lt;&gt;"",J36+L36-$N$7,"")</f>
        <v>-285</v>
      </c>
      <c r="N36" s="19" t="str">
        <f>IF(Table1117[[#This Row],[Account]]&lt;&gt;"",IF(Table1117[[#This Row],[Aging ]]&lt;0,"OVERDUE","OK"),"")</f>
        <v>OVERDUE</v>
      </c>
      <c r="Q36" s="26"/>
    </row>
    <row r="37" spans="2:17" ht="15.75" thickBot="1" x14ac:dyDescent="0.3">
      <c r="B37" s="115" t="e">
        <f t="shared" si="0"/>
        <v>#REF!</v>
      </c>
      <c r="C37" s="20">
        <v>482734</v>
      </c>
      <c r="D37" s="21" t="s">
        <v>1713</v>
      </c>
      <c r="E37" s="21" t="s">
        <v>1714</v>
      </c>
      <c r="F37" s="20" t="s">
        <v>1737</v>
      </c>
      <c r="G37" s="23">
        <v>43406</v>
      </c>
      <c r="H37" s="20">
        <v>7000206634</v>
      </c>
      <c r="I37" s="22">
        <v>3045</v>
      </c>
      <c r="J37" s="23">
        <v>43406</v>
      </c>
      <c r="K37" s="23">
        <v>43436</v>
      </c>
      <c r="L37" s="20">
        <f>IF(Table1117[[#This Row],[Account]]&lt;&gt;"",$N$8,"")</f>
        <v>0</v>
      </c>
      <c r="M37" s="24">
        <f>IF(Table1117[[#This Row],[Account]]&lt;&gt;"",J37+L37-$N$7,"")</f>
        <v>-130</v>
      </c>
      <c r="N37" s="25" t="str">
        <f>IF(Table1117[[#This Row],[Account]]&lt;&gt;"",IF(Table1117[[#This Row],[Aging ]]&lt;0,"OVERDUE","OK"),"")</f>
        <v>OVERDUE</v>
      </c>
      <c r="Q37" s="26"/>
    </row>
    <row r="38" spans="2:17" ht="15.75" thickBot="1" x14ac:dyDescent="0.3">
      <c r="B38" s="114" t="e">
        <f t="shared" si="0"/>
        <v>#REF!</v>
      </c>
      <c r="C38" s="14">
        <v>482734</v>
      </c>
      <c r="D38" s="15" t="s">
        <v>1713</v>
      </c>
      <c r="E38" s="15" t="s">
        <v>1714</v>
      </c>
      <c r="F38" s="14" t="s">
        <v>1738</v>
      </c>
      <c r="G38" s="17">
        <v>43357</v>
      </c>
      <c r="H38" s="14">
        <v>9010354984</v>
      </c>
      <c r="I38" s="16">
        <v>750.75</v>
      </c>
      <c r="J38" s="17">
        <v>43357</v>
      </c>
      <c r="K38" s="17">
        <v>43447</v>
      </c>
      <c r="L38" s="14">
        <f>IF(Table1117[[#This Row],[Account]]&lt;&gt;"",$N$8,"")</f>
        <v>0</v>
      </c>
      <c r="M38" s="18">
        <f>IF(Table1117[[#This Row],[Account]]&lt;&gt;"",J38+L38-$N$7,"")</f>
        <v>-179</v>
      </c>
      <c r="N38" s="19" t="str">
        <f>IF(Table1117[[#This Row],[Account]]&lt;&gt;"",IF(Table1117[[#This Row],[Aging ]]&lt;0,"OVERDUE","OK"),"")</f>
        <v>OVERDUE</v>
      </c>
      <c r="Q38" s="26"/>
    </row>
    <row r="39" spans="2:17" ht="15.75" thickBot="1" x14ac:dyDescent="0.3">
      <c r="G39" s="27" t="s">
        <v>20</v>
      </c>
      <c r="H39" s="28"/>
      <c r="I39" s="29">
        <f>SUM(I15:I38)</f>
        <v>80677.94</v>
      </c>
      <c r="Q39" s="26"/>
    </row>
    <row r="40" spans="2:17" ht="15.75" thickBot="1" x14ac:dyDescent="0.3">
      <c r="G40" s="30" t="s">
        <v>21</v>
      </c>
      <c r="H40" s="31"/>
      <c r="I40" s="32">
        <f>SUM(I15:I38)</f>
        <v>80677.94</v>
      </c>
      <c r="Q40" s="26"/>
    </row>
    <row r="41" spans="2:17" ht="15.75" thickBot="1" x14ac:dyDescent="0.3">
      <c r="G41" s="33" t="s">
        <v>22</v>
      </c>
      <c r="H41" s="34"/>
      <c r="I41" s="35">
        <f>IFERROR(I40/I39,"")</f>
        <v>1</v>
      </c>
      <c r="Q41" s="26"/>
    </row>
    <row r="42" spans="2:17" x14ac:dyDescent="0.25">
      <c r="Q42" s="26"/>
    </row>
    <row r="43" spans="2:17" ht="15.75" thickBot="1" x14ac:dyDescent="0.3">
      <c r="Q43" s="26"/>
    </row>
    <row r="44" spans="2:17" x14ac:dyDescent="0.25">
      <c r="B44" s="112" t="s">
        <v>23</v>
      </c>
      <c r="C44" s="112"/>
      <c r="D44" s="37" t="s">
        <v>24</v>
      </c>
      <c r="E44" s="37" t="s">
        <v>25</v>
      </c>
      <c r="F44" s="37" t="s">
        <v>26</v>
      </c>
      <c r="G44" s="37" t="s">
        <v>27</v>
      </c>
      <c r="H44" s="37" t="s">
        <v>28</v>
      </c>
      <c r="I44" s="37" t="s">
        <v>29</v>
      </c>
      <c r="J44" s="37" t="s">
        <v>31</v>
      </c>
      <c r="K44" s="38" t="s">
        <v>30</v>
      </c>
      <c r="Q44" s="26"/>
    </row>
    <row r="45" spans="2:17" ht="15.75" thickBot="1" x14ac:dyDescent="0.3">
      <c r="B45" s="112"/>
      <c r="C45" s="113"/>
      <c r="D45" s="39">
        <f>SUMIFS(I15:I38,M15:M38,"&gt;="&amp;0)</f>
        <v>0</v>
      </c>
      <c r="E45" s="40">
        <f>SUMIFS(I15:I38,M15:M38,"&gt;="&amp;-30,M15:M38,"&lt;="&amp;-1)</f>
        <v>0</v>
      </c>
      <c r="F45" s="39">
        <f>SUMIFS(I15:I38,M15:M38,"&gt;="&amp;-60,M15:M38,"&lt;="&amp;-31)</f>
        <v>0</v>
      </c>
      <c r="G45" s="39">
        <f>SUMIFS(I15:I38,M15:M38,"&gt;="&amp;-90,M15:M38,"&lt;="&amp;-61)</f>
        <v>0</v>
      </c>
      <c r="H45" s="39">
        <f>SUMIFS(I15:I38,M15:M38,"&gt;="&amp;-120,M15:M38,"&lt;="&amp;-91)</f>
        <v>0</v>
      </c>
      <c r="I45" s="39">
        <f>SUMIFS(I15:I38,M15:M38,"&lt;="&amp;-121)</f>
        <v>80677.94</v>
      </c>
      <c r="J45" s="41">
        <f>SUM(D45:I45)</f>
        <v>80677.94</v>
      </c>
      <c r="K45" s="42">
        <f>SUM(H45:I45)</f>
        <v>80677.94</v>
      </c>
      <c r="Q45" s="26"/>
    </row>
    <row r="46" spans="2:17" x14ac:dyDescent="0.25">
      <c r="Q46" s="26"/>
    </row>
    <row r="47" spans="2:17" x14ac:dyDescent="0.25">
      <c r="Q47" s="26"/>
    </row>
    <row r="48" spans="2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44:C45"/>
  </mergeCells>
  <conditionalFormatting sqref="M15:M38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476544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1705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1706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476544</v>
      </c>
      <c r="D15" s="15" t="s">
        <v>1707</v>
      </c>
      <c r="E15" s="15" t="s">
        <v>1708</v>
      </c>
      <c r="F15" s="14" t="s">
        <v>1709</v>
      </c>
      <c r="G15" s="17">
        <v>43276</v>
      </c>
      <c r="H15" s="14">
        <v>7000161851</v>
      </c>
      <c r="I15" s="16">
        <v>1000</v>
      </c>
      <c r="J15" s="17">
        <v>43276</v>
      </c>
      <c r="K15" s="17">
        <v>43306</v>
      </c>
      <c r="L15" s="14">
        <f>IF(Table1116[[#This Row],[Account]]&lt;&gt;"",$N$8,"")</f>
        <v>0</v>
      </c>
      <c r="M15" s="105">
        <f>IF(Table1116[[#This Row],[Account]]&lt;&gt;"",J15+L15-$N$7,"")</f>
        <v>-260</v>
      </c>
      <c r="N15" s="74" t="str">
        <f>IF(Table1116[[#This Row],[Account]]&lt;&gt;"",IF(Table1116[[#This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476544</v>
      </c>
      <c r="D16" s="21" t="s">
        <v>1707</v>
      </c>
      <c r="E16" s="21" t="s">
        <v>1708</v>
      </c>
      <c r="F16" s="20" t="s">
        <v>1710</v>
      </c>
      <c r="G16" s="23">
        <v>43360</v>
      </c>
      <c r="H16" s="20">
        <v>7000188308</v>
      </c>
      <c r="I16" s="22">
        <v>1000</v>
      </c>
      <c r="J16" s="23">
        <v>43360</v>
      </c>
      <c r="K16" s="23">
        <v>43390</v>
      </c>
      <c r="L16" s="20">
        <f>IF(Table1116[[#This Row],[Account]]&lt;&gt;"",$N$8,"")</f>
        <v>0</v>
      </c>
      <c r="M16" s="24">
        <f>IF(Table1116[[#This Row],[Account]]&lt;&gt;"",J16+L16-$N$7,"")</f>
        <v>-176</v>
      </c>
      <c r="N16" s="25" t="str">
        <f>IF(Table1116[[#This Row],[Account]]&lt;&gt;"",IF(Table1116[[#This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2000</v>
      </c>
    </row>
    <row r="18" spans="2:17" ht="15.75" thickBot="1" x14ac:dyDescent="0.3">
      <c r="G18" s="30" t="s">
        <v>21</v>
      </c>
      <c r="H18" s="31"/>
      <c r="I18" s="32">
        <f>SUM(I15:I16)</f>
        <v>2000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2000</v>
      </c>
      <c r="J23" s="41">
        <f>SUM(D23:I23)</f>
        <v>2000</v>
      </c>
      <c r="K23" s="42">
        <f>SUM(H23:I23)</f>
        <v>2000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450082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1696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1697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450082</v>
      </c>
      <c r="D15" s="15" t="s">
        <v>1698</v>
      </c>
      <c r="E15" s="15" t="s">
        <v>1699</v>
      </c>
      <c r="F15" s="14" t="s">
        <v>1700</v>
      </c>
      <c r="G15" s="17">
        <v>42747</v>
      </c>
      <c r="H15" s="14" t="s">
        <v>69</v>
      </c>
      <c r="I15" s="16">
        <v>275</v>
      </c>
      <c r="J15" s="17">
        <v>42747</v>
      </c>
      <c r="K15" s="17">
        <v>42777</v>
      </c>
      <c r="L15" s="14">
        <f>IF(Table1115[[#This Row],[Account]]&lt;&gt;"",$N$8,"")</f>
        <v>0</v>
      </c>
      <c r="M15" s="105">
        <f>IF(Table1115[[#This Row],[Account]]&lt;&gt;"",J15+L15-$N$7,"")</f>
        <v>-789</v>
      </c>
      <c r="N15" s="74" t="str">
        <f>IF(Table1115[[#This Row],[Account]]&lt;&gt;"",IF(Table1115[[#This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450082</v>
      </c>
      <c r="D16" s="21" t="s">
        <v>1698</v>
      </c>
      <c r="E16" s="21" t="s">
        <v>1699</v>
      </c>
      <c r="F16" s="20" t="s">
        <v>1701</v>
      </c>
      <c r="G16" s="23">
        <v>42747</v>
      </c>
      <c r="H16" s="20" t="s">
        <v>71</v>
      </c>
      <c r="I16" s="22">
        <v>275</v>
      </c>
      <c r="J16" s="23">
        <v>42747</v>
      </c>
      <c r="K16" s="23">
        <v>42777</v>
      </c>
      <c r="L16" s="20">
        <f>IF(Table1115[[#This Row],[Account]]&lt;&gt;"",$N$8,"")</f>
        <v>0</v>
      </c>
      <c r="M16" s="24">
        <f>IF(Table1115[[#This Row],[Account]]&lt;&gt;"",J16+L16-$N$7,"")</f>
        <v>-789</v>
      </c>
      <c r="N16" s="25" t="str">
        <f>IF(Table1115[[#This Row],[Account]]&lt;&gt;"",IF(Table1115[[#This Row],[Aging ]]&lt;0,"OVERDUE","OK"),"")</f>
        <v>OVERDUE</v>
      </c>
    </row>
    <row r="17" spans="2:17" ht="15.75" thickBot="1" x14ac:dyDescent="0.3">
      <c r="B17" s="114">
        <f t="shared" ref="B17:B19" ca="1" si="0">IF(C16&lt;&gt;"",B16+1,"")</f>
        <v>3</v>
      </c>
      <c r="C17" s="14">
        <v>450082</v>
      </c>
      <c r="D17" s="15" t="s">
        <v>1698</v>
      </c>
      <c r="E17" s="15" t="s">
        <v>1699</v>
      </c>
      <c r="F17" s="14" t="s">
        <v>1702</v>
      </c>
      <c r="G17" s="17">
        <v>42972</v>
      </c>
      <c r="H17" s="14">
        <v>9004581711</v>
      </c>
      <c r="I17" s="16">
        <v>475</v>
      </c>
      <c r="J17" s="17">
        <v>42972</v>
      </c>
      <c r="K17" s="17">
        <v>43062</v>
      </c>
      <c r="L17" s="14">
        <f>IF(Table1115[[#This Row],[Account]]&lt;&gt;"",$N$8,"")</f>
        <v>0</v>
      </c>
      <c r="M17" s="18">
        <f>IF(Table1115[[#This Row],[Account]]&lt;&gt;"",J17+L17-$N$7,"")</f>
        <v>-564</v>
      </c>
      <c r="N17" s="19" t="str">
        <f>IF(Table1115[[#This Row],[Account]]&lt;&gt;"",IF(Table1115[[#This Row],[Aging ]]&lt;0,"OVERDUE","OK"),"")</f>
        <v>OVERDUE</v>
      </c>
    </row>
    <row r="18" spans="2:17" ht="15.75" thickBot="1" x14ac:dyDescent="0.3">
      <c r="B18" s="114" t="e">
        <f>IF(#REF!&lt;&gt;"",#REF!+1,"")</f>
        <v>#REF!</v>
      </c>
      <c r="C18" s="14">
        <v>450082</v>
      </c>
      <c r="D18" s="15" t="s">
        <v>1698</v>
      </c>
      <c r="E18" s="15" t="s">
        <v>1699</v>
      </c>
      <c r="F18" s="14" t="s">
        <v>1703</v>
      </c>
      <c r="G18" s="17">
        <v>43083</v>
      </c>
      <c r="H18" s="14">
        <v>9006114948</v>
      </c>
      <c r="I18" s="16">
        <v>9125</v>
      </c>
      <c r="J18" s="17">
        <v>43083</v>
      </c>
      <c r="K18" s="17">
        <v>43173</v>
      </c>
      <c r="L18" s="14">
        <f>IF(Table1115[[#This Row],[Account]]&lt;&gt;"",$N$8,"")</f>
        <v>0</v>
      </c>
      <c r="M18" s="18">
        <f>IF(Table1115[[#This Row],[Account]]&lt;&gt;"",J18+L18-$N$7,"")</f>
        <v>-453</v>
      </c>
      <c r="N18" s="19" t="str">
        <f>IF(Table1115[[#This Row],[Account]]&lt;&gt;"",IF(Table1115[[#This Row],[Aging ]]&lt;0,"OVERDUE","OK"),"")</f>
        <v>OVERDUE</v>
      </c>
    </row>
    <row r="19" spans="2:17" ht="15.75" thickBot="1" x14ac:dyDescent="0.3">
      <c r="B19" s="115" t="e">
        <f t="shared" si="0"/>
        <v>#REF!</v>
      </c>
      <c r="C19" s="20">
        <v>450082</v>
      </c>
      <c r="D19" s="21" t="s">
        <v>1698</v>
      </c>
      <c r="E19" s="21" t="s">
        <v>1699</v>
      </c>
      <c r="F19" s="20" t="s">
        <v>1704</v>
      </c>
      <c r="G19" s="23">
        <v>43118</v>
      </c>
      <c r="H19" s="20">
        <v>9006535515</v>
      </c>
      <c r="I19" s="22">
        <v>3228.75</v>
      </c>
      <c r="J19" s="23">
        <v>43118</v>
      </c>
      <c r="K19" s="23">
        <v>43208</v>
      </c>
      <c r="L19" s="20">
        <f>IF(Table1115[[#This Row],[Account]]&lt;&gt;"",$N$8,"")</f>
        <v>0</v>
      </c>
      <c r="M19" s="24">
        <f>IF(Table1115[[#This Row],[Account]]&lt;&gt;"",J19+L19-$N$7,"")</f>
        <v>-418</v>
      </c>
      <c r="N19" s="25" t="str">
        <f>IF(Table1115[[#This Row],[Account]]&lt;&gt;"",IF(Table1115[[#This Row],[Aging ]]&lt;0,"OVERDUE","OK"),"")</f>
        <v>OVERDUE</v>
      </c>
    </row>
    <row r="20" spans="2:17" ht="15.75" thickBot="1" x14ac:dyDescent="0.3">
      <c r="G20" s="27" t="s">
        <v>20</v>
      </c>
      <c r="H20" s="28"/>
      <c r="I20" s="29">
        <f>SUM(I15:I19)</f>
        <v>13378.75</v>
      </c>
      <c r="Q20" s="26"/>
    </row>
    <row r="21" spans="2:17" ht="15.75" thickBot="1" x14ac:dyDescent="0.3">
      <c r="G21" s="30" t="s">
        <v>21</v>
      </c>
      <c r="H21" s="31"/>
      <c r="I21" s="32">
        <f>SUM(I15:I19)</f>
        <v>13378.75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2" t="s">
        <v>23</v>
      </c>
      <c r="C25" s="112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2"/>
      <c r="C26" s="113"/>
      <c r="D26" s="39">
        <f>SUMIFS(I15:I19,M15:M19,"&gt;="&amp;0)</f>
        <v>0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0</v>
      </c>
      <c r="H26" s="39">
        <f>SUMIFS(I15:I19,M15:M19,"&gt;="&amp;-120,M15:M19,"&lt;="&amp;-91)</f>
        <v>0</v>
      </c>
      <c r="I26" s="39">
        <f>SUMIFS(I15:I19,M15:M19,"&lt;="&amp;-121)</f>
        <v>13378.75</v>
      </c>
      <c r="J26" s="41">
        <f>SUM(D26:I26)</f>
        <v>13378.75</v>
      </c>
      <c r="K26" s="42">
        <f>SUM(H26:I26)</f>
        <v>13378.75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1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450000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450000</v>
      </c>
      <c r="D15" s="15" t="s">
        <v>1692</v>
      </c>
      <c r="E15" s="15" t="s">
        <v>1693</v>
      </c>
      <c r="F15" s="14" t="s">
        <v>1694</v>
      </c>
      <c r="G15" s="17">
        <v>43090</v>
      </c>
      <c r="H15" s="14">
        <v>9006203199</v>
      </c>
      <c r="I15" s="16">
        <v>5750</v>
      </c>
      <c r="J15" s="17">
        <v>43090</v>
      </c>
      <c r="K15" s="17">
        <v>43180</v>
      </c>
      <c r="L15" s="14">
        <f>IF(Table1114[[#This Row],[Account]]&lt;&gt;"",$N$8,"")</f>
        <v>0</v>
      </c>
      <c r="M15" s="105">
        <f>IF(Table1114[[#This Row],[Account]]&lt;&gt;"",J15+L15-$N$7,"")</f>
        <v>-446</v>
      </c>
      <c r="N15" s="74" t="str">
        <f>IF(Table1114[[#This Row],[Account]]&lt;&gt;"",IF(Table1114[[#This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450000</v>
      </c>
      <c r="D16" s="21" t="s">
        <v>1692</v>
      </c>
      <c r="E16" s="21" t="s">
        <v>1693</v>
      </c>
      <c r="F16" s="20" t="s">
        <v>1695</v>
      </c>
      <c r="G16" s="23">
        <v>43392</v>
      </c>
      <c r="H16" s="20">
        <v>9010955463</v>
      </c>
      <c r="I16" s="22">
        <v>4979.63</v>
      </c>
      <c r="J16" s="23">
        <v>43392</v>
      </c>
      <c r="K16" s="23">
        <v>43482</v>
      </c>
      <c r="L16" s="20">
        <f>IF(Table1114[[#This Row],[Account]]&lt;&gt;"",$N$8,"")</f>
        <v>0</v>
      </c>
      <c r="M16" s="24">
        <f>IF(Table1114[[#This Row],[Account]]&lt;&gt;"",J16+L16-$N$7,"")</f>
        <v>-144</v>
      </c>
      <c r="N16" s="25" t="str">
        <f>IF(Table1114[[#This Row],[Account]]&lt;&gt;"",IF(Table1114[[#This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10729.630000000001</v>
      </c>
    </row>
    <row r="18" spans="2:17" ht="15.75" thickBot="1" x14ac:dyDescent="0.3">
      <c r="G18" s="30" t="s">
        <v>21</v>
      </c>
      <c r="H18" s="31"/>
      <c r="I18" s="32">
        <f>SUM(I15:I16)</f>
        <v>10729.630000000001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10729.630000000001</v>
      </c>
      <c r="J23" s="41">
        <f>SUM(D23:I23)</f>
        <v>10729.630000000001</v>
      </c>
      <c r="K23" s="42">
        <f>SUM(H23:I23)</f>
        <v>10729.630000000001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427840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1683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1684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427840</v>
      </c>
      <c r="D15" s="15" t="s">
        <v>1685</v>
      </c>
      <c r="E15" s="15" t="s">
        <v>1686</v>
      </c>
      <c r="F15" s="14" t="s">
        <v>1687</v>
      </c>
      <c r="G15" s="17">
        <v>43196</v>
      </c>
      <c r="H15" s="14">
        <v>9007717855</v>
      </c>
      <c r="I15" s="16">
        <v>5287.28</v>
      </c>
      <c r="J15" s="17">
        <v>43196</v>
      </c>
      <c r="K15" s="17">
        <v>43226</v>
      </c>
      <c r="L15" s="14">
        <f>IF(Table1113[[#This Row],[Account]]&lt;&gt;"",$N$8,"")</f>
        <v>0</v>
      </c>
      <c r="M15" s="105">
        <f>IF(Table1113[[#This Row],[Account]]&lt;&gt;"",J15+L15-$N$7,"")</f>
        <v>-340</v>
      </c>
      <c r="N15" s="74" t="str">
        <f>IF(Table1113[[#This Row],[Account]]&lt;&gt;"",IF(Table1113[[#This Row],[Aging ]]&lt;0,"OVERDUE","OK"),"")</f>
        <v>OVERDUE</v>
      </c>
    </row>
    <row r="16" spans="2:14" ht="15.75" thickBot="1" x14ac:dyDescent="0.3">
      <c r="B16" s="114" t="e">
        <f>IF(#REF!&lt;&gt;"",#REF!+1,"")</f>
        <v>#REF!</v>
      </c>
      <c r="C16" s="14">
        <v>427840</v>
      </c>
      <c r="D16" s="15" t="s">
        <v>1685</v>
      </c>
      <c r="E16" s="15" t="s">
        <v>1686</v>
      </c>
      <c r="F16" s="14" t="s">
        <v>1688</v>
      </c>
      <c r="G16" s="17">
        <v>43399</v>
      </c>
      <c r="H16" s="14">
        <v>7000206197</v>
      </c>
      <c r="I16" s="16">
        <v>1050</v>
      </c>
      <c r="J16" s="17">
        <v>43399</v>
      </c>
      <c r="K16" s="17">
        <v>43429</v>
      </c>
      <c r="L16" s="14">
        <f>IF(Table1113[[#This Row],[Account]]&lt;&gt;"",$N$8,"")</f>
        <v>0</v>
      </c>
      <c r="M16" s="18">
        <f>IF(Table1113[[#This Row],[Account]]&lt;&gt;"",J16+L16-$N$7,"")</f>
        <v>-137</v>
      </c>
      <c r="N16" s="19" t="str">
        <f>IF(Table1113[[#This Row],[Account]]&lt;&gt;"",IF(Table1113[[#This Row],[Aging ]]&lt;0,"OVERDUE","OK"),"")</f>
        <v>OVERDUE</v>
      </c>
    </row>
    <row r="17" spans="2:17" ht="15.75" thickBot="1" x14ac:dyDescent="0.3">
      <c r="B17" s="115" t="e">
        <f t="shared" ref="B17" si="0">IF(C16&lt;&gt;"",B16+1,"")</f>
        <v>#REF!</v>
      </c>
      <c r="C17" s="20">
        <v>427840</v>
      </c>
      <c r="D17" s="21" t="s">
        <v>1685</v>
      </c>
      <c r="E17" s="21" t="s">
        <v>1686</v>
      </c>
      <c r="F17" s="20" t="s">
        <v>1689</v>
      </c>
      <c r="G17" s="23">
        <v>43460</v>
      </c>
      <c r="H17" s="20">
        <v>9012154012</v>
      </c>
      <c r="I17" s="22">
        <v>8143.8</v>
      </c>
      <c r="J17" s="23">
        <v>43460</v>
      </c>
      <c r="K17" s="23">
        <v>43490</v>
      </c>
      <c r="L17" s="20">
        <f>IF(Table1113[[#This Row],[Account]]&lt;&gt;"",$N$8,"")</f>
        <v>0</v>
      </c>
      <c r="M17" s="24">
        <f>IF(Table1113[[#This Row],[Account]]&lt;&gt;"",J17+L17-$N$7,"")</f>
        <v>-76</v>
      </c>
      <c r="N17" s="25" t="str">
        <f>IF(Table1113[[#This Row],[Account]]&lt;&gt;"",IF(Table1113[[#This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14481.08</v>
      </c>
    </row>
    <row r="19" spans="2:17" ht="15.75" thickBot="1" x14ac:dyDescent="0.3">
      <c r="G19" s="30" t="s">
        <v>21</v>
      </c>
      <c r="H19" s="31"/>
      <c r="I19" s="32">
        <f>SUM(I15:I17)</f>
        <v>14481.08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2" t="s">
        <v>23</v>
      </c>
      <c r="C23" s="112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2"/>
      <c r="C24" s="113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8143.8</v>
      </c>
      <c r="H24" s="39">
        <f>SUMIFS(I15:I17,M15:M17,"&gt;="&amp;-120,M15:M17,"&lt;="&amp;-91)</f>
        <v>0</v>
      </c>
      <c r="I24" s="39">
        <f>SUMIFS(I15:I17,M15:M17,"&lt;="&amp;-121)</f>
        <v>6337.28</v>
      </c>
      <c r="J24" s="41">
        <f>SUM(D24:I24)</f>
        <v>14481.08</v>
      </c>
      <c r="K24" s="42">
        <f>SUM(H24:I24)</f>
        <v>6337.28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1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427329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1678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1679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5" t="e">
        <f>IF(#REF!&lt;&gt;"",#REF!+1,"")</f>
        <v>#REF!</v>
      </c>
      <c r="C15" s="20">
        <v>427329</v>
      </c>
      <c r="D15" s="21" t="s">
        <v>1680</v>
      </c>
      <c r="E15" s="21" t="s">
        <v>1681</v>
      </c>
      <c r="F15" s="20" t="s">
        <v>1682</v>
      </c>
      <c r="G15" s="23">
        <v>43373</v>
      </c>
      <c r="H15" s="20">
        <v>7000188715</v>
      </c>
      <c r="I15" s="22">
        <v>1000</v>
      </c>
      <c r="J15" s="23">
        <v>43373</v>
      </c>
      <c r="K15" s="23">
        <v>43403</v>
      </c>
      <c r="L15" s="20">
        <f>IF(Table1112[[#This Row],[Account]]&lt;&gt;"",$N$8,"")</f>
        <v>0</v>
      </c>
      <c r="M15" s="24">
        <f>IF(Table1112[[#This Row],[Account]]&lt;&gt;"",J15+L15-$N$7,"")</f>
        <v>-163</v>
      </c>
      <c r="N15" s="25" t="str">
        <f>IF(Table1112[[#This Row],[Account]]&lt;&gt;"",IF(Table1112[[#This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1000</v>
      </c>
    </row>
    <row r="17" spans="2:17" ht="15.75" thickBot="1" x14ac:dyDescent="0.3">
      <c r="G17" s="30" t="s">
        <v>21</v>
      </c>
      <c r="H17" s="31"/>
      <c r="I17" s="32">
        <f>SUM(I15:I15)</f>
        <v>1000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1000</v>
      </c>
      <c r="J22" s="41">
        <f>SUM(D22:I22)</f>
        <v>1000</v>
      </c>
      <c r="K22" s="42">
        <f>SUM(H22:I22)</f>
        <v>1000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424053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1673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1674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424053</v>
      </c>
      <c r="D15" s="15" t="s">
        <v>1675</v>
      </c>
      <c r="E15" s="15" t="s">
        <v>1676</v>
      </c>
      <c r="F15" s="14" t="s">
        <v>1677</v>
      </c>
      <c r="G15" s="17">
        <v>43217</v>
      </c>
      <c r="H15" s="14">
        <v>9008057376</v>
      </c>
      <c r="I15" s="16">
        <v>1155</v>
      </c>
      <c r="J15" s="17">
        <v>43217</v>
      </c>
      <c r="K15" s="17">
        <v>43307</v>
      </c>
      <c r="L15" s="14">
        <f>IF(Table1111[[#This Row],[Account]]&lt;&gt;"",$N$8,"")</f>
        <v>0</v>
      </c>
      <c r="M15" s="105">
        <f>IF(Table1111[[#This Row],[Account]]&lt;&gt;"",J15+L15-$N$7,"")</f>
        <v>-319</v>
      </c>
      <c r="N15" s="74" t="str">
        <f>IF(Table1111[[#This Row],[Account]]&lt;&gt;"",IF(Table1111[[#This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1155</v>
      </c>
    </row>
    <row r="17" spans="2:17" ht="15.75" thickBot="1" x14ac:dyDescent="0.3">
      <c r="G17" s="30" t="s">
        <v>21</v>
      </c>
      <c r="H17" s="31"/>
      <c r="I17" s="32">
        <f>SUM(I15:I15)</f>
        <v>1155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1155</v>
      </c>
      <c r="J22" s="41">
        <f>SUM(D22:I22)</f>
        <v>1155</v>
      </c>
      <c r="K22" s="42">
        <f>SUM(H22:I22)</f>
        <v>1155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401828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1663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1664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401828</v>
      </c>
      <c r="D15" s="15" t="s">
        <v>1665</v>
      </c>
      <c r="E15" s="15" t="s">
        <v>1666</v>
      </c>
      <c r="F15" s="14" t="s">
        <v>1667</v>
      </c>
      <c r="G15" s="17">
        <v>43230</v>
      </c>
      <c r="H15" s="14">
        <v>9008270941</v>
      </c>
      <c r="I15" s="16">
        <v>5287.28</v>
      </c>
      <c r="J15" s="17">
        <v>43230</v>
      </c>
      <c r="K15" s="17">
        <v>43260</v>
      </c>
      <c r="L15" s="14">
        <f>IF(Table1110[[#This Row],[Account]]&lt;&gt;"",$N$8,"")</f>
        <v>0</v>
      </c>
      <c r="M15" s="105">
        <f>IF(Table1110[[#This Row],[Account]]&lt;&gt;"",J15+L15-$N$7,"")</f>
        <v>-306</v>
      </c>
      <c r="N15" s="74" t="str">
        <f>IF(Table1110[[#This Row],[Account]]&lt;&gt;"",IF(Table1110[[#This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401828</v>
      </c>
      <c r="D16" s="21" t="s">
        <v>1665</v>
      </c>
      <c r="E16" s="21" t="s">
        <v>1666</v>
      </c>
      <c r="F16" s="20" t="s">
        <v>1668</v>
      </c>
      <c r="G16" s="23">
        <v>43301</v>
      </c>
      <c r="H16" s="20">
        <v>9009391370</v>
      </c>
      <c r="I16" s="22">
        <v>6853.88</v>
      </c>
      <c r="J16" s="23">
        <v>43301</v>
      </c>
      <c r="K16" s="23">
        <v>43331</v>
      </c>
      <c r="L16" s="20">
        <f>IF(Table1110[[#This Row],[Account]]&lt;&gt;"",$N$8,"")</f>
        <v>0</v>
      </c>
      <c r="M16" s="24">
        <f>IF(Table1110[[#This Row],[Account]]&lt;&gt;"",J16+L16-$N$7,"")</f>
        <v>-235</v>
      </c>
      <c r="N16" s="25" t="str">
        <f>IF(Table1110[[#This Row],[Account]]&lt;&gt;"",IF(Table1110[[#This Row],[Aging ]]&lt;0,"OVERDUE","OK"),"")</f>
        <v>OVERDUE</v>
      </c>
    </row>
    <row r="17" spans="2:17" ht="15.75" thickBot="1" x14ac:dyDescent="0.3">
      <c r="B17" s="114">
        <f t="shared" ref="B17:B19" ca="1" si="0">IF(C16&lt;&gt;"",B16+1,"")</f>
        <v>3</v>
      </c>
      <c r="C17" s="14">
        <v>401828</v>
      </c>
      <c r="D17" s="15" t="s">
        <v>1665</v>
      </c>
      <c r="E17" s="15" t="s">
        <v>1666</v>
      </c>
      <c r="F17" s="14" t="s">
        <v>1669</v>
      </c>
      <c r="G17" s="17">
        <v>43360</v>
      </c>
      <c r="H17" s="14">
        <v>7000188285</v>
      </c>
      <c r="I17" s="16">
        <v>1050</v>
      </c>
      <c r="J17" s="17">
        <v>43360</v>
      </c>
      <c r="K17" s="17">
        <v>43390</v>
      </c>
      <c r="L17" s="14">
        <f>IF(Table1110[[#This Row],[Account]]&lt;&gt;"",$N$8,"")</f>
        <v>0</v>
      </c>
      <c r="M17" s="18">
        <f>IF(Table1110[[#This Row],[Account]]&lt;&gt;"",J17+L17-$N$7,"")</f>
        <v>-176</v>
      </c>
      <c r="N17" s="19" t="str">
        <f>IF(Table1110[[#This Row],[Account]]&lt;&gt;"",IF(Table1110[[#This Row],[Aging ]]&lt;0,"OVERDUE","OK"),"")</f>
        <v>OVERDUE</v>
      </c>
    </row>
    <row r="18" spans="2:17" ht="15.75" thickBot="1" x14ac:dyDescent="0.3">
      <c r="B18" s="115">
        <f t="shared" ca="1" si="0"/>
        <v>4</v>
      </c>
      <c r="C18" s="20">
        <v>401828</v>
      </c>
      <c r="D18" s="21" t="s">
        <v>1665</v>
      </c>
      <c r="E18" s="21" t="s">
        <v>1666</v>
      </c>
      <c r="F18" s="20" t="s">
        <v>1670</v>
      </c>
      <c r="G18" s="23">
        <v>43360</v>
      </c>
      <c r="H18" s="20">
        <v>7000188286</v>
      </c>
      <c r="I18" s="22">
        <v>1050</v>
      </c>
      <c r="J18" s="23">
        <v>43360</v>
      </c>
      <c r="K18" s="23">
        <v>43390</v>
      </c>
      <c r="L18" s="20">
        <f>IF(Table1110[[#This Row],[Account]]&lt;&gt;"",$N$8,"")</f>
        <v>0</v>
      </c>
      <c r="M18" s="24">
        <f>IF(Table1110[[#This Row],[Account]]&lt;&gt;"",J18+L18-$N$7,"")</f>
        <v>-176</v>
      </c>
      <c r="N18" s="25" t="str">
        <f>IF(Table1110[[#This Row],[Account]]&lt;&gt;"",IF(Table1110[[#This Row],[Aging ]]&lt;0,"OVERDUE","OK"),"")</f>
        <v>OVERDUE</v>
      </c>
    </row>
    <row r="19" spans="2:17" ht="15.75" thickBot="1" x14ac:dyDescent="0.3">
      <c r="B19" s="114">
        <f t="shared" ca="1" si="0"/>
        <v>5</v>
      </c>
      <c r="C19" s="14">
        <v>401828</v>
      </c>
      <c r="D19" s="15" t="s">
        <v>1665</v>
      </c>
      <c r="E19" s="15" t="s">
        <v>1666</v>
      </c>
      <c r="F19" s="14" t="s">
        <v>1671</v>
      </c>
      <c r="G19" s="17">
        <v>43427</v>
      </c>
      <c r="H19" s="14">
        <v>7000218963</v>
      </c>
      <c r="I19" s="16">
        <v>1050</v>
      </c>
      <c r="J19" s="17">
        <v>43427</v>
      </c>
      <c r="K19" s="17">
        <v>43457</v>
      </c>
      <c r="L19" s="14">
        <f>IF(Table1110[[#This Row],[Account]]&lt;&gt;"",$N$8,"")</f>
        <v>0</v>
      </c>
      <c r="M19" s="18">
        <f>IF(Table1110[[#This Row],[Account]]&lt;&gt;"",J19+L19-$N$7,"")</f>
        <v>-109</v>
      </c>
      <c r="N19" s="19" t="str">
        <f>IF(Table1110[[#This Row],[Account]]&lt;&gt;"",IF(Table1110[[#This Row],[Aging ]]&lt;0,"OVERDUE","OK"),"")</f>
        <v>OVERDUE</v>
      </c>
    </row>
    <row r="20" spans="2:17" ht="15.75" thickBot="1" x14ac:dyDescent="0.3">
      <c r="B20" s="115" t="e">
        <f>IF(#REF!&lt;&gt;"",#REF!+1,"")</f>
        <v>#REF!</v>
      </c>
      <c r="C20" s="20">
        <v>401828</v>
      </c>
      <c r="D20" s="21" t="s">
        <v>1665</v>
      </c>
      <c r="E20" s="21" t="s">
        <v>1666</v>
      </c>
      <c r="F20" s="20" t="s">
        <v>1672</v>
      </c>
      <c r="G20" s="23">
        <v>43461</v>
      </c>
      <c r="H20" s="20">
        <v>7000242919</v>
      </c>
      <c r="I20" s="22">
        <v>1050</v>
      </c>
      <c r="J20" s="23">
        <v>43461</v>
      </c>
      <c r="K20" s="23">
        <v>43491</v>
      </c>
      <c r="L20" s="20">
        <f>IF(Table1110[[#This Row],[Account]]&lt;&gt;"",$N$8,"")</f>
        <v>0</v>
      </c>
      <c r="M20" s="24">
        <f>IF(Table1110[[#This Row],[Account]]&lt;&gt;"",J20+L20-$N$7,"")</f>
        <v>-75</v>
      </c>
      <c r="N20" s="25" t="str">
        <f>IF(Table1110[[#This Row],[Account]]&lt;&gt;"",IF(Table1110[[#This Row],[Aging ]]&lt;0,"OVERDUE","OK"),"")</f>
        <v>OVERDUE</v>
      </c>
      <c r="Q20" s="26"/>
    </row>
    <row r="21" spans="2:17" ht="15.75" thickBot="1" x14ac:dyDescent="0.3">
      <c r="G21" s="27" t="s">
        <v>20</v>
      </c>
      <c r="H21" s="28"/>
      <c r="I21" s="29">
        <f>SUM(I15:I20)</f>
        <v>16341.16</v>
      </c>
      <c r="Q21" s="26"/>
    </row>
    <row r="22" spans="2:17" ht="15.75" thickBot="1" x14ac:dyDescent="0.3">
      <c r="G22" s="30" t="s">
        <v>21</v>
      </c>
      <c r="H22" s="31"/>
      <c r="I22" s="32">
        <f>SUM(I15:I20)</f>
        <v>16341.16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2" t="s">
        <v>23</v>
      </c>
      <c r="C26" s="112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2"/>
      <c r="C27" s="113"/>
      <c r="D27" s="39">
        <f>SUMIFS(I15:I20,M15:M20,"&gt;="&amp;0)</f>
        <v>0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1050</v>
      </c>
      <c r="H27" s="39">
        <f>SUMIFS(I15:I20,M15:M20,"&gt;="&amp;-120,M15:M20,"&lt;="&amp;-91)</f>
        <v>1050</v>
      </c>
      <c r="I27" s="39">
        <f>SUMIFS(I15:I20,M15:M20,"&lt;="&amp;-121)</f>
        <v>14241.16</v>
      </c>
      <c r="J27" s="41">
        <f>SUM(D27:I27)</f>
        <v>16341.16</v>
      </c>
      <c r="K27" s="42">
        <f>SUM(H27:I27)</f>
        <v>15291.16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400634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1658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1659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400634</v>
      </c>
      <c r="D15" s="15" t="s">
        <v>1660</v>
      </c>
      <c r="E15" s="15" t="s">
        <v>1661</v>
      </c>
      <c r="F15" s="14" t="s">
        <v>1662</v>
      </c>
      <c r="G15" s="17">
        <v>43230</v>
      </c>
      <c r="H15" s="14">
        <v>9008270933</v>
      </c>
      <c r="I15" s="16">
        <v>9125</v>
      </c>
      <c r="J15" s="17">
        <v>43230</v>
      </c>
      <c r="K15" s="17">
        <v>43260</v>
      </c>
      <c r="L15" s="14">
        <f>IF(Table1109[[#This Row],[Account]]&lt;&gt;"",$N$8,"")</f>
        <v>0</v>
      </c>
      <c r="M15" s="105">
        <f>IF(Table1109[[#This Row],[Account]]&lt;&gt;"",J15+L15-$N$7,"")</f>
        <v>-306</v>
      </c>
      <c r="N15" s="74" t="str">
        <f>IF(Table1109[[#This Row],[Account]]&lt;&gt;"",IF(Table1109[[#This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9125</v>
      </c>
    </row>
    <row r="17" spans="2:17" ht="15.75" thickBot="1" x14ac:dyDescent="0.3">
      <c r="G17" s="30" t="s">
        <v>21</v>
      </c>
      <c r="H17" s="31"/>
      <c r="I17" s="32">
        <f>SUM(I15:I15)</f>
        <v>9125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9125</v>
      </c>
      <c r="J22" s="41">
        <f>SUM(D22:I22)</f>
        <v>9125</v>
      </c>
      <c r="K22" s="42">
        <f>SUM(H22:I22)</f>
        <v>9125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B6:Q120"/>
  <sheetViews>
    <sheetView workbookViewId="0">
      <selection activeCell="B22" sqref="B22:C23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399157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1652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1653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399157</v>
      </c>
      <c r="D15" s="15" t="s">
        <v>1654</v>
      </c>
      <c r="E15" s="15" t="s">
        <v>1655</v>
      </c>
      <c r="F15" s="14" t="s">
        <v>1656</v>
      </c>
      <c r="G15" s="17">
        <v>43097</v>
      </c>
      <c r="H15" s="14">
        <v>9006291364</v>
      </c>
      <c r="I15" s="16">
        <v>9125</v>
      </c>
      <c r="J15" s="17">
        <v>43097</v>
      </c>
      <c r="K15" s="17">
        <v>43187</v>
      </c>
      <c r="L15" s="14">
        <f>IF(Table1108[[#This Row],[Account]]&lt;&gt;"",$N$8,"")</f>
        <v>0</v>
      </c>
      <c r="M15" s="105">
        <f>IF(Table1108[[#This Row],[Account]]&lt;&gt;"",J15+L15-$N$7,"")</f>
        <v>-439</v>
      </c>
      <c r="N15" s="74" t="str">
        <f>IF(Table1108[[#This Row],[Account]]&lt;&gt;"",IF(Table1108[[#This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399157</v>
      </c>
      <c r="D16" s="21" t="s">
        <v>1654</v>
      </c>
      <c r="E16" s="21" t="s">
        <v>1655</v>
      </c>
      <c r="F16" s="20" t="s">
        <v>1657</v>
      </c>
      <c r="G16" s="23">
        <v>43097</v>
      </c>
      <c r="H16" s="20">
        <v>9006291365</v>
      </c>
      <c r="I16" s="22">
        <v>9125</v>
      </c>
      <c r="J16" s="23">
        <v>43097</v>
      </c>
      <c r="K16" s="23">
        <v>43187</v>
      </c>
      <c r="L16" s="20">
        <f>IF(Table1108[[#This Row],[Account]]&lt;&gt;"",$N$8,"")</f>
        <v>0</v>
      </c>
      <c r="M16" s="24">
        <f>IF(Table1108[[#This Row],[Account]]&lt;&gt;"",J16+L16-$N$7,"")</f>
        <v>-439</v>
      </c>
      <c r="N16" s="25" t="str">
        <f>IF(Table1108[[#This Row],[Account]]&lt;&gt;"",IF(Table1108[[#This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18250</v>
      </c>
    </row>
    <row r="18" spans="2:17" ht="15.75" thickBot="1" x14ac:dyDescent="0.3">
      <c r="G18" s="30" t="s">
        <v>21</v>
      </c>
      <c r="H18" s="31"/>
      <c r="I18" s="32">
        <f>SUM(I15:I16)</f>
        <v>18250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2" t="s">
        <v>23</v>
      </c>
      <c r="C22" s="112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2"/>
      <c r="C23" s="113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18250</v>
      </c>
      <c r="J23" s="41">
        <f>SUM(D23:I23)</f>
        <v>18250</v>
      </c>
      <c r="K23" s="42">
        <f>SUM(H23:I23)</f>
        <v>18250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391220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1647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1648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391220</v>
      </c>
      <c r="D15" s="15" t="s">
        <v>1649</v>
      </c>
      <c r="E15" s="15" t="s">
        <v>1650</v>
      </c>
      <c r="F15" s="14" t="s">
        <v>1651</v>
      </c>
      <c r="G15" s="17">
        <v>43187</v>
      </c>
      <c r="H15" s="14"/>
      <c r="I15" s="16">
        <v>-100</v>
      </c>
      <c r="J15" s="17">
        <v>43187</v>
      </c>
      <c r="K15" s="17">
        <v>43187</v>
      </c>
      <c r="L15" s="14">
        <f>IF(Table1107[[#This Row],[Account]]&lt;&gt;"",$N$8,"")</f>
        <v>0</v>
      </c>
      <c r="M15" s="105">
        <f>IF(Table1107[[#This Row],[Account]]&lt;&gt;"",J15+L15-$N$7,"")</f>
        <v>-349</v>
      </c>
      <c r="N15" s="74" t="str">
        <f>IF(Table1107[[#This Row],[Account]]&lt;&gt;"",IF(Table1107[[#This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IF(Table1107[[#This Row],[Account]]&lt;&gt;"",$N$8,"")</f>
        <v/>
      </c>
      <c r="M16" s="24" t="str">
        <f>IF(Table1107[[#This Row],[Account]]&lt;&gt;"",J16+L16-$N$7,"")</f>
        <v/>
      </c>
      <c r="N16" s="25" t="str">
        <f>IF(Table1107[[#This Row],[Account]]&lt;&gt;"",IF(Table1107[[#This Row],[Aging ]]&lt;0,"OVERDUE","OK"),"")</f>
        <v/>
      </c>
    </row>
    <row r="17" spans="2:17" ht="15.75" thickBot="1" x14ac:dyDescent="0.3">
      <c r="B17" s="1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IF(Table1107[[#This Row],[Account]]&lt;&gt;"",$N$8,"")</f>
        <v/>
      </c>
      <c r="M17" s="18" t="str">
        <f>IF(Table1107[[#This Row],[Account]]&lt;&gt;"",J17+L17-$N$7,"")</f>
        <v/>
      </c>
      <c r="N17" s="19" t="str">
        <f>IF(Table1107[[#This Row],[Account]]&lt;&gt;"",IF(Table1107[[#This Row],[Aging ]]&lt;0,"OVERDUE","OK"),"")</f>
        <v/>
      </c>
    </row>
    <row r="18" spans="2:17" ht="15.75" thickBot="1" x14ac:dyDescent="0.3">
      <c r="B18" s="115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IF(Table1107[[#This Row],[Account]]&lt;&gt;"",$N$8,"")</f>
        <v/>
      </c>
      <c r="M18" s="24" t="str">
        <f>IF(Table1107[[#This Row],[Account]]&lt;&gt;"",J18+L18-$N$7,"")</f>
        <v/>
      </c>
      <c r="N18" s="25" t="str">
        <f>IF(Table1107[[#This Row],[Account]]&lt;&gt;"",IF(Table1107[[#This Row],[Aging ]]&lt;0,"OVERDUE","OK"),"")</f>
        <v/>
      </c>
    </row>
    <row r="19" spans="2:17" ht="15.75" thickBot="1" x14ac:dyDescent="0.3">
      <c r="B19" s="1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IF(Table1107[[#This Row],[Account]]&lt;&gt;"",$N$8,"")</f>
        <v/>
      </c>
      <c r="M19" s="18" t="str">
        <f>IF(Table1107[[#This Row],[Account]]&lt;&gt;"",J19+L19-$N$7,"")</f>
        <v/>
      </c>
      <c r="N19" s="19" t="str">
        <f>IF(Table1107[[#This Row],[Account]]&lt;&gt;"",IF(Table1107[[#This Row],[Aging ]]&lt;0,"OVERDUE","OK"),"")</f>
        <v/>
      </c>
    </row>
    <row r="20" spans="2:17" ht="15.75" thickBot="1" x14ac:dyDescent="0.3">
      <c r="B20" s="115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IF(Table1107[[#This Row],[Account]]&lt;&gt;"",$N$8,"")</f>
        <v/>
      </c>
      <c r="M20" s="24" t="str">
        <f>IF(Table1107[[#This Row],[Account]]&lt;&gt;"",J20+L20-$N$7,"")</f>
        <v/>
      </c>
      <c r="N20" s="25" t="str">
        <f>IF(Table1107[[#This Row],[Account]]&lt;&gt;"",IF(Table1107[[#This Row],[Aging ]]&lt;0,"OVERDUE","OK"),"")</f>
        <v/>
      </c>
      <c r="Q20" s="26"/>
    </row>
    <row r="21" spans="2:17" ht="15.75" thickBot="1" x14ac:dyDescent="0.3">
      <c r="B21" s="1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IF(Table1107[[#This Row],[Account]]&lt;&gt;"",$N$8,"")</f>
        <v/>
      </c>
      <c r="M21" s="18" t="str">
        <f>IF(Table1107[[#This Row],[Account]]&lt;&gt;"",J21+L21-$N$7,"")</f>
        <v/>
      </c>
      <c r="N21" s="19" t="str">
        <f>IF(Table1107[[#This Row],[Account]]&lt;&gt;"",IF(Table1107[[#This Row],[Aging ]]&lt;0,"OVERDUE","OK"),"")</f>
        <v/>
      </c>
      <c r="Q21" s="26"/>
    </row>
    <row r="22" spans="2:17" ht="15.75" thickBot="1" x14ac:dyDescent="0.3">
      <c r="B22" s="115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IF(Table1107[[#This Row],[Account]]&lt;&gt;"",$N$8,"")</f>
        <v/>
      </c>
      <c r="M22" s="24" t="str">
        <f>IF(Table1107[[#This Row],[Account]]&lt;&gt;"",J22+L22-$N$7,"")</f>
        <v/>
      </c>
      <c r="N22" s="25" t="str">
        <f>IF(Table1107[[#This Row],[Account]]&lt;&gt;"",IF(Table1107[[#This Row],[Aging ]]&lt;0,"OVERDUE","OK"),"")</f>
        <v/>
      </c>
      <c r="Q22" s="26"/>
    </row>
    <row r="23" spans="2:17" ht="15.75" thickBot="1" x14ac:dyDescent="0.3">
      <c r="B23" s="1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IF(Table1107[[#This Row],[Account]]&lt;&gt;"",$N$8,"")</f>
        <v/>
      </c>
      <c r="M23" s="18" t="str">
        <f>IF(Table1107[[#This Row],[Account]]&lt;&gt;"",J23+L23-$N$7,"")</f>
        <v/>
      </c>
      <c r="N23" s="19" t="str">
        <f>IF(Table1107[[#This Row],[Account]]&lt;&gt;"",IF(Table1107[[#This Row],[Aging ]]&lt;0,"OVERDUE","OK"),"")</f>
        <v/>
      </c>
      <c r="Q23" s="26"/>
    </row>
    <row r="24" spans="2:17" ht="15.75" thickBot="1" x14ac:dyDescent="0.3">
      <c r="B24" s="115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IF(Table1107[[#This Row],[Account]]&lt;&gt;"",$N$8,"")</f>
        <v/>
      </c>
      <c r="M24" s="24" t="str">
        <f>IF(Table1107[[#This Row],[Account]]&lt;&gt;"",J24+L24-$N$7,"")</f>
        <v/>
      </c>
      <c r="N24" s="25" t="str">
        <f>IF(Table1107[[#This Row],[Account]]&lt;&gt;"",IF(Table1107[[#This Row],[Aging ]]&lt;0,"OVERDUE","OK"),"")</f>
        <v/>
      </c>
      <c r="Q24" s="26"/>
    </row>
    <row r="25" spans="2:17" ht="15.75" thickBot="1" x14ac:dyDescent="0.3">
      <c r="B25" s="1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IF(Table1107[[#This Row],[Account]]&lt;&gt;"",$N$8,"")</f>
        <v/>
      </c>
      <c r="M25" s="18" t="str">
        <f>IF(Table1107[[#This Row],[Account]]&lt;&gt;"",J25+L25-$N$7,"")</f>
        <v/>
      </c>
      <c r="N25" s="19" t="str">
        <f>IF(Table1107[[#This Row],[Account]]&lt;&gt;"",IF(Table1107[[#This Row],[Aging ]]&lt;0,"OVERDUE","OK"),"")</f>
        <v/>
      </c>
      <c r="Q25" s="26"/>
    </row>
    <row r="26" spans="2:17" ht="15.75" thickBot="1" x14ac:dyDescent="0.3">
      <c r="B26" s="115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IF(Table1107[[#This Row],[Account]]&lt;&gt;"",$N$8,"")</f>
        <v/>
      </c>
      <c r="M26" s="24" t="str">
        <f>IF(Table1107[[#This Row],[Account]]&lt;&gt;"",J26+L26-$N$7,"")</f>
        <v/>
      </c>
      <c r="N26" s="25" t="str">
        <f>IF(Table1107[[#This Row],[Account]]&lt;&gt;"",IF(Table1107[[#This Row],[Aging ]]&lt;0,"OVERDUE","OK"),"")</f>
        <v/>
      </c>
      <c r="Q26" s="26"/>
    </row>
    <row r="27" spans="2:17" ht="15.75" thickBot="1" x14ac:dyDescent="0.3">
      <c r="B27" s="1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IF(Table1107[[#This Row],[Account]]&lt;&gt;"",$N$8,"")</f>
        <v/>
      </c>
      <c r="M27" s="18" t="str">
        <f>IF(Table1107[[#This Row],[Account]]&lt;&gt;"",J27+L27-$N$7,"")</f>
        <v/>
      </c>
      <c r="N27" s="19" t="str">
        <f>IF(Table1107[[#This Row],[Account]]&lt;&gt;"",IF(Table1107[[#This Row],[Aging ]]&lt;0,"OVERDUE","OK"),"")</f>
        <v/>
      </c>
      <c r="Q27" s="26"/>
    </row>
    <row r="28" spans="2:17" ht="15.75" thickBot="1" x14ac:dyDescent="0.3">
      <c r="B28" s="115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IF(Table1107[[#This Row],[Account]]&lt;&gt;"",$N$8,"")</f>
        <v/>
      </c>
      <c r="M28" s="24" t="str">
        <f>IF(Table1107[[#This Row],[Account]]&lt;&gt;"",J28+L28-$N$7,"")</f>
        <v/>
      </c>
      <c r="N28" s="25" t="str">
        <f>IF(Table1107[[#This Row],[Account]]&lt;&gt;"",IF(Table1107[[#This Row],[Aging ]]&lt;0,"OVERDUE","OK"),"")</f>
        <v/>
      </c>
      <c r="Q28" s="26"/>
    </row>
    <row r="29" spans="2:17" ht="15.75" thickBot="1" x14ac:dyDescent="0.3">
      <c r="B29" s="1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IF(Table1107[[#This Row],[Account]]&lt;&gt;"",$N$8,"")</f>
        <v/>
      </c>
      <c r="M29" s="18" t="str">
        <f>IF(Table1107[[#This Row],[Account]]&lt;&gt;"",J29+L29-$N$7,"")</f>
        <v/>
      </c>
      <c r="N29" s="19" t="str">
        <f>IF(Table1107[[#This Row],[Account]]&lt;&gt;"",IF(Table1107[[#This Row],[Aging ]]&lt;0,"OVERDUE","OK"),"")</f>
        <v/>
      </c>
      <c r="Q29" s="26"/>
    </row>
    <row r="30" spans="2:17" ht="15.75" thickBot="1" x14ac:dyDescent="0.3">
      <c r="B30" s="115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IF(Table1107[[#This Row],[Account]]&lt;&gt;"",$N$8,"")</f>
        <v/>
      </c>
      <c r="M30" s="24" t="str">
        <f>IF(Table1107[[#This Row],[Account]]&lt;&gt;"",J30+L30-$N$7,"")</f>
        <v/>
      </c>
      <c r="N30" s="25" t="str">
        <f>IF(Table1107[[#This Row],[Account]]&lt;&gt;"",IF(Table1107[[#This Row],[Aging ]]&lt;0,"OVERDUE","OK"),"")</f>
        <v/>
      </c>
      <c r="Q30" s="26"/>
    </row>
    <row r="31" spans="2:17" ht="15.75" thickBot="1" x14ac:dyDescent="0.3">
      <c r="B31" s="1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IF(Table1107[[#This Row],[Account]]&lt;&gt;"",$N$8,"")</f>
        <v/>
      </c>
      <c r="M31" s="18" t="str">
        <f>IF(Table1107[[#This Row],[Account]]&lt;&gt;"",J31+L31-$N$7,"")</f>
        <v/>
      </c>
      <c r="N31" s="19" t="str">
        <f>IF(Table1107[[#This Row],[Account]]&lt;&gt;"",IF(Table1107[[#This Row],[Aging ]]&lt;0,"OVERDUE","OK"),"")</f>
        <v/>
      </c>
      <c r="Q31" s="26"/>
    </row>
    <row r="32" spans="2:17" ht="15.75" thickBot="1" x14ac:dyDescent="0.3">
      <c r="B32" s="115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IF(Table1107[[#This Row],[Account]]&lt;&gt;"",$N$8,"")</f>
        <v/>
      </c>
      <c r="M32" s="24" t="str">
        <f>IF(Table1107[[#This Row],[Account]]&lt;&gt;"",J32+L32-$N$7,"")</f>
        <v/>
      </c>
      <c r="N32" s="25" t="str">
        <f>IF(Table1107[[#This Row],[Account]]&lt;&gt;"",IF(Table1107[[#This Row],[Aging ]]&lt;0,"OVERDUE","OK"),"")</f>
        <v/>
      </c>
      <c r="Q32" s="26"/>
    </row>
    <row r="33" spans="2:17" ht="15.75" thickBot="1" x14ac:dyDescent="0.3">
      <c r="B33" s="1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IF(Table1107[[#This Row],[Account]]&lt;&gt;"",$N$8,"")</f>
        <v/>
      </c>
      <c r="M33" s="18" t="str">
        <f>IF(Table1107[[#This Row],[Account]]&lt;&gt;"",J33+L33-$N$7,"")</f>
        <v/>
      </c>
      <c r="N33" s="19" t="str">
        <f>IF(Table1107[[#This Row],[Account]]&lt;&gt;"",IF(Table1107[[#This Row],[Aging ]]&lt;0,"OVERDUE","OK"),"")</f>
        <v/>
      </c>
      <c r="Q33" s="26"/>
    </row>
    <row r="34" spans="2:17" ht="15.75" thickBot="1" x14ac:dyDescent="0.3">
      <c r="B34" s="115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IF(Table1107[[#This Row],[Account]]&lt;&gt;"",$N$8,"")</f>
        <v/>
      </c>
      <c r="M34" s="24" t="str">
        <f>IF(Table1107[[#This Row],[Account]]&lt;&gt;"",J34+L34-$N$7,"")</f>
        <v/>
      </c>
      <c r="N34" s="25" t="str">
        <f>IF(Table1107[[#This Row],[Account]]&lt;&gt;"",IF(Table1107[[#This Row],[Aging ]]&lt;0,"OVERDUE","OK"),"")</f>
        <v/>
      </c>
      <c r="Q34" s="26"/>
    </row>
    <row r="35" spans="2:17" ht="15.75" thickBot="1" x14ac:dyDescent="0.3">
      <c r="B35" s="1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IF(Table1107[[#This Row],[Account]]&lt;&gt;"",$N$8,"")</f>
        <v/>
      </c>
      <c r="M35" s="18" t="str">
        <f>IF(Table1107[[#This Row],[Account]]&lt;&gt;"",J35+L35-$N$7,"")</f>
        <v/>
      </c>
      <c r="N35" s="19" t="str">
        <f>IF(Table1107[[#This Row],[Account]]&lt;&gt;"",IF(Table1107[[#This Row],[Aging ]]&lt;0,"OVERDUE","OK"),"")</f>
        <v/>
      </c>
      <c r="Q35" s="26"/>
    </row>
    <row r="36" spans="2:17" ht="15.75" thickBot="1" x14ac:dyDescent="0.3">
      <c r="B36" s="115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IF(Table1107[[#This Row],[Account]]&lt;&gt;"",$N$8,"")</f>
        <v/>
      </c>
      <c r="M36" s="24" t="str">
        <f>IF(Table1107[[#This Row],[Account]]&lt;&gt;"",J36+L36-$N$7,"")</f>
        <v/>
      </c>
      <c r="N36" s="25" t="str">
        <f>IF(Table1107[[#This Row],[Account]]&lt;&gt;"",IF(Table1107[[#This Row],[Aging ]]&lt;0,"OVERDUE","OK"),"")</f>
        <v/>
      </c>
      <c r="Q36" s="26"/>
    </row>
    <row r="37" spans="2:17" ht="15.75" thickBot="1" x14ac:dyDescent="0.3">
      <c r="B37" s="1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IF(Table1107[[#This Row],[Account]]&lt;&gt;"",$N$8,"")</f>
        <v/>
      </c>
      <c r="M37" s="18" t="str">
        <f>IF(Table1107[[#This Row],[Account]]&lt;&gt;"",J37+L37-$N$7,"")</f>
        <v/>
      </c>
      <c r="N37" s="19" t="str">
        <f>IF(Table1107[[#This Row],[Account]]&lt;&gt;"",IF(Table1107[[#This Row],[Aging ]]&lt;0,"OVERDUE","OK"),"")</f>
        <v/>
      </c>
      <c r="Q37" s="26"/>
    </row>
    <row r="38" spans="2:17" ht="15.75" thickBot="1" x14ac:dyDescent="0.3">
      <c r="B38" s="115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IF(Table1107[[#This Row],[Account]]&lt;&gt;"",$N$8,"")</f>
        <v/>
      </c>
      <c r="M38" s="24" t="str">
        <f>IF(Table1107[[#This Row],[Account]]&lt;&gt;"",J38+L38-$N$7,"")</f>
        <v/>
      </c>
      <c r="N38" s="25" t="str">
        <f>IF(Table1107[[#This Row],[Account]]&lt;&gt;"",IF(Table1107[[#This Row],[Aging ]]&lt;0,"OVERDUE","OK"),"")</f>
        <v/>
      </c>
      <c r="Q38" s="26"/>
    </row>
    <row r="39" spans="2:17" ht="15.75" thickBot="1" x14ac:dyDescent="0.3">
      <c r="B39" s="1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IF(Table1107[[#This Row],[Account]]&lt;&gt;"",$N$8,"")</f>
        <v/>
      </c>
      <c r="M39" s="18" t="str">
        <f>IF(Table1107[[#This Row],[Account]]&lt;&gt;"",J39+L39-$N$7,"")</f>
        <v/>
      </c>
      <c r="N39" s="19" t="str">
        <f>IF(Table1107[[#This Row],[Account]]&lt;&gt;"",IF(Table1107[[#This Row],[Aging ]]&lt;0,"OVERDUE","OK"),"")</f>
        <v/>
      </c>
      <c r="Q39" s="26"/>
    </row>
    <row r="40" spans="2:17" ht="15.75" thickBot="1" x14ac:dyDescent="0.3">
      <c r="B40" s="115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IF(Table1107[[#This Row],[Account]]&lt;&gt;"",$N$8,"")</f>
        <v/>
      </c>
      <c r="M40" s="24" t="str">
        <f>IF(Table1107[[#This Row],[Account]]&lt;&gt;"",J40+L40-$N$7,"")</f>
        <v/>
      </c>
      <c r="N40" s="25" t="str">
        <f>IF(Table1107[[#This Row],[Account]]&lt;&gt;"",IF(Table1107[[#This Row],[Aging ]]&lt;0,"OVERDUE","OK"),"")</f>
        <v/>
      </c>
      <c r="Q40" s="26"/>
    </row>
    <row r="41" spans="2:17" ht="15.75" thickBot="1" x14ac:dyDescent="0.3">
      <c r="B41" s="1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IF(Table1107[[#This Row],[Account]]&lt;&gt;"",$N$8,"")</f>
        <v/>
      </c>
      <c r="M41" s="18" t="str">
        <f>IF(Table1107[[#This Row],[Account]]&lt;&gt;"",J41+L41-$N$7,"")</f>
        <v/>
      </c>
      <c r="N41" s="19" t="str">
        <f>IF(Table1107[[#This Row],[Account]]&lt;&gt;"",IF(Table1107[[#This Row],[Aging ]]&lt;0,"OVERDUE","OK"),"")</f>
        <v/>
      </c>
      <c r="Q41" s="26"/>
    </row>
    <row r="42" spans="2:17" ht="15.75" thickBot="1" x14ac:dyDescent="0.3">
      <c r="B42" s="115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IF(Table1107[[#This Row],[Account]]&lt;&gt;"",$N$8,"")</f>
        <v/>
      </c>
      <c r="M42" s="24" t="str">
        <f>IF(Table1107[[#This Row],[Account]]&lt;&gt;"",J42+L42-$N$7,"")</f>
        <v/>
      </c>
      <c r="N42" s="25" t="str">
        <f>IF(Table1107[[#This Row],[Account]]&lt;&gt;"",IF(Table1107[[#This Row],[Aging ]]&lt;0,"OVERDUE","OK"),"")</f>
        <v/>
      </c>
      <c r="Q42" s="26"/>
    </row>
    <row r="43" spans="2:17" ht="15.75" thickBot="1" x14ac:dyDescent="0.3">
      <c r="B43" s="1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IF(Table1107[[#This Row],[Account]]&lt;&gt;"",$N$8,"")</f>
        <v/>
      </c>
      <c r="M43" s="18" t="str">
        <f>IF(Table1107[[#This Row],[Account]]&lt;&gt;"",J43+L43-$N$7,"")</f>
        <v/>
      </c>
      <c r="N43" s="19" t="str">
        <f>IF(Table1107[[#This Row],[Account]]&lt;&gt;"",IF(Table1107[[#This Row],[Aging ]]&lt;0,"OVERDUE","OK"),"")</f>
        <v/>
      </c>
      <c r="Q43" s="26"/>
    </row>
    <row r="44" spans="2:17" ht="15.75" thickBot="1" x14ac:dyDescent="0.3">
      <c r="B44" s="115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IF(Table1107[[#This Row],[Account]]&lt;&gt;"",$N$8,"")</f>
        <v/>
      </c>
      <c r="M44" s="24" t="str">
        <f>IF(Table1107[[#This Row],[Account]]&lt;&gt;"",J44+L44-$N$7,"")</f>
        <v/>
      </c>
      <c r="N44" s="25" t="str">
        <f>IF(Table1107[[#This Row],[Account]]&lt;&gt;"",IF(Table1107[[#This Row],[Aging ]]&lt;0,"OVERDUE","OK"),"")</f>
        <v/>
      </c>
      <c r="Q44" s="26"/>
    </row>
    <row r="45" spans="2:17" ht="15.75" thickBot="1" x14ac:dyDescent="0.3">
      <c r="B45" s="1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IF(Table1107[[#This Row],[Account]]&lt;&gt;"",$N$8,"")</f>
        <v/>
      </c>
      <c r="M45" s="18" t="str">
        <f>IF(Table1107[[#This Row],[Account]]&lt;&gt;"",J45+L45-$N$7,"")</f>
        <v/>
      </c>
      <c r="N45" s="19" t="str">
        <f>IF(Table1107[[#This Row],[Account]]&lt;&gt;"",IF(Table1107[[#This Row],[Aging ]]&lt;0,"OVERDUE","OK"),"")</f>
        <v/>
      </c>
      <c r="Q45" s="26"/>
    </row>
    <row r="46" spans="2:17" ht="15.75" thickBot="1" x14ac:dyDescent="0.3">
      <c r="B46" s="115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IF(Table1107[[#This Row],[Account]]&lt;&gt;"",$N$8,"")</f>
        <v/>
      </c>
      <c r="M46" s="24" t="str">
        <f>IF(Table1107[[#This Row],[Account]]&lt;&gt;"",J46+L46-$N$7,"")</f>
        <v/>
      </c>
      <c r="N46" s="25" t="str">
        <f>IF(Table1107[[#This Row],[Account]]&lt;&gt;"",IF(Table1107[[#This Row],[Aging ]]&lt;0,"OVERDUE","OK"),"")</f>
        <v/>
      </c>
      <c r="Q46" s="26"/>
    </row>
    <row r="47" spans="2:17" ht="15.75" thickBot="1" x14ac:dyDescent="0.3">
      <c r="B47" s="1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IF(Table1107[[#This Row],[Account]]&lt;&gt;"",$N$8,"")</f>
        <v/>
      </c>
      <c r="M47" s="18" t="str">
        <f>IF(Table1107[[#This Row],[Account]]&lt;&gt;"",J47+L47-$N$7,"")</f>
        <v/>
      </c>
      <c r="N47" s="19" t="str">
        <f>IF(Table1107[[#This Row],[Account]]&lt;&gt;"",IF(Table1107[[#This Row],[Aging ]]&lt;0,"OVERDUE","OK"),"")</f>
        <v/>
      </c>
      <c r="Q47" s="26"/>
    </row>
    <row r="48" spans="2:17" ht="15.75" thickBot="1" x14ac:dyDescent="0.3">
      <c r="B48" s="115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IF(Table1107[[#This Row],[Account]]&lt;&gt;"",$N$8,"")</f>
        <v/>
      </c>
      <c r="M48" s="24" t="str">
        <f>IF(Table1107[[#This Row],[Account]]&lt;&gt;"",J48+L48-$N$7,"")</f>
        <v/>
      </c>
      <c r="N48" s="25" t="str">
        <f>IF(Table1107[[#This Row],[Account]]&lt;&gt;"",IF(Table1107[[#This Row],[Aging ]]&lt;0,"OVERDUE","OK"),"")</f>
        <v/>
      </c>
      <c r="Q48" s="26"/>
    </row>
    <row r="49" spans="2:17" ht="15.75" thickBot="1" x14ac:dyDescent="0.3">
      <c r="B49" s="1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IF(Table1107[[#This Row],[Account]]&lt;&gt;"",$N$8,"")</f>
        <v/>
      </c>
      <c r="M49" s="18" t="str">
        <f>IF(Table1107[[#This Row],[Account]]&lt;&gt;"",J49+L49-$N$7,"")</f>
        <v/>
      </c>
      <c r="N49" s="19" t="str">
        <f>IF(Table1107[[#This Row],[Account]]&lt;&gt;"",IF(Table1107[[#This Row],[Aging ]]&lt;0,"OVERDUE","OK"),"")</f>
        <v/>
      </c>
      <c r="Q49" s="26"/>
    </row>
    <row r="50" spans="2:17" ht="15.75" thickBot="1" x14ac:dyDescent="0.3">
      <c r="B50" s="115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IF(Table1107[[#This Row],[Account]]&lt;&gt;"",$N$8,"")</f>
        <v/>
      </c>
      <c r="M50" s="24" t="str">
        <f>IF(Table1107[[#This Row],[Account]]&lt;&gt;"",J50+L50-$N$7,"")</f>
        <v/>
      </c>
      <c r="N50" s="25" t="str">
        <f>IF(Table1107[[#This Row],[Account]]&lt;&gt;"",IF(Table1107[[#This Row],[Aging ]]&lt;0,"OVERDUE","OK"),"")</f>
        <v/>
      </c>
      <c r="Q50" s="26"/>
    </row>
    <row r="51" spans="2:17" ht="15.75" thickBot="1" x14ac:dyDescent="0.3">
      <c r="B51" s="1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IF(Table1107[[#This Row],[Account]]&lt;&gt;"",$N$8,"")</f>
        <v/>
      </c>
      <c r="M51" s="18" t="str">
        <f>IF(Table1107[[#This Row],[Account]]&lt;&gt;"",J51+L51-$N$7,"")</f>
        <v/>
      </c>
      <c r="N51" s="19" t="str">
        <f>IF(Table1107[[#This Row],[Account]]&lt;&gt;"",IF(Table1107[[#This Row],[Aging ]]&lt;0,"OVERDUE","OK"),"")</f>
        <v/>
      </c>
      <c r="Q51" s="26"/>
    </row>
    <row r="52" spans="2:17" ht="15.75" thickBot="1" x14ac:dyDescent="0.3">
      <c r="B52" s="115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IF(Table1107[[#This Row],[Account]]&lt;&gt;"",$N$8,"")</f>
        <v/>
      </c>
      <c r="M52" s="24" t="str">
        <f>IF(Table1107[[#This Row],[Account]]&lt;&gt;"",J52+L52-$N$7,"")</f>
        <v/>
      </c>
      <c r="N52" s="25" t="str">
        <f>IF(Table1107[[#This Row],[Account]]&lt;&gt;"",IF(Table1107[[#This Row],[Aging ]]&lt;0,"OVERDUE","OK"),"")</f>
        <v/>
      </c>
      <c r="Q52" s="26"/>
    </row>
    <row r="53" spans="2:17" ht="15.75" thickBot="1" x14ac:dyDescent="0.3">
      <c r="B53" s="1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IF(Table1107[[#This Row],[Account]]&lt;&gt;"",$N$8,"")</f>
        <v/>
      </c>
      <c r="M53" s="18" t="str">
        <f>IF(Table1107[[#This Row],[Account]]&lt;&gt;"",J53+L53-$N$7,"")</f>
        <v/>
      </c>
      <c r="N53" s="19" t="str">
        <f>IF(Table1107[[#This Row],[Account]]&lt;&gt;"",IF(Table1107[[#This Row],[Aging ]]&lt;0,"OVERDUE","OK"),"")</f>
        <v/>
      </c>
      <c r="Q53" s="26"/>
    </row>
    <row r="54" spans="2:17" ht="15.75" thickBot="1" x14ac:dyDescent="0.3">
      <c r="B54" s="115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IF(Table1107[[#This Row],[Account]]&lt;&gt;"",$N$8,"")</f>
        <v/>
      </c>
      <c r="M54" s="24" t="str">
        <f>IF(Table1107[[#This Row],[Account]]&lt;&gt;"",J54+L54-$N$7,"")</f>
        <v/>
      </c>
      <c r="N54" s="25" t="str">
        <f>IF(Table1107[[#This Row],[Account]]&lt;&gt;"",IF(Table1107[[#This Row],[Aging ]]&lt;0,"OVERDUE","OK"),"")</f>
        <v/>
      </c>
      <c r="Q54" s="26"/>
    </row>
    <row r="55" spans="2:17" ht="15.75" thickBot="1" x14ac:dyDescent="0.3">
      <c r="B55" s="1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IF(Table1107[[#This Row],[Account]]&lt;&gt;"",$N$8,"")</f>
        <v/>
      </c>
      <c r="M55" s="18" t="str">
        <f>IF(Table1107[[#This Row],[Account]]&lt;&gt;"",J55+L55-$N$7,"")</f>
        <v/>
      </c>
      <c r="N55" s="19" t="str">
        <f>IF(Table1107[[#This Row],[Account]]&lt;&gt;"",IF(Table1107[[#This Row],[Aging ]]&lt;0,"OVERDUE","OK"),"")</f>
        <v/>
      </c>
      <c r="Q55" s="26"/>
    </row>
    <row r="56" spans="2:17" ht="15.75" thickBot="1" x14ac:dyDescent="0.3">
      <c r="B56" s="115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IF(Table1107[[#This Row],[Account]]&lt;&gt;"",$N$8,"")</f>
        <v/>
      </c>
      <c r="M56" s="24" t="str">
        <f>IF(Table1107[[#This Row],[Account]]&lt;&gt;"",J56+L56-$N$7,"")</f>
        <v/>
      </c>
      <c r="N56" s="25" t="str">
        <f>IF(Table1107[[#This Row],[Account]]&lt;&gt;"",IF(Table1107[[#This Row],[Aging ]]&lt;0,"OVERDUE","OK"),"")</f>
        <v/>
      </c>
      <c r="Q56" s="26"/>
    </row>
    <row r="57" spans="2:17" ht="15.75" thickBot="1" x14ac:dyDescent="0.3">
      <c r="B57" s="1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IF(Table1107[[#This Row],[Account]]&lt;&gt;"",$N$8,"")</f>
        <v/>
      </c>
      <c r="M57" s="18" t="str">
        <f>IF(Table1107[[#This Row],[Account]]&lt;&gt;"",J57+L57-$N$7,"")</f>
        <v/>
      </c>
      <c r="N57" s="19" t="str">
        <f>IF(Table1107[[#This Row],[Account]]&lt;&gt;"",IF(Table1107[[#This Row],[Aging ]]&lt;0,"OVERDUE","OK"),"")</f>
        <v/>
      </c>
      <c r="Q57" s="26"/>
    </row>
    <row r="58" spans="2:17" ht="15.75" thickBot="1" x14ac:dyDescent="0.3">
      <c r="B58" s="115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IF(Table1107[[#This Row],[Account]]&lt;&gt;"",$N$8,"")</f>
        <v/>
      </c>
      <c r="M58" s="24" t="str">
        <f>IF(Table1107[[#This Row],[Account]]&lt;&gt;"",J58+L58-$N$7,"")</f>
        <v/>
      </c>
      <c r="N58" s="25" t="str">
        <f>IF(Table1107[[#This Row],[Account]]&lt;&gt;"",IF(Table1107[[#This Row],[Aging ]]&lt;0,"OVERDUE","OK"),"")</f>
        <v/>
      </c>
      <c r="Q58" s="26"/>
    </row>
    <row r="59" spans="2:17" ht="15.75" thickBot="1" x14ac:dyDescent="0.3">
      <c r="B59" s="1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IF(Table1107[[#This Row],[Account]]&lt;&gt;"",$N$8,"")</f>
        <v/>
      </c>
      <c r="M59" s="18" t="str">
        <f>IF(Table1107[[#This Row],[Account]]&lt;&gt;"",J59+L59-$N$7,"")</f>
        <v/>
      </c>
      <c r="N59" s="19" t="str">
        <f>IF(Table1107[[#This Row],[Account]]&lt;&gt;"",IF(Table1107[[#This Row],[Aging ]]&lt;0,"OVERDUE","OK"),"")</f>
        <v/>
      </c>
      <c r="Q59" s="26"/>
    </row>
    <row r="60" spans="2:17" ht="15.75" thickBot="1" x14ac:dyDescent="0.3">
      <c r="B60" s="115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IF(Table1107[[#This Row],[Account]]&lt;&gt;"",$N$8,"")</f>
        <v/>
      </c>
      <c r="M60" s="24" t="str">
        <f>IF(Table1107[[#This Row],[Account]]&lt;&gt;"",J60+L60-$N$7,"")</f>
        <v/>
      </c>
      <c r="N60" s="25" t="str">
        <f>IF(Table1107[[#This Row],[Account]]&lt;&gt;"",IF(Table1107[[#This Row],[Aging ]]&lt;0,"OVERDUE","OK"),"")</f>
        <v/>
      </c>
      <c r="Q60" s="26"/>
    </row>
    <row r="61" spans="2:17" ht="15.75" thickBot="1" x14ac:dyDescent="0.3">
      <c r="B61" s="1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IF(Table1107[[#This Row],[Account]]&lt;&gt;"",$N$8,"")</f>
        <v/>
      </c>
      <c r="M61" s="18" t="str">
        <f>IF(Table1107[[#This Row],[Account]]&lt;&gt;"",J61+L61-$N$7,"")</f>
        <v/>
      </c>
      <c r="N61" s="19" t="str">
        <f>IF(Table1107[[#This Row],[Account]]&lt;&gt;"",IF(Table1107[[#This Row],[Aging ]]&lt;0,"OVERDUE","OK"),"")</f>
        <v/>
      </c>
      <c r="Q61" s="26"/>
    </row>
    <row r="62" spans="2:17" ht="15.75" thickBot="1" x14ac:dyDescent="0.3">
      <c r="B62" s="115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IF(Table1107[[#This Row],[Account]]&lt;&gt;"",$N$8,"")</f>
        <v/>
      </c>
      <c r="M62" s="24" t="str">
        <f>IF(Table1107[[#This Row],[Account]]&lt;&gt;"",J62+L62-$N$7,"")</f>
        <v/>
      </c>
      <c r="N62" s="25" t="str">
        <f>IF(Table1107[[#This Row],[Account]]&lt;&gt;"",IF(Table1107[[#This Row],[Aging ]]&lt;0,"OVERDUE","OK"),"")</f>
        <v/>
      </c>
      <c r="Q62" s="26"/>
    </row>
    <row r="63" spans="2:17" ht="15.75" thickBot="1" x14ac:dyDescent="0.3">
      <c r="B63" s="1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IF(Table1107[[#This Row],[Account]]&lt;&gt;"",$N$8,"")</f>
        <v/>
      </c>
      <c r="M63" s="18" t="str">
        <f>IF(Table1107[[#This Row],[Account]]&lt;&gt;"",J63+L63-$N$7,"")</f>
        <v/>
      </c>
      <c r="N63" s="19" t="str">
        <f>IF(Table1107[[#This Row],[Account]]&lt;&gt;"",IF(Table1107[[#This Row],[Aging ]]&lt;0,"OVERDUE","OK"),"")</f>
        <v/>
      </c>
      <c r="Q63" s="26"/>
    </row>
    <row r="64" spans="2:17" ht="15.75" thickBot="1" x14ac:dyDescent="0.3">
      <c r="B64" s="115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IF(Table1107[[#This Row],[Account]]&lt;&gt;"",$N$8,"")</f>
        <v/>
      </c>
      <c r="M64" s="24" t="str">
        <f>IF(Table1107[[#This Row],[Account]]&lt;&gt;"",J64+L64-$N$7,"")</f>
        <v/>
      </c>
      <c r="N64" s="25" t="str">
        <f>IF(Table1107[[#This Row],[Account]]&lt;&gt;"",IF(Table1107[[#This Row],[Aging ]]&lt;0,"OVERDUE","OK"),"")</f>
        <v/>
      </c>
      <c r="Q64" s="26"/>
    </row>
    <row r="65" spans="2:17" ht="15.75" thickBot="1" x14ac:dyDescent="0.3">
      <c r="B65" s="1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IF(Table1107[[#This Row],[Account]]&lt;&gt;"",$N$8,"")</f>
        <v/>
      </c>
      <c r="M65" s="18" t="str">
        <f>IF(Table1107[[#This Row],[Account]]&lt;&gt;"",J65+L65-$N$7,"")</f>
        <v/>
      </c>
      <c r="N65" s="19" t="str">
        <f>IF(Table1107[[#This Row],[Account]]&lt;&gt;"",IF(Table1107[[#This Row],[Aging ]]&lt;0,"OVERDUE","OK"),"")</f>
        <v/>
      </c>
      <c r="Q65" s="26"/>
    </row>
    <row r="66" spans="2:17" ht="15.75" thickBot="1" x14ac:dyDescent="0.3">
      <c r="B66" s="115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IF(Table1107[[#This Row],[Account]]&lt;&gt;"",$N$8,"")</f>
        <v/>
      </c>
      <c r="M66" s="24" t="str">
        <f>IF(Table1107[[#This Row],[Account]]&lt;&gt;"",J66+L66-$N$7,"")</f>
        <v/>
      </c>
      <c r="N66" s="25" t="str">
        <f>IF(Table1107[[#This Row],[Account]]&lt;&gt;"",IF(Table1107[[#This Row],[Aging ]]&lt;0,"OVERDUE","OK"),"")</f>
        <v/>
      </c>
      <c r="Q66" s="26"/>
    </row>
    <row r="67" spans="2:17" ht="15.75" thickBot="1" x14ac:dyDescent="0.3">
      <c r="B67" s="1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IF(Table1107[[#This Row],[Account]]&lt;&gt;"",$N$8,"")</f>
        <v/>
      </c>
      <c r="M67" s="18" t="str">
        <f>IF(Table1107[[#This Row],[Account]]&lt;&gt;"",J67+L67-$N$7,"")</f>
        <v/>
      </c>
      <c r="N67" s="19" t="str">
        <f>IF(Table1107[[#This Row],[Account]]&lt;&gt;"",IF(Table1107[[#This Row],[Aging ]]&lt;0,"OVERDUE","OK"),"")</f>
        <v/>
      </c>
      <c r="Q67" s="26"/>
    </row>
    <row r="68" spans="2:17" ht="15.75" thickBot="1" x14ac:dyDescent="0.3">
      <c r="B68" s="115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IF(Table1107[[#This Row],[Account]]&lt;&gt;"",$N$8,"")</f>
        <v/>
      </c>
      <c r="M68" s="24" t="str">
        <f>IF(Table1107[[#This Row],[Account]]&lt;&gt;"",J68+L68-$N$7,"")</f>
        <v/>
      </c>
      <c r="N68" s="25" t="str">
        <f>IF(Table1107[[#This Row],[Account]]&lt;&gt;"",IF(Table1107[[#This Row],[Aging ]]&lt;0,"OVERDUE","OK"),"")</f>
        <v/>
      </c>
      <c r="Q68" s="26"/>
    </row>
    <row r="69" spans="2:17" ht="15.75" thickBot="1" x14ac:dyDescent="0.3">
      <c r="B69" s="1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IF(Table1107[[#This Row],[Account]]&lt;&gt;"",$N$8,"")</f>
        <v/>
      </c>
      <c r="M69" s="18" t="str">
        <f>IF(Table1107[[#This Row],[Account]]&lt;&gt;"",J69+L69-$N$7,"")</f>
        <v/>
      </c>
      <c r="N69" s="19" t="str">
        <f>IF(Table1107[[#This Row],[Account]]&lt;&gt;"",IF(Table1107[[#This Row],[Aging ]]&lt;0,"OVERDUE","OK"),"")</f>
        <v/>
      </c>
      <c r="Q69" s="26"/>
    </row>
    <row r="70" spans="2:17" ht="15.75" thickBot="1" x14ac:dyDescent="0.3">
      <c r="B70" s="115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IF(Table1107[[#This Row],[Account]]&lt;&gt;"",$N$8,"")</f>
        <v/>
      </c>
      <c r="M70" s="24" t="str">
        <f>IF(Table1107[[#This Row],[Account]]&lt;&gt;"",J70+L70-$N$7,"")</f>
        <v/>
      </c>
      <c r="N70" s="25" t="str">
        <f>IF(Table1107[[#This Row],[Account]]&lt;&gt;"",IF(Table1107[[#This Row],[Aging ]]&lt;0,"OVERDUE","OK"),"")</f>
        <v/>
      </c>
      <c r="Q70" s="26"/>
    </row>
    <row r="71" spans="2:17" ht="15.75" thickBot="1" x14ac:dyDescent="0.3">
      <c r="B71" s="1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IF(Table1107[[#This Row],[Account]]&lt;&gt;"",$N$8,"")</f>
        <v/>
      </c>
      <c r="M71" s="18" t="str">
        <f>IF(Table1107[[#This Row],[Account]]&lt;&gt;"",J71+L71-$N$7,"")</f>
        <v/>
      </c>
      <c r="N71" s="19" t="str">
        <f>IF(Table1107[[#This Row],[Account]]&lt;&gt;"",IF(Table1107[[#This Row],[Aging ]]&lt;0,"OVERDUE","OK"),"")</f>
        <v/>
      </c>
      <c r="Q71" s="26"/>
    </row>
    <row r="72" spans="2:17" ht="15.75" thickBot="1" x14ac:dyDescent="0.3">
      <c r="B72" s="115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IF(Table1107[[#This Row],[Account]]&lt;&gt;"",$N$8,"")</f>
        <v/>
      </c>
      <c r="M72" s="24" t="str">
        <f>IF(Table1107[[#This Row],[Account]]&lt;&gt;"",J72+L72-$N$7,"")</f>
        <v/>
      </c>
      <c r="N72" s="25" t="str">
        <f>IF(Table1107[[#This Row],[Account]]&lt;&gt;"",IF(Table1107[[#This Row],[Aging ]]&lt;0,"OVERDUE","OK"),"")</f>
        <v/>
      </c>
      <c r="Q72" s="26"/>
    </row>
    <row r="73" spans="2:17" ht="15.75" thickBot="1" x14ac:dyDescent="0.3">
      <c r="B73" s="1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IF(Table1107[[#This Row],[Account]]&lt;&gt;"",$N$8,"")</f>
        <v/>
      </c>
      <c r="M73" s="18" t="str">
        <f>IF(Table1107[[#This Row],[Account]]&lt;&gt;"",J73+L73-$N$7,"")</f>
        <v/>
      </c>
      <c r="N73" s="19" t="str">
        <f>IF(Table1107[[#This Row],[Account]]&lt;&gt;"",IF(Table1107[[#This Row],[Aging ]]&lt;0,"OVERDUE","OK"),"")</f>
        <v/>
      </c>
      <c r="Q73" s="26"/>
    </row>
    <row r="74" spans="2:17" ht="15.75" thickBot="1" x14ac:dyDescent="0.3">
      <c r="B74" s="115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IF(Table1107[[#This Row],[Account]]&lt;&gt;"",$N$8,"")</f>
        <v/>
      </c>
      <c r="M74" s="24" t="str">
        <f>IF(Table1107[[#This Row],[Account]]&lt;&gt;"",J74+L74-$N$7,"")</f>
        <v/>
      </c>
      <c r="N74" s="25" t="str">
        <f>IF(Table1107[[#This Row],[Account]]&lt;&gt;"",IF(Table1107[[#This Row],[Aging ]]&lt;0,"OVERDUE","OK"),"")</f>
        <v/>
      </c>
      <c r="Q74" s="26"/>
    </row>
    <row r="75" spans="2:17" ht="15.75" thickBot="1" x14ac:dyDescent="0.3">
      <c r="B75" s="1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IF(Table1107[[#This Row],[Account]]&lt;&gt;"",$N$8,"")</f>
        <v/>
      </c>
      <c r="M75" s="18" t="str">
        <f>IF(Table1107[[#This Row],[Account]]&lt;&gt;"",J75+L75-$N$7,"")</f>
        <v/>
      </c>
      <c r="N75" s="19" t="str">
        <f>IF(Table1107[[#This Row],[Account]]&lt;&gt;"",IF(Table1107[[#This Row],[Aging ]]&lt;0,"OVERDUE","OK"),"")</f>
        <v/>
      </c>
      <c r="Q75" s="26"/>
    </row>
    <row r="76" spans="2:17" ht="15.75" thickBot="1" x14ac:dyDescent="0.3">
      <c r="B76" s="115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IF(Table1107[[#This Row],[Account]]&lt;&gt;"",$N$8,"")</f>
        <v/>
      </c>
      <c r="M76" s="24" t="str">
        <f>IF(Table1107[[#This Row],[Account]]&lt;&gt;"",J76+L76-$N$7,"")</f>
        <v/>
      </c>
      <c r="N76" s="25" t="str">
        <f>IF(Table1107[[#This Row],[Account]]&lt;&gt;"",IF(Table1107[[#This Row],[Aging ]]&lt;0,"OVERDUE","OK"),"")</f>
        <v/>
      </c>
      <c r="Q76" s="26"/>
    </row>
    <row r="77" spans="2:17" ht="15.75" thickBot="1" x14ac:dyDescent="0.3">
      <c r="B77" s="1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IF(Table1107[[#This Row],[Account]]&lt;&gt;"",$N$8,"")</f>
        <v/>
      </c>
      <c r="M77" s="18" t="str">
        <f>IF(Table1107[[#This Row],[Account]]&lt;&gt;"",J77+L77-$N$7,"")</f>
        <v/>
      </c>
      <c r="N77" s="19" t="str">
        <f>IF(Table1107[[#This Row],[Account]]&lt;&gt;"",IF(Table1107[[#This Row],[Aging ]]&lt;0,"OVERDUE","OK"),"")</f>
        <v/>
      </c>
      <c r="Q77" s="26"/>
    </row>
    <row r="78" spans="2:17" ht="15.75" thickBot="1" x14ac:dyDescent="0.3">
      <c r="B78" s="115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IF(Table1107[[#This Row],[Account]]&lt;&gt;"",$N$8,"")</f>
        <v/>
      </c>
      <c r="M78" s="24" t="str">
        <f>IF(Table1107[[#This Row],[Account]]&lt;&gt;"",J78+L78-$N$7,"")</f>
        <v/>
      </c>
      <c r="N78" s="25" t="str">
        <f>IF(Table1107[[#This Row],[Account]]&lt;&gt;"",IF(Table1107[[#This Row],[Aging ]]&lt;0,"OVERDUE","OK"),"")</f>
        <v/>
      </c>
      <c r="Q78" s="26"/>
    </row>
    <row r="79" spans="2:17" ht="15.75" thickBot="1" x14ac:dyDescent="0.3">
      <c r="B79" s="1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IF(Table1107[[#This Row],[Account]]&lt;&gt;"",$N$8,"")</f>
        <v/>
      </c>
      <c r="M79" s="18" t="str">
        <f>IF(Table1107[[#This Row],[Account]]&lt;&gt;"",J79+L79-$N$7,"")</f>
        <v/>
      </c>
      <c r="N79" s="19" t="str">
        <f>IF(Table1107[[#This Row],[Account]]&lt;&gt;"",IF(Table1107[[#This Row],[Aging ]]&lt;0,"OVERDUE","OK"),"")</f>
        <v/>
      </c>
      <c r="Q79" s="26"/>
    </row>
    <row r="80" spans="2:17" ht="15.75" thickBot="1" x14ac:dyDescent="0.3">
      <c r="B80" s="115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IF(Table1107[[#This Row],[Account]]&lt;&gt;"",$N$8,"")</f>
        <v/>
      </c>
      <c r="M80" s="24" t="str">
        <f>IF(Table1107[[#This Row],[Account]]&lt;&gt;"",J80+L80-$N$7,"")</f>
        <v/>
      </c>
      <c r="N80" s="25" t="str">
        <f>IF(Table1107[[#This Row],[Account]]&lt;&gt;"",IF(Table1107[[#This Row],[Aging ]]&lt;0,"OVERDUE","OK"),"")</f>
        <v/>
      </c>
      <c r="Q80" s="26"/>
    </row>
    <row r="81" spans="2:17" ht="15.75" thickBot="1" x14ac:dyDescent="0.3">
      <c r="B81" s="1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IF(Table1107[[#This Row],[Account]]&lt;&gt;"",$N$8,"")</f>
        <v/>
      </c>
      <c r="M81" s="18" t="str">
        <f>IF(Table1107[[#This Row],[Account]]&lt;&gt;"",J81+L81-$N$7,"")</f>
        <v/>
      </c>
      <c r="N81" s="19" t="str">
        <f>IF(Table1107[[#This Row],[Account]]&lt;&gt;"",IF(Table1107[[#This Row],[Aging ]]&lt;0,"OVERDUE","OK"),"")</f>
        <v/>
      </c>
      <c r="Q81" s="26"/>
    </row>
    <row r="82" spans="2:17" ht="15.75" thickBot="1" x14ac:dyDescent="0.3">
      <c r="B82" s="115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IF(Table1107[[#This Row],[Account]]&lt;&gt;"",$N$8,"")</f>
        <v/>
      </c>
      <c r="M82" s="24" t="str">
        <f>IF(Table1107[[#This Row],[Account]]&lt;&gt;"",J82+L82-$N$7,"")</f>
        <v/>
      </c>
      <c r="N82" s="25" t="str">
        <f>IF(Table1107[[#This Row],[Account]]&lt;&gt;"",IF(Table1107[[#This Row],[Aging ]]&lt;0,"OVERDUE","OK"),"")</f>
        <v/>
      </c>
      <c r="Q82" s="26"/>
    </row>
    <row r="83" spans="2:17" ht="15.75" thickBot="1" x14ac:dyDescent="0.3">
      <c r="B83" s="1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IF(Table1107[[#This Row],[Account]]&lt;&gt;"",$N$8,"")</f>
        <v/>
      </c>
      <c r="M83" s="18" t="str">
        <f>IF(Table1107[[#This Row],[Account]]&lt;&gt;"",J83+L83-$N$7,"")</f>
        <v/>
      </c>
      <c r="N83" s="19" t="str">
        <f>IF(Table1107[[#This Row],[Account]]&lt;&gt;"",IF(Table1107[[#This Row],[Aging ]]&lt;0,"OVERDUE","OK"),"")</f>
        <v/>
      </c>
      <c r="Q83" s="26"/>
    </row>
    <row r="84" spans="2:17" ht="15.75" thickBot="1" x14ac:dyDescent="0.3">
      <c r="B84" s="115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IF(Table1107[[#This Row],[Account]]&lt;&gt;"",$N$8,"")</f>
        <v/>
      </c>
      <c r="M84" s="24" t="str">
        <f>IF(Table1107[[#This Row],[Account]]&lt;&gt;"",J84+L84-$N$7,"")</f>
        <v/>
      </c>
      <c r="N84" s="25" t="str">
        <f>IF(Table1107[[#This Row],[Account]]&lt;&gt;"",IF(Table1107[[#This Row],[Aging ]]&lt;0,"OVERDUE","OK"),"")</f>
        <v/>
      </c>
      <c r="Q84" s="26"/>
    </row>
    <row r="85" spans="2:17" ht="15.75" thickBot="1" x14ac:dyDescent="0.3">
      <c r="B85" s="1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IF(Table1107[[#This Row],[Account]]&lt;&gt;"",$N$8,"")</f>
        <v/>
      </c>
      <c r="M85" s="18" t="str">
        <f>IF(Table1107[[#This Row],[Account]]&lt;&gt;"",J85+L85-$N$7,"")</f>
        <v/>
      </c>
      <c r="N85" s="19" t="str">
        <f>IF(Table1107[[#This Row],[Account]]&lt;&gt;"",IF(Table1107[[#This Row],[Aging ]]&lt;0,"OVERDUE","OK"),"")</f>
        <v/>
      </c>
      <c r="Q85" s="26"/>
    </row>
    <row r="86" spans="2:17" ht="15.75" thickBot="1" x14ac:dyDescent="0.3">
      <c r="B86" s="115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IF(Table1107[[#This Row],[Account]]&lt;&gt;"",$N$8,"")</f>
        <v/>
      </c>
      <c r="M86" s="24" t="str">
        <f>IF(Table1107[[#This Row],[Account]]&lt;&gt;"",J86+L86-$N$7,"")</f>
        <v/>
      </c>
      <c r="N86" s="25" t="str">
        <f>IF(Table1107[[#This Row],[Account]]&lt;&gt;"",IF(Table1107[[#This Row],[Aging ]]&lt;0,"OVERDUE","OK"),"")</f>
        <v/>
      </c>
      <c r="Q86" s="26"/>
    </row>
    <row r="87" spans="2:17" ht="15.75" thickBot="1" x14ac:dyDescent="0.3">
      <c r="B87" s="1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IF(Table1107[[#This Row],[Account]]&lt;&gt;"",$N$8,"")</f>
        <v/>
      </c>
      <c r="M87" s="18" t="str">
        <f>IF(Table1107[[#This Row],[Account]]&lt;&gt;"",J87+L87-$N$7,"")</f>
        <v/>
      </c>
      <c r="N87" s="19" t="str">
        <f>IF(Table1107[[#This Row],[Account]]&lt;&gt;"",IF(Table1107[[#This Row],[Aging ]]&lt;0,"OVERDUE","OK"),"")</f>
        <v/>
      </c>
      <c r="Q87" s="26"/>
    </row>
    <row r="88" spans="2:17" ht="15.75" thickBot="1" x14ac:dyDescent="0.3">
      <c r="B88" s="115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IF(Table1107[[#This Row],[Account]]&lt;&gt;"",$N$8,"")</f>
        <v/>
      </c>
      <c r="M88" s="24" t="str">
        <f>IF(Table1107[[#This Row],[Account]]&lt;&gt;"",J88+L88-$N$7,"")</f>
        <v/>
      </c>
      <c r="N88" s="25" t="str">
        <f>IF(Table1107[[#This Row],[Account]]&lt;&gt;"",IF(Table1107[[#This Row],[Aging ]]&lt;0,"OVERDUE","OK"),"")</f>
        <v/>
      </c>
      <c r="Q88" s="26"/>
    </row>
    <row r="89" spans="2:17" ht="15.75" thickBot="1" x14ac:dyDescent="0.3">
      <c r="B89" s="1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IF(Table1107[[#This Row],[Account]]&lt;&gt;"",$N$8,"")</f>
        <v/>
      </c>
      <c r="M89" s="18" t="str">
        <f>IF(Table1107[[#This Row],[Account]]&lt;&gt;"",J89+L89-$N$7,"")</f>
        <v/>
      </c>
      <c r="N89" s="19" t="str">
        <f>IF(Table1107[[#This Row],[Account]]&lt;&gt;"",IF(Table1107[[#This Row],[Aging ]]&lt;0,"OVERDUE","OK"),"")</f>
        <v/>
      </c>
      <c r="Q89" s="26"/>
    </row>
    <row r="90" spans="2:17" ht="15.75" thickBot="1" x14ac:dyDescent="0.3">
      <c r="B90" s="115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IF(Table1107[[#This Row],[Account]]&lt;&gt;"",$N$8,"")</f>
        <v/>
      </c>
      <c r="M90" s="24" t="str">
        <f>IF(Table1107[[#This Row],[Account]]&lt;&gt;"",J90+L90-$N$7,"")</f>
        <v/>
      </c>
      <c r="N90" s="25" t="str">
        <f>IF(Table1107[[#This Row],[Account]]&lt;&gt;"",IF(Table1107[[#This Row],[Aging ]]&lt;0,"OVERDUE","OK"),"")</f>
        <v/>
      </c>
      <c r="Q90" s="26"/>
    </row>
    <row r="91" spans="2:17" ht="15.75" thickBot="1" x14ac:dyDescent="0.3">
      <c r="B91" s="1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IF(Table1107[[#This Row],[Account]]&lt;&gt;"",$N$8,"")</f>
        <v/>
      </c>
      <c r="M91" s="18" t="str">
        <f>IF(Table1107[[#This Row],[Account]]&lt;&gt;"",J91+L91-$N$7,"")</f>
        <v/>
      </c>
      <c r="N91" s="19" t="str">
        <f>IF(Table1107[[#This Row],[Account]]&lt;&gt;"",IF(Table1107[[#This Row],[Aging ]]&lt;0,"OVERDUE","OK"),"")</f>
        <v/>
      </c>
      <c r="Q91" s="26"/>
    </row>
    <row r="92" spans="2:17" ht="15.75" thickBot="1" x14ac:dyDescent="0.3">
      <c r="B92" s="115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IF(Table1107[[#This Row],[Account]]&lt;&gt;"",$N$8,"")</f>
        <v/>
      </c>
      <c r="M92" s="24" t="str">
        <f>IF(Table1107[[#This Row],[Account]]&lt;&gt;"",J92+L92-$N$7,"")</f>
        <v/>
      </c>
      <c r="N92" s="25" t="str">
        <f>IF(Table1107[[#This Row],[Account]]&lt;&gt;"",IF(Table1107[[#This Row],[Aging ]]&lt;0,"OVERDUE","OK"),"")</f>
        <v/>
      </c>
      <c r="Q92" s="26"/>
    </row>
    <row r="93" spans="2:17" ht="15.75" thickBot="1" x14ac:dyDescent="0.3">
      <c r="B93" s="1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IF(Table1107[[#This Row],[Account]]&lt;&gt;"",$N$8,"")</f>
        <v/>
      </c>
      <c r="M93" s="18" t="str">
        <f>IF(Table1107[[#This Row],[Account]]&lt;&gt;"",J93+L93-$N$7,"")</f>
        <v/>
      </c>
      <c r="N93" s="19" t="str">
        <f>IF(Table1107[[#This Row],[Account]]&lt;&gt;"",IF(Table1107[[#This Row],[Aging ]]&lt;0,"OVERDUE","OK"),"")</f>
        <v/>
      </c>
      <c r="Q93" s="26"/>
    </row>
    <row r="94" spans="2:17" ht="15.75" thickBot="1" x14ac:dyDescent="0.3">
      <c r="B94" s="115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IF(Table1107[[#This Row],[Account]]&lt;&gt;"",$N$8,"")</f>
        <v/>
      </c>
      <c r="M94" s="24" t="str">
        <f>IF(Table1107[[#This Row],[Account]]&lt;&gt;"",J94+L94-$N$7,"")</f>
        <v/>
      </c>
      <c r="N94" s="25" t="str">
        <f>IF(Table1107[[#This Row],[Account]]&lt;&gt;"",IF(Table1107[[#This Row],[Aging ]]&lt;0,"OVERDUE","OK"),"")</f>
        <v/>
      </c>
      <c r="Q94" s="26"/>
    </row>
    <row r="95" spans="2:17" ht="15.75" thickBot="1" x14ac:dyDescent="0.3">
      <c r="B95" s="1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IF(Table1107[[#This Row],[Account]]&lt;&gt;"",$N$8,"")</f>
        <v/>
      </c>
      <c r="M95" s="18" t="str">
        <f>IF(Table1107[[#This Row],[Account]]&lt;&gt;"",J95+L95-$N$7,"")</f>
        <v/>
      </c>
      <c r="N95" s="19" t="str">
        <f>IF(Table1107[[#This Row],[Account]]&lt;&gt;"",IF(Table1107[[#This Row],[Aging ]]&lt;0,"OVERDUE","OK"),"")</f>
        <v/>
      </c>
      <c r="Q95" s="26"/>
    </row>
    <row r="96" spans="2:17" ht="15.75" thickBot="1" x14ac:dyDescent="0.3">
      <c r="B96" s="115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IF(Table1107[[#This Row],[Account]]&lt;&gt;"",$N$8,"")</f>
        <v/>
      </c>
      <c r="M96" s="24" t="str">
        <f>IF(Table1107[[#This Row],[Account]]&lt;&gt;"",J96+L96-$N$7,"")</f>
        <v/>
      </c>
      <c r="N96" s="25" t="str">
        <f>IF(Table1107[[#This Row],[Account]]&lt;&gt;"",IF(Table1107[[#This Row],[Aging ]]&lt;0,"OVERDUE","OK"),"")</f>
        <v/>
      </c>
      <c r="Q96" s="26"/>
    </row>
    <row r="97" spans="2:17" ht="15.75" thickBot="1" x14ac:dyDescent="0.3">
      <c r="B97" s="1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IF(Table1107[[#This Row],[Account]]&lt;&gt;"",$N$8,"")</f>
        <v/>
      </c>
      <c r="M97" s="18" t="str">
        <f>IF(Table1107[[#This Row],[Account]]&lt;&gt;"",J97+L97-$N$7,"")</f>
        <v/>
      </c>
      <c r="N97" s="19" t="str">
        <f>IF(Table1107[[#This Row],[Account]]&lt;&gt;"",IF(Table1107[[#This Row],[Aging ]]&lt;0,"OVERDUE","OK"),"")</f>
        <v/>
      </c>
      <c r="Q97" s="26"/>
    </row>
    <row r="98" spans="2:17" ht="15.75" thickBot="1" x14ac:dyDescent="0.3">
      <c r="B98" s="115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IF(Table1107[[#This Row],[Account]]&lt;&gt;"",$N$8,"")</f>
        <v/>
      </c>
      <c r="M98" s="24" t="str">
        <f>IF(Table1107[[#This Row],[Account]]&lt;&gt;"",J98+L98-$N$7,"")</f>
        <v/>
      </c>
      <c r="N98" s="25" t="str">
        <f>IF(Table1107[[#This Row],[Account]]&lt;&gt;"",IF(Table1107[[#This Row],[Aging ]]&lt;0,"OVERDUE","OK"),"")</f>
        <v/>
      </c>
      <c r="Q98" s="26"/>
    </row>
    <row r="99" spans="2:17" ht="15.75" thickBot="1" x14ac:dyDescent="0.3">
      <c r="B99" s="1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IF(Table1107[[#This Row],[Account]]&lt;&gt;"",$N$8,"")</f>
        <v/>
      </c>
      <c r="M99" s="18" t="str">
        <f>IF(Table1107[[#This Row],[Account]]&lt;&gt;"",J99+L99-$N$7,"")</f>
        <v/>
      </c>
      <c r="N99" s="19" t="str">
        <f>IF(Table1107[[#This Row],[Account]]&lt;&gt;"",IF(Table1107[[#This Row],[Aging ]]&lt;0,"OVERDUE","OK"),"")</f>
        <v/>
      </c>
      <c r="Q99" s="26"/>
    </row>
    <row r="100" spans="2:17" ht="15.75" thickBot="1" x14ac:dyDescent="0.3">
      <c r="B100" s="115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IF(Table1107[[#This Row],[Account]]&lt;&gt;"",$N$8,"")</f>
        <v/>
      </c>
      <c r="M100" s="24" t="str">
        <f>IF(Table1107[[#This Row],[Account]]&lt;&gt;"",J100+L100-$N$7,"")</f>
        <v/>
      </c>
      <c r="N100" s="25" t="str">
        <f>IF(Table1107[[#This Row],[Account]]&lt;&gt;"",IF(Table1107[[#This Row],[Aging ]]&lt;0,"OVERDUE","OK"),"")</f>
        <v/>
      </c>
      <c r="Q100" s="26"/>
    </row>
    <row r="101" spans="2:17" ht="15.75" thickBot="1" x14ac:dyDescent="0.3">
      <c r="B101" s="1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IF(Table1107[[#This Row],[Account]]&lt;&gt;"",$N$8,"")</f>
        <v/>
      </c>
      <c r="M101" s="18" t="str">
        <f>IF(Table1107[[#This Row],[Account]]&lt;&gt;"",J101+L101-$N$7,"")</f>
        <v/>
      </c>
      <c r="N101" s="19" t="str">
        <f>IF(Table1107[[#This Row],[Account]]&lt;&gt;"",IF(Table1107[[#This Row],[Aging ]]&lt;0,"OVERDUE","OK"),"")</f>
        <v/>
      </c>
      <c r="Q101" s="26"/>
    </row>
    <row r="102" spans="2:17" ht="15.75" thickBot="1" x14ac:dyDescent="0.3">
      <c r="B102" s="115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IF(Table1107[[#This Row],[Account]]&lt;&gt;"",$N$8,"")</f>
        <v/>
      </c>
      <c r="M102" s="24" t="str">
        <f>IF(Table1107[[#This Row],[Account]]&lt;&gt;"",J102+L102-$N$7,"")</f>
        <v/>
      </c>
      <c r="N102" s="25" t="str">
        <f>IF(Table1107[[#This Row],[Account]]&lt;&gt;"",IF(Table1107[[#This Row],[Aging ]]&lt;0,"OVERDUE","OK"),"")</f>
        <v/>
      </c>
      <c r="Q102" s="26"/>
    </row>
    <row r="103" spans="2:17" ht="15.75" thickBot="1" x14ac:dyDescent="0.3">
      <c r="B103" s="1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IF(Table1107[[#This Row],[Account]]&lt;&gt;"",$N$8,"")</f>
        <v/>
      </c>
      <c r="M103" s="18" t="str">
        <f>IF(Table1107[[#This Row],[Account]]&lt;&gt;"",J103+L103-$N$7,"")</f>
        <v/>
      </c>
      <c r="N103" s="19" t="str">
        <f>IF(Table1107[[#This Row],[Account]]&lt;&gt;"",IF(Table1107[[#This Row],[Aging ]]&lt;0,"OVERDUE","OK"),"")</f>
        <v/>
      </c>
      <c r="Q103" s="26"/>
    </row>
    <row r="104" spans="2:17" ht="15.75" thickBot="1" x14ac:dyDescent="0.3">
      <c r="B104" s="115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IF(Table1107[[#This Row],[Account]]&lt;&gt;"",$N$8,"")</f>
        <v/>
      </c>
      <c r="M104" s="24" t="str">
        <f>IF(Table1107[[#This Row],[Account]]&lt;&gt;"",J104+L104-$N$7,"")</f>
        <v/>
      </c>
      <c r="N104" s="25" t="str">
        <f>IF(Table1107[[#This Row],[Account]]&lt;&gt;"",IF(Table1107[[#This Row],[Aging ]]&lt;0,"OVERDUE","OK"),"")</f>
        <v/>
      </c>
      <c r="Q104" s="26"/>
    </row>
    <row r="105" spans="2:17" ht="15.75" thickBot="1" x14ac:dyDescent="0.3">
      <c r="B105" s="1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IF(Table1107[[#This Row],[Account]]&lt;&gt;"",$N$8,"")</f>
        <v/>
      </c>
      <c r="M105" s="18" t="str">
        <f>IF(Table1107[[#This Row],[Account]]&lt;&gt;"",J105+L105-$N$7,"")</f>
        <v/>
      </c>
      <c r="N105" s="19" t="str">
        <f>IF(Table1107[[#This Row],[Account]]&lt;&gt;"",IF(Table1107[[#This Row],[Aging ]]&lt;0,"OVERDUE","OK"),"")</f>
        <v/>
      </c>
      <c r="Q105" s="26"/>
    </row>
    <row r="106" spans="2:17" ht="15.75" thickBot="1" x14ac:dyDescent="0.3">
      <c r="B106" s="115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IF(Table1107[[#This Row],[Account]]&lt;&gt;"",$N$8,"")</f>
        <v/>
      </c>
      <c r="M106" s="24" t="str">
        <f>IF(Table1107[[#This Row],[Account]]&lt;&gt;"",J106+L106-$N$7,"")</f>
        <v/>
      </c>
      <c r="N106" s="25" t="str">
        <f>IF(Table1107[[#This Row],[Account]]&lt;&gt;"",IF(Table1107[[#This Row],[Aging ]]&lt;0,"OVERDUE","OK"),"")</f>
        <v/>
      </c>
      <c r="Q106" s="26"/>
    </row>
    <row r="107" spans="2:17" ht="15.75" thickBot="1" x14ac:dyDescent="0.3">
      <c r="B107" s="1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IF(Table1107[[#This Row],[Account]]&lt;&gt;"",$N$8,"")</f>
        <v/>
      </c>
      <c r="M107" s="18" t="str">
        <f>IF(Table1107[[#This Row],[Account]]&lt;&gt;"",J107+L107-$N$7,"")</f>
        <v/>
      </c>
      <c r="N107" s="19" t="str">
        <f>IF(Table1107[[#This Row],[Account]]&lt;&gt;"",IF(Table1107[[#This Row],[Aging ]]&lt;0,"OVERDUE","OK"),"")</f>
        <v/>
      </c>
      <c r="Q107" s="26"/>
    </row>
    <row r="108" spans="2:17" ht="15.75" thickBot="1" x14ac:dyDescent="0.3">
      <c r="B108" s="115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IF(Table1107[[#This Row],[Account]]&lt;&gt;"",$N$8,"")</f>
        <v/>
      </c>
      <c r="M108" s="24" t="str">
        <f>IF(Table1107[[#This Row],[Account]]&lt;&gt;"",J108+L108-$N$7,"")</f>
        <v/>
      </c>
      <c r="N108" s="25" t="str">
        <f>IF(Table1107[[#This Row],[Account]]&lt;&gt;"",IF(Table1107[[#This Row],[Aging ]]&lt;0,"OVERDUE","OK"),"")</f>
        <v/>
      </c>
      <c r="Q108" s="26"/>
    </row>
    <row r="109" spans="2:17" ht="15.75" thickBot="1" x14ac:dyDescent="0.3">
      <c r="B109" s="1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IF(Table1107[[#This Row],[Account]]&lt;&gt;"",$N$8,"")</f>
        <v/>
      </c>
      <c r="M109" s="18" t="str">
        <f>IF(Table1107[[#This Row],[Account]]&lt;&gt;"",J109+L109-$N$7,"")</f>
        <v/>
      </c>
      <c r="N109" s="19" t="str">
        <f>IF(Table1107[[#This Row],[Account]]&lt;&gt;"",IF(Table1107[[#This Row],[Aging ]]&lt;0,"OVERDUE","OK"),"")</f>
        <v/>
      </c>
      <c r="Q109" s="26"/>
    </row>
    <row r="110" spans="2:17" ht="15.75" thickBot="1" x14ac:dyDescent="0.3">
      <c r="B110" s="115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IF(Table1107[[#This Row],[Account]]&lt;&gt;"",$N$8,"")</f>
        <v/>
      </c>
      <c r="M110" s="24" t="str">
        <f>IF(Table1107[[#This Row],[Account]]&lt;&gt;"",J110+L110-$N$7,"")</f>
        <v/>
      </c>
      <c r="N110" s="25" t="str">
        <f>IF(Table1107[[#This Row],[Account]]&lt;&gt;"",IF(Table1107[[#This Row],[Aging ]]&lt;0,"OVERDUE","OK"),"")</f>
        <v/>
      </c>
      <c r="Q110" s="26"/>
    </row>
    <row r="111" spans="2:17" ht="15.75" thickBot="1" x14ac:dyDescent="0.3">
      <c r="B111" s="1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IF(Table1107[[#This Row],[Account]]&lt;&gt;"",$N$8,"")</f>
        <v/>
      </c>
      <c r="M111" s="18" t="str">
        <f>IF(Table1107[[#This Row],[Account]]&lt;&gt;"",J111+L111-$N$7,"")</f>
        <v/>
      </c>
      <c r="N111" s="19" t="str">
        <f>IF(Table1107[[#This Row],[Account]]&lt;&gt;"",IF(Table1107[[#This Row],[Aging ]]&lt;0,"OVERDUE","OK"),"")</f>
        <v/>
      </c>
      <c r="Q111" s="26"/>
    </row>
    <row r="112" spans="2:17" ht="15.75" thickBot="1" x14ac:dyDescent="0.3">
      <c r="B112" s="115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IF(Table1107[[#This Row],[Account]]&lt;&gt;"",$N$8,"")</f>
        <v/>
      </c>
      <c r="M112" s="24" t="str">
        <f>IF(Table1107[[#This Row],[Account]]&lt;&gt;"",J112+L112-$N$7,"")</f>
        <v/>
      </c>
      <c r="N112" s="25" t="str">
        <f>IF(Table1107[[#This Row],[Account]]&lt;&gt;"",IF(Table1107[[#This Row],[Aging ]]&lt;0,"OVERDUE","OK"),"")</f>
        <v/>
      </c>
      <c r="Q112" s="26"/>
    </row>
    <row r="113" spans="2:17" ht="15.75" thickBot="1" x14ac:dyDescent="0.3">
      <c r="B113" s="1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IF(Table1107[[#This Row],[Account]]&lt;&gt;"",$N$8,"")</f>
        <v/>
      </c>
      <c r="M113" s="18" t="str">
        <f>IF(Table1107[[#This Row],[Account]]&lt;&gt;"",J113+L113-$N$7,"")</f>
        <v/>
      </c>
      <c r="N113" s="19" t="str">
        <f>IF(Table1107[[#This Row],[Account]]&lt;&gt;"",IF(Table1107[[#This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-100</v>
      </c>
    </row>
    <row r="115" spans="2:17" ht="15.75" thickBot="1" x14ac:dyDescent="0.3">
      <c r="G115" s="30" t="s">
        <v>21</v>
      </c>
      <c r="H115" s="31"/>
      <c r="I115" s="32">
        <f>SUM(I15:I113)</f>
        <v>-100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2" t="s">
        <v>23</v>
      </c>
      <c r="C119" s="112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2"/>
      <c r="C120" s="113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-100</v>
      </c>
      <c r="J120" s="41">
        <f>SUM(D120:I120)</f>
        <v>-100</v>
      </c>
      <c r="K120" s="42">
        <f>SUM(H120:I120)</f>
        <v>-100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387516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1642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1643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387516</v>
      </c>
      <c r="D15" s="15" t="s">
        <v>1644</v>
      </c>
      <c r="E15" s="15" t="s">
        <v>1645</v>
      </c>
      <c r="F15" s="14" t="s">
        <v>1646</v>
      </c>
      <c r="G15" s="17">
        <v>43041</v>
      </c>
      <c r="H15" s="14">
        <v>9005556341</v>
      </c>
      <c r="I15" s="16">
        <v>3900</v>
      </c>
      <c r="J15" s="17">
        <v>43041</v>
      </c>
      <c r="K15" s="17">
        <v>43131</v>
      </c>
      <c r="L15" s="14">
        <f>IF(Table1106[[#This Row],[Account]]&lt;&gt;"",$N$8,"")</f>
        <v>0</v>
      </c>
      <c r="M15" s="105">
        <f>IF(Table1106[[#This Row],[Account]]&lt;&gt;"",J15+L15-$N$7,"")</f>
        <v>-495</v>
      </c>
      <c r="N15" s="74" t="str">
        <f>IF(Table1106[[#This Row],[Account]]&lt;&gt;"",IF(Table1106[[#This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3900</v>
      </c>
    </row>
    <row r="17" spans="2:17" ht="15.75" thickBot="1" x14ac:dyDescent="0.3">
      <c r="G17" s="30" t="s">
        <v>21</v>
      </c>
      <c r="H17" s="31"/>
      <c r="I17" s="32">
        <f>SUM(I15:I15)</f>
        <v>3900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3900</v>
      </c>
      <c r="J22" s="41">
        <f>SUM(D22:I22)</f>
        <v>3900</v>
      </c>
      <c r="K22" s="42">
        <f>SUM(H22:I22)</f>
        <v>3900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380945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1633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1634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5" t="e">
        <f>IF(#REF!&lt;&gt;"",#REF!+1,"")</f>
        <v>#REF!</v>
      </c>
      <c r="C15" s="20">
        <v>380945</v>
      </c>
      <c r="D15" s="21" t="s">
        <v>1635</v>
      </c>
      <c r="E15" s="21" t="s">
        <v>1636</v>
      </c>
      <c r="F15" s="20" t="s">
        <v>1637</v>
      </c>
      <c r="G15" s="23">
        <v>43427</v>
      </c>
      <c r="H15" s="20">
        <v>7000211597</v>
      </c>
      <c r="I15" s="22">
        <v>1050</v>
      </c>
      <c r="J15" s="23">
        <v>43427</v>
      </c>
      <c r="K15" s="23">
        <v>43457</v>
      </c>
      <c r="L15" s="20">
        <f>IF(Table1105[[#This Row],[Account]]&lt;&gt;"",$N$8,"")</f>
        <v>0</v>
      </c>
      <c r="M15" s="24">
        <f>IF(Table1105[[#This Row],[Account]]&lt;&gt;"",J15+L15-$N$7,"")</f>
        <v>-109</v>
      </c>
      <c r="N15" s="25" t="str">
        <f>IF(Table1105[[#This Row],[Account]]&lt;&gt;"",IF(Table1105[[#This Row],[Aging ]]&lt;0,"OVERDUE","OK"),"")</f>
        <v>OVERDUE</v>
      </c>
    </row>
    <row r="16" spans="2:14" ht="15.75" thickBot="1" x14ac:dyDescent="0.3">
      <c r="B16" s="114" t="e">
        <f t="shared" ref="B16:B19" si="0">IF(C15&lt;&gt;"",B15+1,"")</f>
        <v>#REF!</v>
      </c>
      <c r="C16" s="14">
        <v>380945</v>
      </c>
      <c r="D16" s="15" t="s">
        <v>1635</v>
      </c>
      <c r="E16" s="15" t="s">
        <v>1636</v>
      </c>
      <c r="F16" s="14" t="s">
        <v>1638</v>
      </c>
      <c r="G16" s="17">
        <v>43430</v>
      </c>
      <c r="H16" s="14">
        <v>9011623897</v>
      </c>
      <c r="I16" s="16">
        <v>5089.88</v>
      </c>
      <c r="J16" s="17">
        <v>43430</v>
      </c>
      <c r="K16" s="17">
        <v>43460</v>
      </c>
      <c r="L16" s="14">
        <f>IF(Table1105[[#This Row],[Account]]&lt;&gt;"",$N$8,"")</f>
        <v>0</v>
      </c>
      <c r="M16" s="18">
        <f>IF(Table1105[[#This Row],[Account]]&lt;&gt;"",J16+L16-$N$7,"")</f>
        <v>-106</v>
      </c>
      <c r="N16" s="19" t="str">
        <f>IF(Table1105[[#This Row],[Account]]&lt;&gt;"",IF(Table1105[[#This Row],[Aging ]]&lt;0,"OVERDUE","OK"),"")</f>
        <v>OVERDUE</v>
      </c>
    </row>
    <row r="17" spans="2:17" ht="15.75" thickBot="1" x14ac:dyDescent="0.3">
      <c r="B17" s="115" t="e">
        <f t="shared" si="0"/>
        <v>#REF!</v>
      </c>
      <c r="C17" s="20">
        <v>380945</v>
      </c>
      <c r="D17" s="21" t="s">
        <v>1635</v>
      </c>
      <c r="E17" s="21" t="s">
        <v>1636</v>
      </c>
      <c r="F17" s="20" t="s">
        <v>1639</v>
      </c>
      <c r="G17" s="23">
        <v>43434</v>
      </c>
      <c r="H17" s="20">
        <v>9011693203</v>
      </c>
      <c r="I17" s="22">
        <v>8143.8</v>
      </c>
      <c r="J17" s="23">
        <v>43434</v>
      </c>
      <c r="K17" s="23">
        <v>43464</v>
      </c>
      <c r="L17" s="20">
        <f>IF(Table1105[[#This Row],[Account]]&lt;&gt;"",$N$8,"")</f>
        <v>0</v>
      </c>
      <c r="M17" s="24">
        <f>IF(Table1105[[#This Row],[Account]]&lt;&gt;"",J17+L17-$N$7,"")</f>
        <v>-102</v>
      </c>
      <c r="N17" s="25" t="str">
        <f>IF(Table1105[[#This Row],[Account]]&lt;&gt;"",IF(Table1105[[#This Row],[Aging ]]&lt;0,"OVERDUE","OK"),"")</f>
        <v>OVERDUE</v>
      </c>
    </row>
    <row r="18" spans="2:17" ht="15.75" thickBot="1" x14ac:dyDescent="0.3">
      <c r="B18" s="114" t="e">
        <f t="shared" si="0"/>
        <v>#REF!</v>
      </c>
      <c r="C18" s="14">
        <v>380945</v>
      </c>
      <c r="D18" s="15" t="s">
        <v>1635</v>
      </c>
      <c r="E18" s="15" t="s">
        <v>1636</v>
      </c>
      <c r="F18" s="14" t="s">
        <v>1640</v>
      </c>
      <c r="G18" s="17">
        <v>43460</v>
      </c>
      <c r="H18" s="14">
        <v>9012154007</v>
      </c>
      <c r="I18" s="16">
        <v>8143.8</v>
      </c>
      <c r="J18" s="17">
        <v>43460</v>
      </c>
      <c r="K18" s="17">
        <v>43490</v>
      </c>
      <c r="L18" s="14">
        <f>IF(Table1105[[#This Row],[Account]]&lt;&gt;"",$N$8,"")</f>
        <v>0</v>
      </c>
      <c r="M18" s="18">
        <f>IF(Table1105[[#This Row],[Account]]&lt;&gt;"",J18+L18-$N$7,"")</f>
        <v>-76</v>
      </c>
      <c r="N18" s="19" t="str">
        <f>IF(Table1105[[#This Row],[Account]]&lt;&gt;"",IF(Table1105[[#This Row],[Aging ]]&lt;0,"OVERDUE","OK"),"")</f>
        <v>OVERDUE</v>
      </c>
    </row>
    <row r="19" spans="2:17" ht="15.75" thickBot="1" x14ac:dyDescent="0.3">
      <c r="B19" s="115" t="e">
        <f t="shared" si="0"/>
        <v>#REF!</v>
      </c>
      <c r="C19" s="20">
        <v>380945</v>
      </c>
      <c r="D19" s="21" t="s">
        <v>1635</v>
      </c>
      <c r="E19" s="21" t="s">
        <v>1636</v>
      </c>
      <c r="F19" s="20" t="s">
        <v>1641</v>
      </c>
      <c r="G19" s="23">
        <v>43475</v>
      </c>
      <c r="H19" s="20">
        <v>9012353204</v>
      </c>
      <c r="I19" s="22">
        <v>5090.3999999999996</v>
      </c>
      <c r="J19" s="23">
        <v>43475</v>
      </c>
      <c r="K19" s="23">
        <v>43505</v>
      </c>
      <c r="L19" s="20">
        <f>IF(Table1105[[#This Row],[Account]]&lt;&gt;"",$N$8,"")</f>
        <v>0</v>
      </c>
      <c r="M19" s="24">
        <f>IF(Table1105[[#This Row],[Account]]&lt;&gt;"",J19+L19-$N$7,"")</f>
        <v>-61</v>
      </c>
      <c r="N19" s="25" t="str">
        <f>IF(Table1105[[#This Row],[Account]]&lt;&gt;"",IF(Table1105[[#This Row],[Aging ]]&lt;0,"OVERDUE","OK"),"")</f>
        <v>OVERDUE</v>
      </c>
    </row>
    <row r="20" spans="2:17" ht="15.75" thickBot="1" x14ac:dyDescent="0.3">
      <c r="G20" s="27" t="s">
        <v>20</v>
      </c>
      <c r="H20" s="28"/>
      <c r="I20" s="29">
        <f>SUM(I15:I19)</f>
        <v>27517.879999999997</v>
      </c>
      <c r="Q20" s="26"/>
    </row>
    <row r="21" spans="2:17" ht="15.75" thickBot="1" x14ac:dyDescent="0.3">
      <c r="G21" s="30" t="s">
        <v>21</v>
      </c>
      <c r="H21" s="31"/>
      <c r="I21" s="32">
        <f>SUM(I15:I19)</f>
        <v>27517.879999999997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2" t="s">
        <v>23</v>
      </c>
      <c r="C25" s="112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2"/>
      <c r="C26" s="113"/>
      <c r="D26" s="39">
        <f>SUMIFS(I15:I19,M15:M19,"&gt;="&amp;0)</f>
        <v>0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13234.2</v>
      </c>
      <c r="H26" s="39">
        <f>SUMIFS(I15:I19,M15:M19,"&gt;="&amp;-120,M15:M19,"&lt;="&amp;-91)</f>
        <v>14283.68</v>
      </c>
      <c r="I26" s="39">
        <f>SUMIFS(I15:I19,M15:M19,"&lt;="&amp;-121)</f>
        <v>0</v>
      </c>
      <c r="J26" s="41">
        <f>SUM(D26:I26)</f>
        <v>27517.88</v>
      </c>
      <c r="K26" s="42">
        <f>SUM(H26:I26)</f>
        <v>14283.68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375336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1626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1627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375336</v>
      </c>
      <c r="D15" s="15" t="s">
        <v>1628</v>
      </c>
      <c r="E15" s="15" t="s">
        <v>1629</v>
      </c>
      <c r="F15" s="14" t="s">
        <v>1630</v>
      </c>
      <c r="G15" s="17">
        <v>43188</v>
      </c>
      <c r="H15" s="14">
        <v>9007606609</v>
      </c>
      <c r="I15" s="16">
        <v>1100</v>
      </c>
      <c r="J15" s="17">
        <v>43188</v>
      </c>
      <c r="K15" s="17">
        <v>43218</v>
      </c>
      <c r="L15" s="14">
        <f>IF(Table1104[[#This Row],[Account]]&lt;&gt;"",$N$8,"")</f>
        <v>0</v>
      </c>
      <c r="M15" s="105">
        <f>IF(Table1104[[#This Row],[Account]]&lt;&gt;"",J15+L15-$N$7,"")</f>
        <v>-348</v>
      </c>
      <c r="N15" s="74" t="str">
        <f>IF(Table1104[[#This Row],[Account]]&lt;&gt;"",IF(Table1104[[#This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375336</v>
      </c>
      <c r="D16" s="21" t="s">
        <v>1628</v>
      </c>
      <c r="E16" s="21" t="s">
        <v>1629</v>
      </c>
      <c r="F16" s="20" t="s">
        <v>1631</v>
      </c>
      <c r="G16" s="23">
        <v>43230</v>
      </c>
      <c r="H16" s="20">
        <v>9008270905</v>
      </c>
      <c r="I16" s="22">
        <v>345</v>
      </c>
      <c r="J16" s="23">
        <v>43230</v>
      </c>
      <c r="K16" s="23">
        <v>43260</v>
      </c>
      <c r="L16" s="20">
        <f>IF(Table1104[[#This Row],[Account]]&lt;&gt;"",$N$8,"")</f>
        <v>0</v>
      </c>
      <c r="M16" s="24">
        <f>IF(Table1104[[#This Row],[Account]]&lt;&gt;"",J16+L16-$N$7,"")</f>
        <v>-306</v>
      </c>
      <c r="N16" s="25" t="str">
        <f>IF(Table1104[[#This Row],[Account]]&lt;&gt;"",IF(Table1104[[#This Row],[Aging ]]&lt;0,"OVERDUE","OK"),"")</f>
        <v>OVERDUE</v>
      </c>
    </row>
    <row r="17" spans="2:17" ht="15.75" thickBot="1" x14ac:dyDescent="0.3">
      <c r="B17" s="114">
        <f t="shared" ref="B17" ca="1" si="0">IF(C16&lt;&gt;"",B16+1,"")</f>
        <v>3</v>
      </c>
      <c r="C17" s="14">
        <v>375336</v>
      </c>
      <c r="D17" s="15" t="s">
        <v>1628</v>
      </c>
      <c r="E17" s="15" t="s">
        <v>1629</v>
      </c>
      <c r="F17" s="14" t="s">
        <v>1632</v>
      </c>
      <c r="G17" s="17">
        <v>43238</v>
      </c>
      <c r="H17" s="14">
        <v>9008368865</v>
      </c>
      <c r="I17" s="16">
        <v>1100</v>
      </c>
      <c r="J17" s="17">
        <v>43238</v>
      </c>
      <c r="K17" s="17">
        <v>43268</v>
      </c>
      <c r="L17" s="14">
        <f>IF(Table1104[[#This Row],[Account]]&lt;&gt;"",$N$8,"")</f>
        <v>0</v>
      </c>
      <c r="M17" s="18">
        <f>IF(Table1104[[#This Row],[Account]]&lt;&gt;"",J17+L17-$N$7,"")</f>
        <v>-298</v>
      </c>
      <c r="N17" s="19" t="str">
        <f>IF(Table1104[[#This Row],[Account]]&lt;&gt;"",IF(Table1104[[#This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2545</v>
      </c>
    </row>
    <row r="19" spans="2:17" ht="15.75" thickBot="1" x14ac:dyDescent="0.3">
      <c r="G19" s="30" t="s">
        <v>21</v>
      </c>
      <c r="H19" s="31"/>
      <c r="I19" s="32">
        <f>SUM(I15:I17)</f>
        <v>2545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2" t="s">
        <v>23</v>
      </c>
      <c r="C23" s="112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2"/>
      <c r="C24" s="113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2545</v>
      </c>
      <c r="J24" s="41">
        <f>SUM(D24:I24)</f>
        <v>2545</v>
      </c>
      <c r="K24" s="42">
        <f>SUM(H24:I24)</f>
        <v>2545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366061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1619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1620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5" t="e">
        <f>IF(#REF!&lt;&gt;"",#REF!+1,"")</f>
        <v>#REF!</v>
      </c>
      <c r="C15" s="20">
        <v>366061</v>
      </c>
      <c r="D15" s="21" t="s">
        <v>1621</v>
      </c>
      <c r="E15" s="21" t="s">
        <v>1622</v>
      </c>
      <c r="F15" s="20" t="s">
        <v>1623</v>
      </c>
      <c r="G15" s="23">
        <v>43423</v>
      </c>
      <c r="H15" s="20">
        <v>9010236018</v>
      </c>
      <c r="I15" s="22">
        <v>-894</v>
      </c>
      <c r="J15" s="23">
        <v>43423</v>
      </c>
      <c r="K15" s="23">
        <v>43423</v>
      </c>
      <c r="L15" s="20">
        <f>IF(Table1103[[#This Row],[Account]]&lt;&gt;"",$N$8,"")</f>
        <v>0</v>
      </c>
      <c r="M15" s="24">
        <f>IF(Table1103[[#This Row],[Account]]&lt;&gt;"",J15+L15-$N$7,"")</f>
        <v>-113</v>
      </c>
      <c r="N15" s="25" t="str">
        <f>IF(Table1103[[#This Row],[Account]]&lt;&gt;"",IF(Table1103[[#This Row],[Aging ]]&lt;0,"OVERDUE","OK"),"")</f>
        <v>OVERDUE</v>
      </c>
    </row>
    <row r="16" spans="2:14" ht="15.75" thickBot="1" x14ac:dyDescent="0.3">
      <c r="B16" s="114" t="e">
        <f t="shared" ref="B16:B17" si="0">IF(C15&lt;&gt;"",B15+1,"")</f>
        <v>#REF!</v>
      </c>
      <c r="C16" s="14">
        <v>366061</v>
      </c>
      <c r="D16" s="15" t="s">
        <v>1621</v>
      </c>
      <c r="E16" s="15" t="s">
        <v>1622</v>
      </c>
      <c r="F16" s="14" t="s">
        <v>1624</v>
      </c>
      <c r="G16" s="17">
        <v>43423</v>
      </c>
      <c r="H16" s="14">
        <v>9010236019</v>
      </c>
      <c r="I16" s="16">
        <v>-894</v>
      </c>
      <c r="J16" s="17">
        <v>43423</v>
      </c>
      <c r="K16" s="17">
        <v>43423</v>
      </c>
      <c r="L16" s="14">
        <f>IF(Table1103[[#This Row],[Account]]&lt;&gt;"",$N$8,"")</f>
        <v>0</v>
      </c>
      <c r="M16" s="18">
        <f>IF(Table1103[[#This Row],[Account]]&lt;&gt;"",J16+L16-$N$7,"")</f>
        <v>-113</v>
      </c>
      <c r="N16" s="19" t="str">
        <f>IF(Table1103[[#This Row],[Account]]&lt;&gt;"",IF(Table1103[[#This Row],[Aging ]]&lt;0,"OVERDUE","OK"),"")</f>
        <v>OVERDUE</v>
      </c>
    </row>
    <row r="17" spans="2:17" ht="15.75" thickBot="1" x14ac:dyDescent="0.3">
      <c r="B17" s="115" t="e">
        <f t="shared" si="0"/>
        <v>#REF!</v>
      </c>
      <c r="C17" s="20">
        <v>366061</v>
      </c>
      <c r="D17" s="21" t="s">
        <v>1621</v>
      </c>
      <c r="E17" s="21" t="s">
        <v>1622</v>
      </c>
      <c r="F17" s="20" t="s">
        <v>1625</v>
      </c>
      <c r="G17" s="23">
        <v>43423</v>
      </c>
      <c r="H17" s="20">
        <v>9010354875</v>
      </c>
      <c r="I17" s="22">
        <v>-894</v>
      </c>
      <c r="J17" s="23">
        <v>43423</v>
      </c>
      <c r="K17" s="23">
        <v>43423</v>
      </c>
      <c r="L17" s="20">
        <f>IF(Table1103[[#This Row],[Account]]&lt;&gt;"",$N$8,"")</f>
        <v>0</v>
      </c>
      <c r="M17" s="24">
        <f>IF(Table1103[[#This Row],[Account]]&lt;&gt;"",J17+L17-$N$7,"")</f>
        <v>-113</v>
      </c>
      <c r="N17" s="25" t="str">
        <f>IF(Table1103[[#This Row],[Account]]&lt;&gt;"",IF(Table1103[[#This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-2682</v>
      </c>
    </row>
    <row r="19" spans="2:17" ht="15.75" thickBot="1" x14ac:dyDescent="0.3">
      <c r="G19" s="30" t="s">
        <v>21</v>
      </c>
      <c r="H19" s="31"/>
      <c r="I19" s="32">
        <f>SUM(I15:I17)</f>
        <v>-2682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2" t="s">
        <v>23</v>
      </c>
      <c r="C23" s="112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2"/>
      <c r="C24" s="113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-2682</v>
      </c>
      <c r="I24" s="39">
        <f>SUMIFS(I15:I17,M15:M17,"&lt;="&amp;-121)</f>
        <v>0</v>
      </c>
      <c r="J24" s="41">
        <f>SUM(D24:I24)</f>
        <v>-2682</v>
      </c>
      <c r="K24" s="42">
        <f>SUM(H24:I24)</f>
        <v>-2682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B6:Q120"/>
  <sheetViews>
    <sheetView workbookViewId="0">
      <selection activeCell="B21" sqref="B21: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362302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1614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1615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362302</v>
      </c>
      <c r="D15" s="15" t="s">
        <v>1616</v>
      </c>
      <c r="E15" s="15" t="s">
        <v>1617</v>
      </c>
      <c r="F15" s="14" t="s">
        <v>1618</v>
      </c>
      <c r="G15" s="17">
        <v>43217</v>
      </c>
      <c r="H15" s="14">
        <v>9008057300</v>
      </c>
      <c r="I15" s="16">
        <v>6142.5</v>
      </c>
      <c r="J15" s="17">
        <v>43217</v>
      </c>
      <c r="K15" s="17">
        <v>43247</v>
      </c>
      <c r="L15" s="14">
        <f>IF(Table1102[[#This Row],[Account]]&lt;&gt;"",$N$8,"")</f>
        <v>0</v>
      </c>
      <c r="M15" s="105">
        <f>IF(Table1102[[#This Row],[Account]]&lt;&gt;"",J15+L15-$N$7,"")</f>
        <v>-319</v>
      </c>
      <c r="N15" s="74" t="str">
        <f>IF(Table1102[[#This Row],[Account]]&lt;&gt;"",IF(Table1102[[#This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6142.5</v>
      </c>
    </row>
    <row r="17" spans="2:17" ht="15.75" thickBot="1" x14ac:dyDescent="0.3">
      <c r="G17" s="30" t="s">
        <v>21</v>
      </c>
      <c r="H17" s="31"/>
      <c r="I17" s="32">
        <f>SUM(I15:I15)</f>
        <v>6142.5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2" t="s">
        <v>23</v>
      </c>
      <c r="C21" s="112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2"/>
      <c r="C22" s="113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6142.5</v>
      </c>
      <c r="J22" s="41">
        <f>SUM(D22:I22)</f>
        <v>6142.5</v>
      </c>
      <c r="K22" s="42">
        <f>SUM(H22:I22)</f>
        <v>6142.5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B6:Q120"/>
  <sheetViews>
    <sheetView workbookViewId="0">
      <selection activeCell="C22" sqref="C22"/>
    </sheetView>
  </sheetViews>
  <sheetFormatPr defaultRowHeight="15" x14ac:dyDescent="0.25"/>
  <cols>
    <col min="1" max="1" width="2.85546875" customWidth="1"/>
    <col min="2" max="2" width="8.7109375" style="116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6" t="s">
        <v>1</v>
      </c>
      <c r="C7" s="107"/>
      <c r="D7" s="3">
        <v>356423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08" t="s">
        <v>3</v>
      </c>
      <c r="C8" s="109"/>
      <c r="D8" s="3" t="s">
        <v>1599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0" t="s">
        <v>5</v>
      </c>
      <c r="C9" s="111"/>
      <c r="D9" s="3" t="s">
        <v>1600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14">
        <f ca="1">IFERROR(OFFSET(B15,-1,0)+1,1)</f>
        <v>1</v>
      </c>
      <c r="C15" s="14">
        <v>356423</v>
      </c>
      <c r="D15" s="15" t="s">
        <v>1601</v>
      </c>
      <c r="E15" s="15" t="s">
        <v>1602</v>
      </c>
      <c r="F15" s="14" t="s">
        <v>1603</v>
      </c>
      <c r="G15" s="17">
        <v>42607</v>
      </c>
      <c r="H15" s="14" t="s">
        <v>53</v>
      </c>
      <c r="I15" s="16">
        <v>8592.5</v>
      </c>
      <c r="J15" s="17">
        <v>42607</v>
      </c>
      <c r="K15" s="17">
        <v>42637</v>
      </c>
      <c r="L15" s="14">
        <f>IF(Table1101[[#This Row],[Account]]&lt;&gt;"",$N$8,"")</f>
        <v>0</v>
      </c>
      <c r="M15" s="105">
        <f>IF(Table1101[[#This Row],[Account]]&lt;&gt;"",J15+L15-$N$7,"")</f>
        <v>-929</v>
      </c>
      <c r="N15" s="74" t="str">
        <f>IF(Table1101[[#This Row],[Account]]&lt;&gt;"",IF(Table1101[[#This Row],[Aging ]]&lt;0,"OVERDUE","OK"),"")</f>
        <v>OVERDUE</v>
      </c>
    </row>
    <row r="16" spans="2:14" ht="15.75" thickBot="1" x14ac:dyDescent="0.3">
      <c r="B16" s="115">
        <f ca="1">IF(C15&lt;&gt;"",B15+1,"")</f>
        <v>2</v>
      </c>
      <c r="C16" s="20">
        <v>356423</v>
      </c>
      <c r="D16" s="21" t="s">
        <v>1601</v>
      </c>
      <c r="E16" s="21" t="s">
        <v>1602</v>
      </c>
      <c r="F16" s="20" t="s">
        <v>1604</v>
      </c>
      <c r="G16" s="23">
        <v>42607</v>
      </c>
      <c r="H16" s="20" t="s">
        <v>57</v>
      </c>
      <c r="I16" s="22">
        <v>8592.5</v>
      </c>
      <c r="J16" s="23">
        <v>42607</v>
      </c>
      <c r="K16" s="23">
        <v>42637</v>
      </c>
      <c r="L16" s="20">
        <f>IF(Table1101[[#This Row],[Account]]&lt;&gt;"",$N$8,"")</f>
        <v>0</v>
      </c>
      <c r="M16" s="24">
        <f>IF(Table1101[[#This Row],[Account]]&lt;&gt;"",J16+L16-$N$7,"")</f>
        <v>-929</v>
      </c>
      <c r="N16" s="25" t="str">
        <f>IF(Table1101[[#This Row],[Account]]&lt;&gt;"",IF(Table1101[[#This Row],[Aging ]]&lt;0,"OVERDUE","OK"),"")</f>
        <v>OVERDUE</v>
      </c>
    </row>
    <row r="17" spans="2:17" ht="15.75" thickBot="1" x14ac:dyDescent="0.3">
      <c r="B17" s="114">
        <f t="shared" ref="B17:B25" ca="1" si="0">IF(C16&lt;&gt;"",B16+1,"")</f>
        <v>3</v>
      </c>
      <c r="C17" s="14">
        <v>356423</v>
      </c>
      <c r="D17" s="15" t="s">
        <v>1601</v>
      </c>
      <c r="E17" s="15" t="s">
        <v>1602</v>
      </c>
      <c r="F17" s="14" t="s">
        <v>1605</v>
      </c>
      <c r="G17" s="17">
        <v>42615</v>
      </c>
      <c r="H17" s="14" t="s">
        <v>58</v>
      </c>
      <c r="I17" s="16">
        <v>288</v>
      </c>
      <c r="J17" s="17">
        <v>42615</v>
      </c>
      <c r="K17" s="17">
        <v>42645</v>
      </c>
      <c r="L17" s="14">
        <f>IF(Table1101[[#This Row],[Account]]&lt;&gt;"",$N$8,"")</f>
        <v>0</v>
      </c>
      <c r="M17" s="18">
        <f>IF(Table1101[[#This Row],[Account]]&lt;&gt;"",J17+L17-$N$7,"")</f>
        <v>-921</v>
      </c>
      <c r="N17" s="19" t="str">
        <f>IF(Table1101[[#This Row],[Account]]&lt;&gt;"",IF(Table1101[[#This Row],[Aging ]]&lt;0,"OVERDUE","OK"),"")</f>
        <v>OVERDUE</v>
      </c>
    </row>
    <row r="18" spans="2:17" ht="15.75" thickBot="1" x14ac:dyDescent="0.3">
      <c r="B18" s="115">
        <f t="shared" ca="1" si="0"/>
        <v>4</v>
      </c>
      <c r="C18" s="20">
        <v>356423</v>
      </c>
      <c r="D18" s="21" t="s">
        <v>1601</v>
      </c>
      <c r="E18" s="21" t="s">
        <v>1602</v>
      </c>
      <c r="F18" s="20" t="s">
        <v>1606</v>
      </c>
      <c r="G18" s="23">
        <v>42642</v>
      </c>
      <c r="H18" s="20" t="s">
        <v>59</v>
      </c>
      <c r="I18" s="22">
        <v>10058</v>
      </c>
      <c r="J18" s="23">
        <v>42642</v>
      </c>
      <c r="K18" s="23">
        <v>42672</v>
      </c>
      <c r="L18" s="20">
        <f>IF(Table1101[[#This Row],[Account]]&lt;&gt;"",$N$8,"")</f>
        <v>0</v>
      </c>
      <c r="M18" s="24">
        <f>IF(Table1101[[#This Row],[Account]]&lt;&gt;"",J18+L18-$N$7,"")</f>
        <v>-894</v>
      </c>
      <c r="N18" s="25" t="str">
        <f>IF(Table1101[[#This Row],[Account]]&lt;&gt;"",IF(Table1101[[#This Row],[Aging ]]&lt;0,"OVERDUE","OK"),"")</f>
        <v>OVERDUE</v>
      </c>
    </row>
    <row r="19" spans="2:17" ht="15.75" thickBot="1" x14ac:dyDescent="0.3">
      <c r="B19" s="114">
        <f t="shared" ca="1" si="0"/>
        <v>5</v>
      </c>
      <c r="C19" s="14">
        <v>356423</v>
      </c>
      <c r="D19" s="15" t="s">
        <v>1601</v>
      </c>
      <c r="E19" s="15" t="s">
        <v>1602</v>
      </c>
      <c r="F19" s="14" t="s">
        <v>1607</v>
      </c>
      <c r="G19" s="17">
        <v>42649</v>
      </c>
      <c r="H19" s="14" t="s">
        <v>60</v>
      </c>
      <c r="I19" s="16">
        <v>10058</v>
      </c>
      <c r="J19" s="17">
        <v>42649</v>
      </c>
      <c r="K19" s="17">
        <v>42679</v>
      </c>
      <c r="L19" s="14">
        <f>IF(Table1101[[#This Row],[Account]]&lt;&gt;"",$N$8,"")</f>
        <v>0</v>
      </c>
      <c r="M19" s="18">
        <f>IF(Table1101[[#This Row],[Account]]&lt;&gt;"",J19+L19-$N$7,"")</f>
        <v>-887</v>
      </c>
      <c r="N19" s="19" t="str">
        <f>IF(Table1101[[#This Row],[Account]]&lt;&gt;"",IF(Table1101[[#This Row],[Aging ]]&lt;0,"OVERDUE","OK"),"")</f>
        <v>OVERDUE</v>
      </c>
    </row>
    <row r="20" spans="2:17" ht="15.75" thickBot="1" x14ac:dyDescent="0.3">
      <c r="B20" s="115">
        <f t="shared" ca="1" si="0"/>
        <v>6</v>
      </c>
      <c r="C20" s="20">
        <v>356423</v>
      </c>
      <c r="D20" s="21" t="s">
        <v>1601</v>
      </c>
      <c r="E20" s="21" t="s">
        <v>1602</v>
      </c>
      <c r="F20" s="20" t="s">
        <v>1608</v>
      </c>
      <c r="G20" s="23">
        <v>42649</v>
      </c>
      <c r="H20" s="20" t="s">
        <v>61</v>
      </c>
      <c r="I20" s="22">
        <v>10058</v>
      </c>
      <c r="J20" s="23">
        <v>42649</v>
      </c>
      <c r="K20" s="23">
        <v>42679</v>
      </c>
      <c r="L20" s="20">
        <f>IF(Table1101[[#This Row],[Account]]&lt;&gt;"",$N$8,"")</f>
        <v>0</v>
      </c>
      <c r="M20" s="24">
        <f>IF(Table1101[[#This Row],[Account]]&lt;&gt;"",J20+L20-$N$7,"")</f>
        <v>-887</v>
      </c>
      <c r="N20" s="25" t="str">
        <f>IF(Table1101[[#This Row],[Account]]&lt;&gt;"",IF(Table1101[[#This Row],[Aging ]]&lt;0,"OVERDUE","OK"),"")</f>
        <v>OVERDUE</v>
      </c>
      <c r="Q20" s="26"/>
    </row>
    <row r="21" spans="2:17" ht="15.75" thickBot="1" x14ac:dyDescent="0.3">
      <c r="B21" s="114">
        <f t="shared" ca="1" si="0"/>
        <v>7</v>
      </c>
      <c r="C21" s="14">
        <v>356423</v>
      </c>
      <c r="D21" s="15" t="s">
        <v>1601</v>
      </c>
      <c r="E21" s="15" t="s">
        <v>1602</v>
      </c>
      <c r="F21" s="14" t="s">
        <v>1609</v>
      </c>
      <c r="G21" s="17">
        <v>42656</v>
      </c>
      <c r="H21" s="14" t="s">
        <v>62</v>
      </c>
      <c r="I21" s="16">
        <v>10058</v>
      </c>
      <c r="J21" s="17">
        <v>42656</v>
      </c>
      <c r="K21" s="17">
        <v>42686</v>
      </c>
      <c r="L21" s="14">
        <f>IF(Table1101[[#This Row],[Account]]&lt;&gt;"",$N$8,"")</f>
        <v>0</v>
      </c>
      <c r="M21" s="18">
        <f>IF(Table1101[[#This Row],[Account]]&lt;&gt;"",J21+L21-$N$7,"")</f>
        <v>-880</v>
      </c>
      <c r="N21" s="19" t="str">
        <f>IF(Table1101[[#This Row],[Account]]&lt;&gt;"",IF(Table1101[[#This Row],[Aging ]]&lt;0,"OVERDUE","OK"),"")</f>
        <v>OVERDUE</v>
      </c>
      <c r="Q21" s="26"/>
    </row>
    <row r="22" spans="2:17" ht="15.75" thickBot="1" x14ac:dyDescent="0.3">
      <c r="B22" s="115">
        <f t="shared" ca="1" si="0"/>
        <v>8</v>
      </c>
      <c r="C22" s="20">
        <v>356423</v>
      </c>
      <c r="D22" s="21" t="s">
        <v>1601</v>
      </c>
      <c r="E22" s="21" t="s">
        <v>1602</v>
      </c>
      <c r="F22" s="20" t="s">
        <v>1610</v>
      </c>
      <c r="G22" s="23">
        <v>42677</v>
      </c>
      <c r="H22" s="20" t="s">
        <v>63</v>
      </c>
      <c r="I22" s="22">
        <v>288</v>
      </c>
      <c r="J22" s="23">
        <v>42677</v>
      </c>
      <c r="K22" s="23">
        <v>42707</v>
      </c>
      <c r="L22" s="20">
        <f>IF(Table1101[[#This Row],[Account]]&lt;&gt;"",$N$8,"")</f>
        <v>0</v>
      </c>
      <c r="M22" s="24">
        <f>IF(Table1101[[#This Row],[Account]]&lt;&gt;"",J22+L22-$N$7,"")</f>
        <v>-859</v>
      </c>
      <c r="N22" s="25" t="str">
        <f>IF(Table1101[[#This Row],[Account]]&lt;&gt;"",IF(Table1101[[#This Row],[Aging ]]&lt;0,"OVERDUE","OK"),"")</f>
        <v>OVERDUE</v>
      </c>
      <c r="Q22" s="26"/>
    </row>
    <row r="23" spans="2:17" ht="15.75" thickBot="1" x14ac:dyDescent="0.3">
      <c r="B23" s="114">
        <f t="shared" ca="1" si="0"/>
        <v>9</v>
      </c>
      <c r="C23" s="14">
        <v>356423</v>
      </c>
      <c r="D23" s="15" t="s">
        <v>1601</v>
      </c>
      <c r="E23" s="15" t="s">
        <v>1602</v>
      </c>
      <c r="F23" s="14" t="s">
        <v>1611</v>
      </c>
      <c r="G23" s="17">
        <v>42684</v>
      </c>
      <c r="H23" s="14" t="s">
        <v>64</v>
      </c>
      <c r="I23" s="16">
        <v>10058</v>
      </c>
      <c r="J23" s="17">
        <v>42684</v>
      </c>
      <c r="K23" s="17">
        <v>42714</v>
      </c>
      <c r="L23" s="14">
        <f>IF(Table1101[[#This Row],[Account]]&lt;&gt;"",$N$8,"")</f>
        <v>0</v>
      </c>
      <c r="M23" s="18">
        <f>IF(Table1101[[#This Row],[Account]]&lt;&gt;"",J23+L23-$N$7,"")</f>
        <v>-852</v>
      </c>
      <c r="N23" s="19" t="str">
        <f>IF(Table1101[[#This Row],[Account]]&lt;&gt;"",IF(Table1101[[#This Row],[Aging ]]&lt;0,"OVERDUE","OK"),"")</f>
        <v>OVERDUE</v>
      </c>
      <c r="Q23" s="26"/>
    </row>
    <row r="24" spans="2:17" ht="15.75" thickBot="1" x14ac:dyDescent="0.3">
      <c r="B24" s="115">
        <f t="shared" ca="1" si="0"/>
        <v>10</v>
      </c>
      <c r="C24" s="20">
        <v>356423</v>
      </c>
      <c r="D24" s="21" t="s">
        <v>1601</v>
      </c>
      <c r="E24" s="21" t="s">
        <v>1602</v>
      </c>
      <c r="F24" s="20" t="s">
        <v>1612</v>
      </c>
      <c r="G24" s="23">
        <v>42719</v>
      </c>
      <c r="H24" s="20" t="s">
        <v>65</v>
      </c>
      <c r="I24" s="22">
        <v>288</v>
      </c>
      <c r="J24" s="23">
        <v>42719</v>
      </c>
      <c r="K24" s="23">
        <v>42749</v>
      </c>
      <c r="L24" s="20">
        <f>IF(Table1101[[#This Row],[Account]]&lt;&gt;"",$N$8,"")</f>
        <v>0</v>
      </c>
      <c r="M24" s="24">
        <f>IF(Table1101[[#This Row],[Account]]&lt;&gt;"",J24+L24-$N$7,"")</f>
        <v>-817</v>
      </c>
      <c r="N24" s="25" t="str">
        <f>IF(Table1101[[#This Row],[Account]]&lt;&gt;"",IF(Table1101[[#This Row],[Aging ]]&lt;0,"OVERDUE","OK"),"")</f>
        <v>OVERDUE</v>
      </c>
      <c r="Q24" s="26"/>
    </row>
    <row r="25" spans="2:17" ht="15.75" thickBot="1" x14ac:dyDescent="0.3">
      <c r="B25" s="114">
        <f t="shared" ca="1" si="0"/>
        <v>11</v>
      </c>
      <c r="C25" s="14">
        <v>356423</v>
      </c>
      <c r="D25" s="15" t="s">
        <v>1601</v>
      </c>
      <c r="E25" s="15" t="s">
        <v>1602</v>
      </c>
      <c r="F25" s="14" t="s">
        <v>1613</v>
      </c>
      <c r="G25" s="17">
        <v>42747</v>
      </c>
      <c r="H25" s="14" t="s">
        <v>66</v>
      </c>
      <c r="I25" s="16">
        <v>288</v>
      </c>
      <c r="J25" s="17">
        <v>42747</v>
      </c>
      <c r="K25" s="17">
        <v>42777</v>
      </c>
      <c r="L25" s="14">
        <f>IF(Table1101[[#This Row],[Account]]&lt;&gt;"",$N$8,"")</f>
        <v>0</v>
      </c>
      <c r="M25" s="18">
        <f>IF(Table1101[[#This Row],[Account]]&lt;&gt;"",J25+L25-$N$7,"")</f>
        <v>-789</v>
      </c>
      <c r="N25" s="19" t="str">
        <f>IF(Table1101[[#This Row],[Account]]&lt;&gt;"",IF(Table1101[[#This Row],[Aging ]]&lt;0,"OVERDUE","OK"),"")</f>
        <v>OVERDUE</v>
      </c>
      <c r="Q25" s="26"/>
    </row>
    <row r="26" spans="2:17" ht="15.75" thickBot="1" x14ac:dyDescent="0.3">
      <c r="G26" s="27" t="s">
        <v>20</v>
      </c>
      <c r="H26" s="28"/>
      <c r="I26" s="29">
        <f>SUM(I15:I25)</f>
        <v>68627</v>
      </c>
      <c r="Q26" s="26"/>
    </row>
    <row r="27" spans="2:17" ht="15.75" thickBot="1" x14ac:dyDescent="0.3">
      <c r="G27" s="30" t="s">
        <v>21</v>
      </c>
      <c r="H27" s="31"/>
      <c r="I27" s="32">
        <f>SUM(I15:I25)</f>
        <v>68627</v>
      </c>
      <c r="Q27" s="26"/>
    </row>
    <row r="28" spans="2:17" ht="15.75" thickBot="1" x14ac:dyDescent="0.3">
      <c r="G28" s="33" t="s">
        <v>22</v>
      </c>
      <c r="H28" s="34"/>
      <c r="I28" s="35">
        <f>IFERROR(I27/I26,"")</f>
        <v>1</v>
      </c>
      <c r="Q28" s="26"/>
    </row>
    <row r="29" spans="2:17" x14ac:dyDescent="0.25">
      <c r="Q29" s="26"/>
    </row>
    <row r="30" spans="2:17" ht="15.75" thickBot="1" x14ac:dyDescent="0.3">
      <c r="Q30" s="26"/>
    </row>
    <row r="31" spans="2:17" x14ac:dyDescent="0.25">
      <c r="B31" s="112" t="s">
        <v>23</v>
      </c>
      <c r="C31" s="112"/>
      <c r="D31" s="37" t="s">
        <v>24</v>
      </c>
      <c r="E31" s="37" t="s">
        <v>25</v>
      </c>
      <c r="F31" s="37" t="s">
        <v>26</v>
      </c>
      <c r="G31" s="37" t="s">
        <v>27</v>
      </c>
      <c r="H31" s="37" t="s">
        <v>28</v>
      </c>
      <c r="I31" s="37" t="s">
        <v>29</v>
      </c>
      <c r="J31" s="37" t="s">
        <v>31</v>
      </c>
      <c r="K31" s="38" t="s">
        <v>30</v>
      </c>
      <c r="Q31" s="26"/>
    </row>
    <row r="32" spans="2:17" ht="15.75" thickBot="1" x14ac:dyDescent="0.3">
      <c r="B32" s="112"/>
      <c r="C32" s="113"/>
      <c r="D32" s="39">
        <f>SUMIFS(I15:I25,M15:M25,"&gt;="&amp;0)</f>
        <v>0</v>
      </c>
      <c r="E32" s="40">
        <f>SUMIFS(I15:I25,M15:M25,"&gt;="&amp;-30,M15:M25,"&lt;="&amp;-1)</f>
        <v>0</v>
      </c>
      <c r="F32" s="39">
        <f>SUMIFS(I15:I25,M15:M25,"&gt;="&amp;-60,M15:M25,"&lt;="&amp;-31)</f>
        <v>0</v>
      </c>
      <c r="G32" s="39">
        <f>SUMIFS(I15:I25,M15:M25,"&gt;="&amp;-90,M15:M25,"&lt;="&amp;-61)</f>
        <v>0</v>
      </c>
      <c r="H32" s="39">
        <f>SUMIFS(I15:I25,M15:M25,"&gt;="&amp;-120,M15:M25,"&lt;="&amp;-91)</f>
        <v>0</v>
      </c>
      <c r="I32" s="39">
        <f>SUMIFS(I15:I25,M15:M25,"&lt;="&amp;-121)</f>
        <v>68627</v>
      </c>
      <c r="J32" s="41">
        <f>SUM(D32:I32)</f>
        <v>68627</v>
      </c>
      <c r="K32" s="42">
        <f>SUM(H32:I32)</f>
        <v>68627</v>
      </c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31:C32"/>
  </mergeCells>
  <conditionalFormatting sqref="M15:M2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Home</vt:lpstr>
      <vt:lpstr>test</vt:lpstr>
      <vt:lpstr>Sheet1</vt:lpstr>
      <vt:lpstr>SAP</vt:lpstr>
      <vt:lpstr>SOA-Sample</vt:lpstr>
      <vt:lpstr>MasterData </vt:lpstr>
      <vt:lpstr>SOABlank</vt:lpstr>
      <vt:lpstr>SOA_973625</vt:lpstr>
      <vt:lpstr>SOA_972380</vt:lpstr>
      <vt:lpstr>SOA_971904</vt:lpstr>
      <vt:lpstr>SOA_970215</vt:lpstr>
      <vt:lpstr>SOA_967924</vt:lpstr>
      <vt:lpstr>SOA_965810</vt:lpstr>
      <vt:lpstr>SOA_964857</vt:lpstr>
      <vt:lpstr>SOA_961130</vt:lpstr>
      <vt:lpstr>SOA_959523</vt:lpstr>
      <vt:lpstr>SOA_956513</vt:lpstr>
      <vt:lpstr>SOA_949817</vt:lpstr>
      <vt:lpstr>SOA_939476</vt:lpstr>
      <vt:lpstr>SOA_921178</vt:lpstr>
      <vt:lpstr>SOA_920907</vt:lpstr>
      <vt:lpstr>SOA_919737</vt:lpstr>
      <vt:lpstr>SOA_919718</vt:lpstr>
      <vt:lpstr>SOA_919099</vt:lpstr>
      <vt:lpstr>SOA_918725</vt:lpstr>
      <vt:lpstr>SOA_918536</vt:lpstr>
      <vt:lpstr>SOA_917021</vt:lpstr>
      <vt:lpstr>SOA_916775</vt:lpstr>
      <vt:lpstr>SOA_916703</vt:lpstr>
      <vt:lpstr>SOA_916417</vt:lpstr>
      <vt:lpstr>SOA_916414</vt:lpstr>
      <vt:lpstr>SOA_897863</vt:lpstr>
      <vt:lpstr>SOA_886014</vt:lpstr>
      <vt:lpstr>SOA_518226</vt:lpstr>
      <vt:lpstr>SOA_518178</vt:lpstr>
      <vt:lpstr>SOA_506038</vt:lpstr>
      <vt:lpstr>SOA_499098</vt:lpstr>
      <vt:lpstr>SOA_498798</vt:lpstr>
      <vt:lpstr>SOA_498783</vt:lpstr>
      <vt:lpstr>SOA_482734</vt:lpstr>
      <vt:lpstr>SOA_476544</vt:lpstr>
      <vt:lpstr>SOA_450082</vt:lpstr>
      <vt:lpstr>SOA_450000</vt:lpstr>
      <vt:lpstr>SOA_427840</vt:lpstr>
      <vt:lpstr>SOA_427329</vt:lpstr>
      <vt:lpstr>SOA_424053</vt:lpstr>
      <vt:lpstr>SOA_401828</vt:lpstr>
      <vt:lpstr>SOA_400634</vt:lpstr>
      <vt:lpstr>SOA_399157</vt:lpstr>
      <vt:lpstr>SOA_391220</vt:lpstr>
      <vt:lpstr>SOA_387516</vt:lpstr>
      <vt:lpstr>SOA_380945</vt:lpstr>
      <vt:lpstr>SOA_375336</vt:lpstr>
      <vt:lpstr>SOA_366061</vt:lpstr>
      <vt:lpstr>SOA_362302</vt:lpstr>
      <vt:lpstr>SOA_356423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2019-06-23T12:05:42Z</dcterms:modified>
</cp:coreProperties>
</file>