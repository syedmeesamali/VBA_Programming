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7" l="1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L16" i="7" l="1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<sst xmlns="http://schemas.openxmlformats.org/spreadsheetml/2006/main" count="10432" uniqueCount="1599">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</sst>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6"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15" tableBorderDxfId="14">
  <tableColumns count="13">
    <tableColumn id="1" name="Val. No" dataDxfId="13"/>
    <tableColumn id="2" name="Account" dataDxfId="12"/>
    <tableColumn id="3" name="Customer " dataDxfId="11"/>
    <tableColumn id="4" name="Dr's Name " dataDxfId="10"/>
    <tableColumn id="5" name="Invoice reference" dataDxfId="9"/>
    <tableColumn id="6" name="Document Number" dataDxfId="8"/>
    <tableColumn id="7" name="Reference" dataDxfId="7"/>
    <tableColumn id="8" name="Amount SAR " dataDxfId="6"/>
    <tableColumn id="9" name="Document Date" dataDxfId="5"/>
    <tableColumn id="10" name="Net due date" dataDxfId="4"/>
    <tableColumn id="11" name="CT " dataDxfId="3">
      <calculatedColumnFormula>IF(Table1[[#This Row],[Account]]&lt;&gt;"",$N$8,"")</calculatedColumnFormula>
    </tableColumn>
    <tableColumn id="12" name="Aging " dataDxfId="2">
      <calculatedColumnFormula>IF(Table1[[#This Row],[Account]]&lt;&gt;"",J15+L15-$N$7,"")</calculatedColumnFormula>
    </tableColumn>
    <tableColumn id="13" name="Status " dataDxfId="1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tabSelected="1" workbookViewId="0">
      <selection activeCell="F4" sqref="F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43536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A540" workbookViewId="0">
      <selection activeCell="B555" sqref="B555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45" t="s">
        <v>49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49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49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49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49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49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49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49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49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49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49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49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49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49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49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49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49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49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49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49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49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49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49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49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49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49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49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49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49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49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49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49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49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49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49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49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49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49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49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49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49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49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49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49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49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49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49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49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49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49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49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49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49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49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49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49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49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49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49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49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49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49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49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49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49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49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49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49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49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49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49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49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49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49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49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49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49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49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49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49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49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49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3" t="s">
        <v>5</v>
      </c>
      <c r="C9" s="114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-10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-2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-2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12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12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26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67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75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89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89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116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118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5" t="s">
        <v>23</v>
      </c>
      <c r="C33" s="115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5"/>
      <c r="C34" s="116"/>
      <c r="D34" s="39">
        <f>SUMIFS(I15:I27,M15:M27,"&gt;="&amp;0)</f>
        <v>51714.6</v>
      </c>
      <c r="E34" s="40">
        <f>SUMIFS(I15:I27,M15:M27,"&gt;="&amp;-30,M15:M27,"&lt;="&amp;-1)</f>
        <v>12360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C16" sqref="C16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test</vt:lpstr>
      <vt:lpstr>Sheet1</vt:lpstr>
      <vt:lpstr>SAP</vt:lpstr>
      <vt:lpstr>SOA-Sample</vt:lpstr>
      <vt:lpstr>MasterData 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2019-06-24T13:50:04Z</dcterms:modified>
</cp:coreProperties>
</file>